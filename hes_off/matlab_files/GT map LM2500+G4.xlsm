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worksheets/sheet8.xml" ContentType="application/vnd.openxmlformats-officedocument.spreadsheetml.worksheet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boldi\Desktop\HES-OFF\Modelling\First rough design\hybrid system\"/>
    </mc:Choice>
  </mc:AlternateContent>
  <bookViews>
    <workbookView xWindow="480" yWindow="192" windowWidth="27792" windowHeight="14568" tabRatio="657" firstSheet="2" activeTab="7"/>
  </bookViews>
  <sheets>
    <sheet name="Tin_base load (1)" sheetId="4" r:id="rId1"/>
    <sheet name="Patm_base load (1)" sheetId="6" r:id="rId2"/>
    <sheet name="DP in_base load (1)" sheetId="7" r:id="rId3"/>
    <sheet name="DP out_base load (1)" sheetId="8" r:id="rId4"/>
    <sheet name="Part-load_HR_Tin (1)" sheetId="1" r:id="rId5"/>
    <sheet name="Part-load_mout_Tin (1)" sheetId="2" r:id="rId6"/>
    <sheet name="Part-load_Tout_Tin (1)" sheetId="3" r:id="rId7"/>
    <sheet name="GT maps" sheetId="9" r:id="rId8"/>
  </sheets>
  <calcPr calcId="162913"/>
</workbook>
</file>

<file path=xl/calcChain.xml><?xml version="1.0" encoding="utf-8"?>
<calcChain xmlns="http://schemas.openxmlformats.org/spreadsheetml/2006/main">
  <c r="AC22" i="9" l="1"/>
  <c r="AC21" i="9"/>
  <c r="AC20" i="9"/>
  <c r="AC19" i="9"/>
  <c r="AC23" i="9" s="1"/>
  <c r="AC18" i="9"/>
  <c r="AC11" i="9"/>
  <c r="AC10" i="9"/>
  <c r="AC9" i="9"/>
  <c r="AC8" i="9"/>
  <c r="AC7" i="9"/>
  <c r="AC6" i="9"/>
  <c r="AC5" i="9"/>
  <c r="AC4" i="9"/>
  <c r="AC12" i="9" l="1"/>
  <c r="L18" i="9" l="1"/>
  <c r="T9" i="9" s="1"/>
  <c r="AQ4" i="3" l="1"/>
  <c r="AQ4" i="2"/>
  <c r="I28" i="4" l="1"/>
  <c r="J28" i="4" s="1"/>
  <c r="I29" i="4"/>
  <c r="J29" i="4" s="1"/>
  <c r="M30" i="4"/>
  <c r="M29" i="4"/>
  <c r="M28" i="4"/>
  <c r="M27" i="4"/>
  <c r="P28" i="4"/>
  <c r="E14" i="9" l="1"/>
  <c r="CT7" i="3" l="1"/>
  <c r="CT6" i="2"/>
  <c r="CT7" i="2"/>
  <c r="CX7" i="1" l="1"/>
  <c r="BA3" i="1" l="1"/>
  <c r="BA4" i="1"/>
  <c r="BD7" i="1" s="1"/>
  <c r="BV7" i="3" l="1"/>
  <c r="BW7" i="3" s="1"/>
  <c r="BV7" i="2"/>
  <c r="BW7" i="2" s="1"/>
  <c r="AX7" i="2"/>
  <c r="AY7" i="2" s="1"/>
  <c r="CW74" i="3"/>
  <c r="CQ74" i="3"/>
  <c r="CK74" i="3"/>
  <c r="CE74" i="3"/>
  <c r="BY74" i="3"/>
  <c r="BS74" i="3"/>
  <c r="BM74" i="3"/>
  <c r="BG74" i="3"/>
  <c r="BA74" i="3"/>
  <c r="AU74" i="3"/>
  <c r="CZ7" i="3"/>
  <c r="CU7" i="3"/>
  <c r="CN7" i="3"/>
  <c r="CH7" i="3"/>
  <c r="CI7" i="3" s="1"/>
  <c r="CB7" i="3"/>
  <c r="CC7" i="3" s="1"/>
  <c r="BP7" i="3"/>
  <c r="BJ7" i="3"/>
  <c r="BK7" i="3" s="1"/>
  <c r="BD7" i="3"/>
  <c r="AX7" i="3"/>
  <c r="AY7" i="3" s="1"/>
  <c r="AQ3" i="3"/>
  <c r="CW74" i="2"/>
  <c r="CZ7" i="2"/>
  <c r="DA7" i="2" s="1"/>
  <c r="CQ74" i="2"/>
  <c r="CU7" i="2"/>
  <c r="CK74" i="2"/>
  <c r="CN7" i="2"/>
  <c r="CO7" i="2" s="1"/>
  <c r="CE74" i="2"/>
  <c r="CH7" i="2"/>
  <c r="CI7" i="2" s="1"/>
  <c r="BY74" i="2"/>
  <c r="CB7" i="2"/>
  <c r="CC7" i="2" s="1"/>
  <c r="BS74" i="2"/>
  <c r="BM74" i="2"/>
  <c r="BP7" i="2"/>
  <c r="BQ7" i="2" s="1"/>
  <c r="BG74" i="2"/>
  <c r="BJ7" i="2"/>
  <c r="BK7" i="2" s="1"/>
  <c r="BD7" i="2"/>
  <c r="BE7" i="2" s="1"/>
  <c r="BA74" i="2"/>
  <c r="AU74" i="2"/>
  <c r="AQ3" i="2"/>
  <c r="BH2" i="1"/>
  <c r="DF16" i="1"/>
  <c r="CC74" i="1"/>
  <c r="CU74" i="1"/>
  <c r="DA74" i="1"/>
  <c r="DG74" i="1"/>
  <c r="DJ7" i="1"/>
  <c r="DK7" i="1" s="1"/>
  <c r="DD7" i="1"/>
  <c r="DE7" i="1" s="1"/>
  <c r="CY7" i="1"/>
  <c r="CO74" i="1"/>
  <c r="CR7" i="1"/>
  <c r="CS7" i="1" s="1"/>
  <c r="CI74" i="1"/>
  <c r="CL7" i="1"/>
  <c r="CM7" i="1" s="1"/>
  <c r="CF7" i="1"/>
  <c r="CG7" i="1" s="1"/>
  <c r="BK74" i="1"/>
  <c r="BQ74" i="1"/>
  <c r="BW74" i="1"/>
  <c r="BZ7" i="1"/>
  <c r="CA7" i="1" s="1"/>
  <c r="BT7" i="1"/>
  <c r="BU7" i="1" s="1"/>
  <c r="BN7" i="1"/>
  <c r="BO7" i="1" s="1"/>
  <c r="AX2" i="3" l="1"/>
  <c r="BC2" i="3"/>
  <c r="AZ2" i="3"/>
  <c r="BE2" i="1"/>
  <c r="AY2" i="3"/>
  <c r="AV2" i="3"/>
  <c r="BB2" i="3"/>
  <c r="BA2" i="3"/>
  <c r="AW2" i="3"/>
  <c r="BQ7" i="3"/>
  <c r="CO7" i="3"/>
  <c r="AU2" i="3"/>
  <c r="BE7" i="3"/>
  <c r="DA7" i="3"/>
  <c r="AY2" i="2"/>
  <c r="AU2" i="2"/>
  <c r="AV2" i="2"/>
  <c r="AX2" i="2"/>
  <c r="BA2" i="2"/>
  <c r="BC2" i="2"/>
  <c r="AW2" i="2"/>
  <c r="BB2" i="2"/>
  <c r="AZ2" i="2"/>
  <c r="BV69" i="1"/>
  <c r="BW68" i="1" s="1"/>
  <c r="BP74" i="1"/>
  <c r="BQ73" i="1" s="1"/>
  <c r="BP26" i="1"/>
  <c r="BJ20" i="1"/>
  <c r="BK19" i="1" s="1"/>
  <c r="CB38" i="1"/>
  <c r="CC37" i="1" s="1"/>
  <c r="CH26" i="1"/>
  <c r="CI25" i="1" s="1"/>
  <c r="CN9" i="1"/>
  <c r="CO8" i="1" s="1"/>
  <c r="CZ73" i="1"/>
  <c r="DA72" i="1" s="1"/>
  <c r="CZ42" i="1"/>
  <c r="DA41" i="1" s="1"/>
  <c r="BV46" i="1"/>
  <c r="BW45" i="1" s="1"/>
  <c r="BP44" i="1"/>
  <c r="BQ43" i="1" s="1"/>
  <c r="BJ62" i="1"/>
  <c r="BK61" i="1" s="1"/>
  <c r="BJ16" i="1"/>
  <c r="BK15" i="1" s="1"/>
  <c r="CB37" i="1"/>
  <c r="CC36" i="1" s="1"/>
  <c r="CH21" i="1"/>
  <c r="CI20" i="1" s="1"/>
  <c r="CN41" i="1"/>
  <c r="CO40" i="1" s="1"/>
  <c r="CZ72" i="1"/>
  <c r="BV67" i="1"/>
  <c r="BV45" i="1"/>
  <c r="BW44" i="1" s="1"/>
  <c r="BV22" i="1"/>
  <c r="BW21" i="1" s="1"/>
  <c r="BP67" i="1"/>
  <c r="BQ66" i="1" s="1"/>
  <c r="BP43" i="1"/>
  <c r="BQ42" i="1" s="1"/>
  <c r="BP18" i="1"/>
  <c r="BQ17" i="1" s="1"/>
  <c r="BJ61" i="1"/>
  <c r="BK60" i="1" s="1"/>
  <c r="BJ37" i="1"/>
  <c r="BK36" i="1" s="1"/>
  <c r="BJ13" i="1"/>
  <c r="BK12" i="1" s="1"/>
  <c r="CB65" i="1"/>
  <c r="CC64" i="1" s="1"/>
  <c r="CB34" i="1"/>
  <c r="CH48" i="1"/>
  <c r="CH19" i="1"/>
  <c r="CI18" i="1" s="1"/>
  <c r="CN69" i="1"/>
  <c r="CN34" i="1"/>
  <c r="CT49" i="1"/>
  <c r="CU48" i="1" s="1"/>
  <c r="CT19" i="1"/>
  <c r="CU18" i="1" s="1"/>
  <c r="CZ66" i="1"/>
  <c r="CZ34" i="1"/>
  <c r="DA33" i="1" s="1"/>
  <c r="DF46" i="1"/>
  <c r="DG45" i="1" s="1"/>
  <c r="BV63" i="1"/>
  <c r="BW62" i="1" s="1"/>
  <c r="BV41" i="1"/>
  <c r="BW40" i="1" s="1"/>
  <c r="BV18" i="1"/>
  <c r="BW17" i="1" s="1"/>
  <c r="BP66" i="1"/>
  <c r="BQ65" i="1" s="1"/>
  <c r="BP42" i="1"/>
  <c r="BQ41" i="1" s="1"/>
  <c r="BP17" i="1"/>
  <c r="BJ60" i="1"/>
  <c r="BK59" i="1" s="1"/>
  <c r="BJ36" i="1"/>
  <c r="BK35" i="1" s="1"/>
  <c r="BJ12" i="1"/>
  <c r="BK11" i="1" s="1"/>
  <c r="CB64" i="1"/>
  <c r="CB29" i="1"/>
  <c r="CC28" i="1" s="1"/>
  <c r="CH44" i="1"/>
  <c r="CI43" i="1" s="1"/>
  <c r="CH15" i="1"/>
  <c r="CI14" i="1" s="1"/>
  <c r="CN66" i="1"/>
  <c r="CN32" i="1"/>
  <c r="CO31" i="1" s="1"/>
  <c r="CT48" i="1"/>
  <c r="CU47" i="1" s="1"/>
  <c r="CT12" i="1"/>
  <c r="CU11" i="1" s="1"/>
  <c r="CZ60" i="1"/>
  <c r="CZ31" i="1"/>
  <c r="DA30" i="1" s="1"/>
  <c r="DF45" i="1"/>
  <c r="DG44" i="1" s="1"/>
  <c r="BV25" i="1"/>
  <c r="BW24" i="1" s="1"/>
  <c r="BJ69" i="1"/>
  <c r="CB73" i="1"/>
  <c r="CC72" i="1" s="1"/>
  <c r="CH54" i="1"/>
  <c r="CI53" i="1" s="1"/>
  <c r="CN45" i="1"/>
  <c r="CO44" i="1" s="1"/>
  <c r="CT25" i="1"/>
  <c r="CU24" i="1" s="1"/>
  <c r="CZ9" i="1"/>
  <c r="DA8" i="1" s="1"/>
  <c r="BV68" i="1"/>
  <c r="BP68" i="1"/>
  <c r="BQ67" i="1" s="1"/>
  <c r="BJ38" i="1"/>
  <c r="BK37" i="1" s="1"/>
  <c r="BV37" i="1"/>
  <c r="BW36" i="1" s="1"/>
  <c r="BP64" i="1"/>
  <c r="BQ63" i="1" s="1"/>
  <c r="BP15" i="1"/>
  <c r="BQ14" i="1" s="1"/>
  <c r="BJ33" i="1"/>
  <c r="BK32" i="1" s="1"/>
  <c r="CB58" i="1"/>
  <c r="CC57" i="1" s="1"/>
  <c r="CB28" i="1"/>
  <c r="CC27" i="1" s="1"/>
  <c r="CH41" i="1"/>
  <c r="CI40" i="1" s="1"/>
  <c r="CN59" i="1"/>
  <c r="CO58" i="1" s="1"/>
  <c r="CT70" i="1"/>
  <c r="CT11" i="1"/>
  <c r="CU10" i="1" s="1"/>
  <c r="CZ24" i="1"/>
  <c r="DF71" i="1"/>
  <c r="DG70" i="1" s="1"/>
  <c r="BV34" i="1"/>
  <c r="BW33" i="1" s="1"/>
  <c r="BP57" i="1"/>
  <c r="BQ56" i="1" s="1"/>
  <c r="BP8" i="1"/>
  <c r="BJ26" i="1"/>
  <c r="BK25" i="1" s="1"/>
  <c r="CB23" i="1"/>
  <c r="CC22" i="1" s="1"/>
  <c r="CH8" i="1"/>
  <c r="CI7" i="1" s="1"/>
  <c r="CN22" i="1"/>
  <c r="CT36" i="1"/>
  <c r="CU35" i="1" s="1"/>
  <c r="CZ55" i="1"/>
  <c r="DA54" i="1" s="1"/>
  <c r="CZ22" i="1"/>
  <c r="DA21" i="1" s="1"/>
  <c r="DF68" i="1"/>
  <c r="DF28" i="1"/>
  <c r="DG27" i="1" s="1"/>
  <c r="BV55" i="1"/>
  <c r="BW54" i="1" s="1"/>
  <c r="BV33" i="1"/>
  <c r="BW32" i="1" s="1"/>
  <c r="BV9" i="1"/>
  <c r="BW8" i="1" s="1"/>
  <c r="BP56" i="1"/>
  <c r="BQ55" i="1" s="1"/>
  <c r="BP31" i="1"/>
  <c r="BQ30" i="1" s="1"/>
  <c r="BJ49" i="1"/>
  <c r="BK48" i="1" s="1"/>
  <c r="BJ25" i="1"/>
  <c r="BK24" i="1" s="1"/>
  <c r="CB51" i="1"/>
  <c r="CB17" i="1"/>
  <c r="CC16" i="1" s="1"/>
  <c r="CH64" i="1"/>
  <c r="CI63" i="1" s="1"/>
  <c r="CH33" i="1"/>
  <c r="CI32" i="1" s="1"/>
  <c r="CN53" i="1"/>
  <c r="CO52" i="1" s="1"/>
  <c r="CN18" i="1"/>
  <c r="CO17" i="1" s="1"/>
  <c r="CT65" i="1"/>
  <c r="CU64" i="1" s="1"/>
  <c r="CT35" i="1"/>
  <c r="CU34" i="1" s="1"/>
  <c r="CZ49" i="1"/>
  <c r="DA48" i="1" s="1"/>
  <c r="CZ17" i="1"/>
  <c r="DA16" i="1" s="1"/>
  <c r="DF64" i="1"/>
  <c r="DG63" i="1" s="1"/>
  <c r="DF25" i="1"/>
  <c r="DG24" i="1" s="1"/>
  <c r="BV47" i="1"/>
  <c r="BW46" i="1" s="1"/>
  <c r="BP51" i="1"/>
  <c r="BQ50" i="1" s="1"/>
  <c r="BJ44" i="1"/>
  <c r="CB10" i="1"/>
  <c r="CC9" i="1" s="1"/>
  <c r="CT59" i="1"/>
  <c r="CU58" i="1" s="1"/>
  <c r="DF59" i="1"/>
  <c r="BV24" i="1"/>
  <c r="BW23" i="1" s="1"/>
  <c r="BP19" i="1"/>
  <c r="BQ18" i="1" s="1"/>
  <c r="CH53" i="1"/>
  <c r="CI52" i="1" s="1"/>
  <c r="CN72" i="1"/>
  <c r="CO71" i="1" s="1"/>
  <c r="CN8" i="1"/>
  <c r="CT54" i="1"/>
  <c r="CU53" i="1" s="1"/>
  <c r="CT24" i="1"/>
  <c r="CZ38" i="1"/>
  <c r="DF53" i="1"/>
  <c r="DG52" i="1" s="1"/>
  <c r="BV7" i="1"/>
  <c r="BV59" i="1"/>
  <c r="BW58" i="1" s="1"/>
  <c r="BV13" i="1"/>
  <c r="BW12" i="1" s="1"/>
  <c r="BP40" i="1"/>
  <c r="BQ39" i="1" s="1"/>
  <c r="BJ58" i="1"/>
  <c r="BK57" i="1" s="1"/>
  <c r="BJ10" i="1"/>
  <c r="BK9" i="1" s="1"/>
  <c r="CH9" i="1"/>
  <c r="CI8" i="1" s="1"/>
  <c r="CN29" i="1"/>
  <c r="CO28" i="1" s="1"/>
  <c r="CT42" i="1"/>
  <c r="CU41" i="1" s="1"/>
  <c r="CZ59" i="1"/>
  <c r="DF39" i="1"/>
  <c r="DG38" i="1" s="1"/>
  <c r="BV56" i="1"/>
  <c r="BW55" i="1" s="1"/>
  <c r="BV10" i="1"/>
  <c r="BW9" i="1" s="1"/>
  <c r="BP33" i="1"/>
  <c r="BQ32" i="1" s="1"/>
  <c r="BJ51" i="1"/>
  <c r="CB52" i="1"/>
  <c r="CC51" i="1" s="1"/>
  <c r="CH66" i="1"/>
  <c r="CH38" i="1"/>
  <c r="CN56" i="1"/>
  <c r="CO55" i="1" s="1"/>
  <c r="CT69" i="1"/>
  <c r="CU68" i="1" s="1"/>
  <c r="CT8" i="1"/>
  <c r="CU7" i="1" s="1"/>
  <c r="BJ7" i="1"/>
  <c r="BV53" i="1"/>
  <c r="BW52" i="1" s="1"/>
  <c r="BV31" i="1"/>
  <c r="BW30" i="1" s="1"/>
  <c r="BP55" i="1"/>
  <c r="BQ54" i="1" s="1"/>
  <c r="BP28" i="1"/>
  <c r="BQ27" i="1" s="1"/>
  <c r="BJ74" i="1"/>
  <c r="BL74" i="1" s="1"/>
  <c r="BJ46" i="1"/>
  <c r="BK45" i="1" s="1"/>
  <c r="BJ24" i="1"/>
  <c r="BK23" i="1" s="1"/>
  <c r="CB74" i="1"/>
  <c r="CC73" i="1" s="1"/>
  <c r="CB45" i="1"/>
  <c r="CC44" i="1" s="1"/>
  <c r="CB16" i="1"/>
  <c r="CC15" i="1" s="1"/>
  <c r="CH60" i="1"/>
  <c r="CH32" i="1"/>
  <c r="CI31" i="1" s="1"/>
  <c r="CN47" i="1"/>
  <c r="CO46" i="1" s="1"/>
  <c r="CN15" i="1"/>
  <c r="CO14" i="1" s="1"/>
  <c r="CT60" i="1"/>
  <c r="CT32" i="1"/>
  <c r="CZ48" i="1"/>
  <c r="DA47" i="1" s="1"/>
  <c r="CZ11" i="1"/>
  <c r="DA10" i="1" s="1"/>
  <c r="DF60" i="1"/>
  <c r="DF31" i="1"/>
  <c r="DG30" i="1" s="1"/>
  <c r="DF50" i="1"/>
  <c r="DG49" i="1" s="1"/>
  <c r="DF61" i="1"/>
  <c r="DF72" i="1"/>
  <c r="CZ12" i="1"/>
  <c r="DA11" i="1" s="1"/>
  <c r="CZ25" i="1"/>
  <c r="DA24" i="1" s="1"/>
  <c r="CZ39" i="1"/>
  <c r="DA38" i="1" s="1"/>
  <c r="CZ50" i="1"/>
  <c r="CZ62" i="1"/>
  <c r="DA61" i="1" s="1"/>
  <c r="CZ74" i="1"/>
  <c r="DB74" i="1" s="1"/>
  <c r="CT13" i="1"/>
  <c r="CU12" i="1" s="1"/>
  <c r="CT26" i="1"/>
  <c r="CT38" i="1"/>
  <c r="CU37" i="1" s="1"/>
  <c r="CT50" i="1"/>
  <c r="CU49" i="1" s="1"/>
  <c r="CT61" i="1"/>
  <c r="CU60" i="1" s="1"/>
  <c r="CT71" i="1"/>
  <c r="CU70" i="1" s="1"/>
  <c r="CN10" i="1"/>
  <c r="CO9" i="1" s="1"/>
  <c r="CP9" i="1" s="1"/>
  <c r="CN23" i="1"/>
  <c r="CO22" i="1" s="1"/>
  <c r="CN37" i="1"/>
  <c r="CO36" i="1" s="1"/>
  <c r="CN48" i="1"/>
  <c r="CO47" i="1" s="1"/>
  <c r="CN60" i="1"/>
  <c r="CO59" i="1" s="1"/>
  <c r="CN73" i="1"/>
  <c r="CO72" i="1" s="1"/>
  <c r="CH10" i="1"/>
  <c r="CI9" i="1" s="1"/>
  <c r="CH22" i="1"/>
  <c r="CH34" i="1"/>
  <c r="CI33" i="1" s="1"/>
  <c r="CH45" i="1"/>
  <c r="CI44" i="1" s="1"/>
  <c r="CH55" i="1"/>
  <c r="CI54" i="1" s="1"/>
  <c r="CH67" i="1"/>
  <c r="CI66" i="1" s="1"/>
  <c r="CB18" i="1"/>
  <c r="CC17" i="1" s="1"/>
  <c r="CB30" i="1"/>
  <c r="CC29" i="1" s="1"/>
  <c r="CB40" i="1"/>
  <c r="CC39" i="1" s="1"/>
  <c r="CB54" i="1"/>
  <c r="CC53" i="1" s="1"/>
  <c r="CB66" i="1"/>
  <c r="BJ17" i="1"/>
  <c r="BK16" i="1" s="1"/>
  <c r="BJ27" i="1"/>
  <c r="BK26" i="1" s="1"/>
  <c r="BJ40" i="1"/>
  <c r="BK39" i="1" s="1"/>
  <c r="BJ52" i="1"/>
  <c r="BK51" i="1" s="1"/>
  <c r="BJ63" i="1"/>
  <c r="BK62" i="1" s="1"/>
  <c r="BL62" i="1" s="1"/>
  <c r="BP9" i="1"/>
  <c r="BQ8" i="1" s="1"/>
  <c r="BP20" i="1"/>
  <c r="BQ19" i="1" s="1"/>
  <c r="BP34" i="1"/>
  <c r="BP48" i="1"/>
  <c r="BQ47" i="1" s="1"/>
  <c r="BP58" i="1"/>
  <c r="BQ57" i="1" s="1"/>
  <c r="BP70" i="1"/>
  <c r="BV14" i="1"/>
  <c r="BV26" i="1"/>
  <c r="BW25" i="1" s="1"/>
  <c r="BV38" i="1"/>
  <c r="BW37" i="1" s="1"/>
  <c r="BV48" i="1"/>
  <c r="BV60" i="1"/>
  <c r="BV70" i="1"/>
  <c r="BW69" i="1" s="1"/>
  <c r="BV61" i="1"/>
  <c r="BW60" i="1" s="1"/>
  <c r="DF12" i="1"/>
  <c r="DF35" i="1"/>
  <c r="DG34" i="1" s="1"/>
  <c r="DF52" i="1"/>
  <c r="DF62" i="1"/>
  <c r="DH62" i="1" s="1"/>
  <c r="CZ16" i="1"/>
  <c r="CZ41" i="1"/>
  <c r="DA40" i="1" s="1"/>
  <c r="CZ54" i="1"/>
  <c r="DB54" i="1" s="1"/>
  <c r="CT18" i="1"/>
  <c r="CU17" i="1" s="1"/>
  <c r="CT41" i="1"/>
  <c r="CU40" i="1" s="1"/>
  <c r="CT64" i="1"/>
  <c r="CN14" i="1"/>
  <c r="CO13" i="1" s="1"/>
  <c r="CN39" i="1"/>
  <c r="CO38" i="1" s="1"/>
  <c r="CN62" i="1"/>
  <c r="CH14" i="1"/>
  <c r="CH47" i="1"/>
  <c r="CI46" i="1" s="1"/>
  <c r="CH71" i="1"/>
  <c r="CB22" i="1"/>
  <c r="CC21" i="1" s="1"/>
  <c r="CB43" i="1"/>
  <c r="CC42" i="1" s="1"/>
  <c r="CB69" i="1"/>
  <c r="BJ19" i="1"/>
  <c r="BK18" i="1" s="1"/>
  <c r="BJ43" i="1"/>
  <c r="BK42" i="1" s="1"/>
  <c r="BJ68" i="1"/>
  <c r="BP24" i="1"/>
  <c r="BQ23" i="1" s="1"/>
  <c r="BP50" i="1"/>
  <c r="BP73" i="1"/>
  <c r="BQ72" i="1" s="1"/>
  <c r="BV30" i="1"/>
  <c r="BV52" i="1"/>
  <c r="BV74" i="1"/>
  <c r="BX74" i="1" s="1"/>
  <c r="BY74" i="1" s="1"/>
  <c r="DF8" i="1"/>
  <c r="DG7" i="1" s="1"/>
  <c r="DF32" i="1"/>
  <c r="DG31" i="1" s="1"/>
  <c r="DF51" i="1"/>
  <c r="DG50" i="1" s="1"/>
  <c r="DF73" i="1"/>
  <c r="DG72" i="1" s="1"/>
  <c r="CZ15" i="1"/>
  <c r="DA14" i="1" s="1"/>
  <c r="CZ26" i="1"/>
  <c r="CZ40" i="1"/>
  <c r="CZ51" i="1"/>
  <c r="DA50" i="1" s="1"/>
  <c r="CZ63" i="1"/>
  <c r="CT17" i="1"/>
  <c r="CU16" i="1" s="1"/>
  <c r="CT27" i="1"/>
  <c r="CU26" i="1" s="1"/>
  <c r="CT40" i="1"/>
  <c r="CU39" i="1" s="1"/>
  <c r="CT52" i="1"/>
  <c r="CU51" i="1" s="1"/>
  <c r="CT63" i="1"/>
  <c r="CU62" i="1" s="1"/>
  <c r="CT72" i="1"/>
  <c r="CN13" i="1"/>
  <c r="CO12" i="1" s="1"/>
  <c r="CN24" i="1"/>
  <c r="CN38" i="1"/>
  <c r="CN49" i="1"/>
  <c r="CO48" i="1" s="1"/>
  <c r="CN61" i="1"/>
  <c r="CO60" i="1" s="1"/>
  <c r="CN74" i="1"/>
  <c r="CP74" i="1" s="1"/>
  <c r="CH12" i="1"/>
  <c r="CI11" i="1" s="1"/>
  <c r="CH23" i="1"/>
  <c r="CI22" i="1" s="1"/>
  <c r="CH36" i="1"/>
  <c r="CH46" i="1"/>
  <c r="CH56" i="1"/>
  <c r="CI55" i="1" s="1"/>
  <c r="CH69" i="1"/>
  <c r="CB8" i="1"/>
  <c r="CB21" i="1"/>
  <c r="CC20" i="1" s="1"/>
  <c r="CB31" i="1"/>
  <c r="CC30" i="1" s="1"/>
  <c r="CB42" i="1"/>
  <c r="CB56" i="1"/>
  <c r="CC55" i="1" s="1"/>
  <c r="CB68" i="1"/>
  <c r="BJ8" i="1"/>
  <c r="BJ18" i="1"/>
  <c r="BK17" i="1" s="1"/>
  <c r="BJ29" i="1"/>
  <c r="BK28" i="1" s="1"/>
  <c r="BJ41" i="1"/>
  <c r="BK40" i="1" s="1"/>
  <c r="BJ53" i="1"/>
  <c r="BK52" i="1" s="1"/>
  <c r="BJ67" i="1"/>
  <c r="BK66" i="1" s="1"/>
  <c r="BP10" i="1"/>
  <c r="BQ9" i="1" s="1"/>
  <c r="BP23" i="1"/>
  <c r="BQ22" i="1" s="1"/>
  <c r="BP35" i="1"/>
  <c r="BP49" i="1"/>
  <c r="BQ48" i="1" s="1"/>
  <c r="BP59" i="1"/>
  <c r="BQ58" i="1" s="1"/>
  <c r="BP72" i="1"/>
  <c r="BQ71" i="1" s="1"/>
  <c r="BV15" i="1"/>
  <c r="BW14" i="1" s="1"/>
  <c r="BV27" i="1"/>
  <c r="BW26" i="1" s="1"/>
  <c r="BV39" i="1"/>
  <c r="BW38" i="1" s="1"/>
  <c r="BV49" i="1"/>
  <c r="BV73" i="1"/>
  <c r="BW72" i="1" s="1"/>
  <c r="CZ27" i="1"/>
  <c r="DA26" i="1" s="1"/>
  <c r="CZ65" i="1"/>
  <c r="DB65" i="1" s="1"/>
  <c r="DC65" i="1" s="1"/>
  <c r="CT28" i="1"/>
  <c r="CU27" i="1" s="1"/>
  <c r="CT53" i="1"/>
  <c r="CU52" i="1" s="1"/>
  <c r="CT73" i="1"/>
  <c r="CU72" i="1" s="1"/>
  <c r="CN25" i="1"/>
  <c r="CO24" i="1" s="1"/>
  <c r="CN50" i="1"/>
  <c r="CH25" i="1"/>
  <c r="CI24" i="1" s="1"/>
  <c r="CH37" i="1"/>
  <c r="CI36" i="1" s="1"/>
  <c r="CH59" i="1"/>
  <c r="CI58" i="1" s="1"/>
  <c r="CB9" i="1"/>
  <c r="CC8" i="1" s="1"/>
  <c r="CB32" i="1"/>
  <c r="CC31" i="1" s="1"/>
  <c r="CB57" i="1"/>
  <c r="CC56" i="1" s="1"/>
  <c r="BJ9" i="1"/>
  <c r="BK8" i="1" s="1"/>
  <c r="BJ30" i="1"/>
  <c r="BK29" i="1" s="1"/>
  <c r="BJ54" i="1"/>
  <c r="BK53" i="1" s="1"/>
  <c r="BP12" i="1"/>
  <c r="BQ11" i="1" s="1"/>
  <c r="BP36" i="1"/>
  <c r="BQ35" i="1" s="1"/>
  <c r="BP60" i="1"/>
  <c r="BQ59" i="1" s="1"/>
  <c r="BV17" i="1"/>
  <c r="BW16" i="1" s="1"/>
  <c r="BV40" i="1"/>
  <c r="BW39" i="1" s="1"/>
  <c r="BV62" i="1"/>
  <c r="DF19" i="1"/>
  <c r="DG18" i="1" s="1"/>
  <c r="DF42" i="1"/>
  <c r="DG41" i="1" s="1"/>
  <c r="DF54" i="1"/>
  <c r="DG53" i="1" s="1"/>
  <c r="DF65" i="1"/>
  <c r="DG64" i="1" s="1"/>
  <c r="CZ18" i="1"/>
  <c r="DA17" i="1" s="1"/>
  <c r="CZ32" i="1"/>
  <c r="DA31" i="1" s="1"/>
  <c r="CZ43" i="1"/>
  <c r="DA42" i="1" s="1"/>
  <c r="CZ56" i="1"/>
  <c r="CZ69" i="1"/>
  <c r="DA68" i="1" s="1"/>
  <c r="CT9" i="1"/>
  <c r="CU8" i="1" s="1"/>
  <c r="CT20" i="1"/>
  <c r="CU19" i="1" s="1"/>
  <c r="CT33" i="1"/>
  <c r="CU32" i="1" s="1"/>
  <c r="CT44" i="1"/>
  <c r="CU43" i="1" s="1"/>
  <c r="CT56" i="1"/>
  <c r="CU55" i="1" s="1"/>
  <c r="CT66" i="1"/>
  <c r="CN16" i="1"/>
  <c r="CO15" i="1" s="1"/>
  <c r="CN30" i="1"/>
  <c r="CN42" i="1"/>
  <c r="CO41" i="1" s="1"/>
  <c r="CN55" i="1"/>
  <c r="CN67" i="1"/>
  <c r="CH16" i="1"/>
  <c r="CI15" i="1" s="1"/>
  <c r="CJ15" i="1" s="1"/>
  <c r="CH29" i="1"/>
  <c r="CI28" i="1" s="1"/>
  <c r="CH39" i="1"/>
  <c r="CI38" i="1" s="1"/>
  <c r="CH51" i="1"/>
  <c r="CI50" i="1" s="1"/>
  <c r="CH61" i="1"/>
  <c r="CI60" i="1" s="1"/>
  <c r="CH73" i="1"/>
  <c r="CB11" i="1"/>
  <c r="CC10" i="1" s="1"/>
  <c r="CB24" i="1"/>
  <c r="CC23" i="1" s="1"/>
  <c r="CB35" i="1"/>
  <c r="CC34" i="1" s="1"/>
  <c r="CB48" i="1"/>
  <c r="CC47" i="1" s="1"/>
  <c r="CB61" i="1"/>
  <c r="CC60" i="1" s="1"/>
  <c r="CB70" i="1"/>
  <c r="CC69" i="1" s="1"/>
  <c r="BJ11" i="1"/>
  <c r="BJ22" i="1"/>
  <c r="BK21" i="1" s="1"/>
  <c r="BJ34" i="1"/>
  <c r="BK33" i="1" s="1"/>
  <c r="BJ45" i="1"/>
  <c r="BK44" i="1" s="1"/>
  <c r="BJ59" i="1"/>
  <c r="BK58" i="1" s="1"/>
  <c r="BL58" i="1" s="1"/>
  <c r="BJ70" i="1"/>
  <c r="BP16" i="1"/>
  <c r="BQ15" i="1" s="1"/>
  <c r="BP27" i="1"/>
  <c r="BQ26" i="1" s="1"/>
  <c r="BP41" i="1"/>
  <c r="BP52" i="1"/>
  <c r="BQ51" i="1" s="1"/>
  <c r="BP65" i="1"/>
  <c r="BQ64" i="1" s="1"/>
  <c r="BV19" i="1"/>
  <c r="BW18" i="1" s="1"/>
  <c r="BV32" i="1"/>
  <c r="BV44" i="1"/>
  <c r="BX44" i="1" s="1"/>
  <c r="BV54" i="1"/>
  <c r="BW53" i="1" s="1"/>
  <c r="BV64" i="1"/>
  <c r="BW63" i="1" s="1"/>
  <c r="DF24" i="1"/>
  <c r="DF44" i="1"/>
  <c r="DF58" i="1"/>
  <c r="DG57" i="1" s="1"/>
  <c r="DF66" i="1"/>
  <c r="DG65" i="1" s="1"/>
  <c r="CZ8" i="1"/>
  <c r="DA7" i="1" s="1"/>
  <c r="CZ19" i="1"/>
  <c r="DA18" i="1" s="1"/>
  <c r="CZ33" i="1"/>
  <c r="DA32" i="1" s="1"/>
  <c r="CZ47" i="1"/>
  <c r="DA46" i="1" s="1"/>
  <c r="CZ57" i="1"/>
  <c r="DA56" i="1" s="1"/>
  <c r="CZ70" i="1"/>
  <c r="DA69" i="1" s="1"/>
  <c r="CT10" i="1"/>
  <c r="CU9" i="1" s="1"/>
  <c r="CT21" i="1"/>
  <c r="CU20" i="1" s="1"/>
  <c r="CT34" i="1"/>
  <c r="CU33" i="1" s="1"/>
  <c r="CT45" i="1"/>
  <c r="CU44" i="1" s="1"/>
  <c r="CT58" i="1"/>
  <c r="CU57" i="1" s="1"/>
  <c r="CT7" i="1"/>
  <c r="CN17" i="1"/>
  <c r="CO16" i="1" s="1"/>
  <c r="CN31" i="1"/>
  <c r="CO30" i="1" s="1"/>
  <c r="CN44" i="1"/>
  <c r="CO43" i="1" s="1"/>
  <c r="CN68" i="1"/>
  <c r="CO67" i="1" s="1"/>
  <c r="CN7" i="1"/>
  <c r="CH17" i="1"/>
  <c r="CI16" i="1" s="1"/>
  <c r="CH31" i="1"/>
  <c r="CI30" i="1" s="1"/>
  <c r="CH40" i="1"/>
  <c r="CI39" i="1" s="1"/>
  <c r="CH52" i="1"/>
  <c r="CH62" i="1"/>
  <c r="CI61" i="1" s="1"/>
  <c r="CB14" i="1"/>
  <c r="CC13" i="1" s="1"/>
  <c r="CB25" i="1"/>
  <c r="CC24" i="1" s="1"/>
  <c r="CB36" i="1"/>
  <c r="CC35" i="1" s="1"/>
  <c r="CB50" i="1"/>
  <c r="CC49" i="1" s="1"/>
  <c r="CB63" i="1"/>
  <c r="CC62" i="1" s="1"/>
  <c r="DF9" i="1"/>
  <c r="DG8" i="1" s="1"/>
  <c r="DF15" i="1"/>
  <c r="DG14" i="1" s="1"/>
  <c r="DF23" i="1"/>
  <c r="DG22" i="1" s="1"/>
  <c r="DF30" i="1"/>
  <c r="DF43" i="1"/>
  <c r="DG42" i="1" s="1"/>
  <c r="DF49" i="1"/>
  <c r="DG48" i="1" s="1"/>
  <c r="DF56" i="1"/>
  <c r="DF67" i="1"/>
  <c r="DG66" i="1" s="1"/>
  <c r="DF74" i="1"/>
  <c r="DG73" i="1" s="1"/>
  <c r="CZ10" i="1"/>
  <c r="CZ23" i="1"/>
  <c r="DA22" i="1" s="1"/>
  <c r="CZ30" i="1"/>
  <c r="CZ36" i="1"/>
  <c r="DA35" i="1" s="1"/>
  <c r="CZ44" i="1"/>
  <c r="DA43" i="1" s="1"/>
  <c r="CZ58" i="1"/>
  <c r="CZ64" i="1"/>
  <c r="DA63" i="1" s="1"/>
  <c r="CZ71" i="1"/>
  <c r="DA70" i="1" s="1"/>
  <c r="CT16" i="1"/>
  <c r="CT29" i="1"/>
  <c r="CU28" i="1" s="1"/>
  <c r="CT37" i="1"/>
  <c r="CU36" i="1" s="1"/>
  <c r="CT43" i="1"/>
  <c r="CU42" i="1" s="1"/>
  <c r="CT51" i="1"/>
  <c r="CU50" i="1" s="1"/>
  <c r="CT57" i="1"/>
  <c r="CU56" i="1" s="1"/>
  <c r="CT68" i="1"/>
  <c r="CV68" i="1" s="1"/>
  <c r="CX69" i="1" s="1"/>
  <c r="CN11" i="1"/>
  <c r="CO10" i="1" s="1"/>
  <c r="CN19" i="1"/>
  <c r="CO18" i="1" s="1"/>
  <c r="CN26" i="1"/>
  <c r="CO25" i="1" s="1"/>
  <c r="CN33" i="1"/>
  <c r="CO32" i="1" s="1"/>
  <c r="CN40" i="1"/>
  <c r="CO39" i="1" s="1"/>
  <c r="CN46" i="1"/>
  <c r="CN54" i="1"/>
  <c r="CO53" i="1" s="1"/>
  <c r="CN64" i="1"/>
  <c r="CN70" i="1"/>
  <c r="CH11" i="1"/>
  <c r="CI10" i="1" s="1"/>
  <c r="CH18" i="1"/>
  <c r="CH24" i="1"/>
  <c r="CI23" i="1" s="1"/>
  <c r="CH30" i="1"/>
  <c r="CH43" i="1"/>
  <c r="CI42" i="1" s="1"/>
  <c r="CH50" i="1"/>
  <c r="CH57" i="1"/>
  <c r="CI56" i="1" s="1"/>
  <c r="CH63" i="1"/>
  <c r="CI62" i="1" s="1"/>
  <c r="CH68" i="1"/>
  <c r="CH72" i="1"/>
  <c r="CI71" i="1" s="1"/>
  <c r="CH7" i="1"/>
  <c r="CB15" i="1"/>
  <c r="CC14" i="1" s="1"/>
  <c r="CB20" i="1"/>
  <c r="CB39" i="1"/>
  <c r="CC38" i="1" s="1"/>
  <c r="CB44" i="1"/>
  <c r="CC43" i="1" s="1"/>
  <c r="CB49" i="1"/>
  <c r="CC48" i="1" s="1"/>
  <c r="CB55" i="1"/>
  <c r="CC54" i="1" s="1"/>
  <c r="CB62" i="1"/>
  <c r="CC61" i="1" s="1"/>
  <c r="BJ14" i="1"/>
  <c r="BJ21" i="1"/>
  <c r="BK20" i="1" s="1"/>
  <c r="BJ28" i="1"/>
  <c r="BJ35" i="1"/>
  <c r="BK34" i="1" s="1"/>
  <c r="BJ42" i="1"/>
  <c r="BK41" i="1" s="1"/>
  <c r="BJ50" i="1"/>
  <c r="BK49" i="1" s="1"/>
  <c r="BJ57" i="1"/>
  <c r="BK56" i="1" s="1"/>
  <c r="BJ65" i="1"/>
  <c r="BK64" i="1" s="1"/>
  <c r="BJ71" i="1"/>
  <c r="BP11" i="1"/>
  <c r="BP25" i="1"/>
  <c r="BQ24" i="1" s="1"/>
  <c r="BP32" i="1"/>
  <c r="BP39" i="1"/>
  <c r="BP47" i="1"/>
  <c r="BQ46" i="1" s="1"/>
  <c r="BP54" i="1"/>
  <c r="BQ53" i="1" s="1"/>
  <c r="BP61" i="1"/>
  <c r="BQ60" i="1" s="1"/>
  <c r="BP69" i="1"/>
  <c r="BQ68" i="1" s="1"/>
  <c r="BV8" i="1"/>
  <c r="BW7" i="1" s="1"/>
  <c r="BV16" i="1"/>
  <c r="BV23" i="1"/>
  <c r="BW22" i="1" s="1"/>
  <c r="BV72" i="1"/>
  <c r="BV66" i="1"/>
  <c r="BV58" i="1"/>
  <c r="BW57" i="1" s="1"/>
  <c r="BV51" i="1"/>
  <c r="BW50" i="1" s="1"/>
  <c r="BV43" i="1"/>
  <c r="BW42" i="1" s="1"/>
  <c r="BV36" i="1"/>
  <c r="BW35" i="1" s="1"/>
  <c r="BV29" i="1"/>
  <c r="BW28" i="1" s="1"/>
  <c r="BV21" i="1"/>
  <c r="BW20" i="1" s="1"/>
  <c r="BV12" i="1"/>
  <c r="BP71" i="1"/>
  <c r="BP63" i="1"/>
  <c r="BP46" i="1"/>
  <c r="BQ45" i="1" s="1"/>
  <c r="BP38" i="1"/>
  <c r="BQ37" i="1" s="1"/>
  <c r="BP30" i="1"/>
  <c r="BQ29" i="1" s="1"/>
  <c r="BP22" i="1"/>
  <c r="BP14" i="1"/>
  <c r="BQ13" i="1" s="1"/>
  <c r="BJ73" i="1"/>
  <c r="BJ66" i="1"/>
  <c r="BK65" i="1" s="1"/>
  <c r="BJ56" i="1"/>
  <c r="BK55" i="1" s="1"/>
  <c r="BJ48" i="1"/>
  <c r="BK47" i="1" s="1"/>
  <c r="BJ39" i="1"/>
  <c r="BJ32" i="1"/>
  <c r="BK31" i="1" s="1"/>
  <c r="BJ23" i="1"/>
  <c r="BJ15" i="1"/>
  <c r="CB7" i="1"/>
  <c r="CB72" i="1"/>
  <c r="CB67" i="1"/>
  <c r="CB60" i="1"/>
  <c r="CB53" i="1"/>
  <c r="CC52" i="1" s="1"/>
  <c r="CB47" i="1"/>
  <c r="CC46" i="1" s="1"/>
  <c r="CB41" i="1"/>
  <c r="CC40" i="1" s="1"/>
  <c r="CB33" i="1"/>
  <c r="CC32" i="1" s="1"/>
  <c r="CB27" i="1"/>
  <c r="CC26" i="1" s="1"/>
  <c r="CB13" i="1"/>
  <c r="CC12" i="1" s="1"/>
  <c r="CH35" i="1"/>
  <c r="CI34" i="1" s="1"/>
  <c r="CH28" i="1"/>
  <c r="CI27" i="1" s="1"/>
  <c r="CH13" i="1"/>
  <c r="CI12" i="1" s="1"/>
  <c r="CN71" i="1"/>
  <c r="CN65" i="1"/>
  <c r="CN58" i="1"/>
  <c r="CO57" i="1" s="1"/>
  <c r="CN52" i="1"/>
  <c r="CO51" i="1" s="1"/>
  <c r="CN43" i="1"/>
  <c r="CO42" i="1" s="1"/>
  <c r="CN36" i="1"/>
  <c r="CN28" i="1"/>
  <c r="CO27" i="1" s="1"/>
  <c r="CN21" i="1"/>
  <c r="CO20" i="1" s="1"/>
  <c r="CN12" i="1"/>
  <c r="CT67" i="1"/>
  <c r="CT62" i="1"/>
  <c r="CV62" i="1" s="1"/>
  <c r="CX63" i="1" s="1"/>
  <c r="CT55" i="1"/>
  <c r="CU54" i="1" s="1"/>
  <c r="CT47" i="1"/>
  <c r="CU46" i="1" s="1"/>
  <c r="CT39" i="1"/>
  <c r="CU38" i="1" s="1"/>
  <c r="CT31" i="1"/>
  <c r="CU30" i="1" s="1"/>
  <c r="CT23" i="1"/>
  <c r="CU22" i="1" s="1"/>
  <c r="CT15" i="1"/>
  <c r="CU14" i="1" s="1"/>
  <c r="CZ7" i="1"/>
  <c r="CZ68" i="1"/>
  <c r="CZ61" i="1"/>
  <c r="CZ53" i="1"/>
  <c r="DA52" i="1" s="1"/>
  <c r="CZ46" i="1"/>
  <c r="DA45" i="1" s="1"/>
  <c r="CZ37" i="1"/>
  <c r="DA36" i="1" s="1"/>
  <c r="CZ29" i="1"/>
  <c r="DA28" i="1" s="1"/>
  <c r="CZ21" i="1"/>
  <c r="DA20" i="1" s="1"/>
  <c r="CZ14" i="1"/>
  <c r="DF7" i="1"/>
  <c r="DF70" i="1"/>
  <c r="DG69" i="1" s="1"/>
  <c r="DF63" i="1"/>
  <c r="DF57" i="1"/>
  <c r="DG56" i="1" s="1"/>
  <c r="DF48" i="1"/>
  <c r="DG47" i="1" s="1"/>
  <c r="DF41" i="1"/>
  <c r="DG40" i="1" s="1"/>
  <c r="DF34" i="1"/>
  <c r="DF27" i="1"/>
  <c r="DG26" i="1" s="1"/>
  <c r="DF18" i="1"/>
  <c r="DG17" i="1" s="1"/>
  <c r="DF11" i="1"/>
  <c r="DG10" i="1" s="1"/>
  <c r="BP7" i="1"/>
  <c r="BV71" i="1"/>
  <c r="BV65" i="1"/>
  <c r="BW64" i="1" s="1"/>
  <c r="BV57" i="1"/>
  <c r="BW56" i="1" s="1"/>
  <c r="BV50" i="1"/>
  <c r="BW49" i="1" s="1"/>
  <c r="BV42" i="1"/>
  <c r="BW41" i="1" s="1"/>
  <c r="BV35" i="1"/>
  <c r="BW34" i="1" s="1"/>
  <c r="BV28" i="1"/>
  <c r="BW27" i="1" s="1"/>
  <c r="BV20" i="1"/>
  <c r="BV11" i="1"/>
  <c r="BW10" i="1" s="1"/>
  <c r="BP62" i="1"/>
  <c r="BQ61" i="1" s="1"/>
  <c r="BR61" i="1" s="1"/>
  <c r="BP53" i="1"/>
  <c r="BQ52" i="1" s="1"/>
  <c r="BP45" i="1"/>
  <c r="BQ44" i="1" s="1"/>
  <c r="BP37" i="1"/>
  <c r="BQ36" i="1" s="1"/>
  <c r="BP29" i="1"/>
  <c r="BQ28" i="1" s="1"/>
  <c r="BP21" i="1"/>
  <c r="BQ20" i="1" s="1"/>
  <c r="BP13" i="1"/>
  <c r="BQ12" i="1" s="1"/>
  <c r="BJ72" i="1"/>
  <c r="BJ64" i="1"/>
  <c r="BJ55" i="1"/>
  <c r="BK54" i="1" s="1"/>
  <c r="BJ47" i="1"/>
  <c r="BJ31" i="1"/>
  <c r="BK30" i="1" s="1"/>
  <c r="CB71" i="1"/>
  <c r="CC70" i="1" s="1"/>
  <c r="CB59" i="1"/>
  <c r="CC58" i="1" s="1"/>
  <c r="CB46" i="1"/>
  <c r="CC45" i="1" s="1"/>
  <c r="CB26" i="1"/>
  <c r="CB19" i="1"/>
  <c r="CC18" i="1" s="1"/>
  <c r="CB12" i="1"/>
  <c r="CH74" i="1"/>
  <c r="CI73" i="1" s="1"/>
  <c r="CH70" i="1"/>
  <c r="CH65" i="1"/>
  <c r="CH58" i="1"/>
  <c r="CH49" i="1"/>
  <c r="CI48" i="1" s="1"/>
  <c r="CH42" i="1"/>
  <c r="CI41" i="1" s="1"/>
  <c r="CH27" i="1"/>
  <c r="CI26" i="1" s="1"/>
  <c r="CH20" i="1"/>
  <c r="CI19" i="1" s="1"/>
  <c r="CN63" i="1"/>
  <c r="CN57" i="1"/>
  <c r="CO56" i="1" s="1"/>
  <c r="CN51" i="1"/>
  <c r="CO50" i="1" s="1"/>
  <c r="CN35" i="1"/>
  <c r="CO34" i="1" s="1"/>
  <c r="CN27" i="1"/>
  <c r="CO26" i="1" s="1"/>
  <c r="CN20" i="1"/>
  <c r="CT74" i="1"/>
  <c r="CU73" i="1" s="1"/>
  <c r="CT46" i="1"/>
  <c r="CT30" i="1"/>
  <c r="CU29" i="1" s="1"/>
  <c r="CT22" i="1"/>
  <c r="CU21" i="1" s="1"/>
  <c r="CT14" i="1"/>
  <c r="CU13" i="1" s="1"/>
  <c r="CZ67" i="1"/>
  <c r="DA66" i="1" s="1"/>
  <c r="CZ52" i="1"/>
  <c r="CZ45" i="1"/>
  <c r="DA44" i="1" s="1"/>
  <c r="CZ35" i="1"/>
  <c r="DA34" i="1" s="1"/>
  <c r="CZ28" i="1"/>
  <c r="CZ20" i="1"/>
  <c r="CZ13" i="1"/>
  <c r="DA12" i="1" s="1"/>
  <c r="DF69" i="1"/>
  <c r="DG68" i="1" s="1"/>
  <c r="DF55" i="1"/>
  <c r="DG54" i="1" s="1"/>
  <c r="DF47" i="1"/>
  <c r="DG46" i="1" s="1"/>
  <c r="DF40" i="1"/>
  <c r="DF33" i="1"/>
  <c r="DG32" i="1" s="1"/>
  <c r="DF26" i="1"/>
  <c r="DF17" i="1"/>
  <c r="DG16" i="1" s="1"/>
  <c r="DH16" i="1" s="1"/>
  <c r="DF10" i="1"/>
  <c r="DF38" i="1"/>
  <c r="DF22" i="1"/>
  <c r="DF14" i="1"/>
  <c r="DF37" i="1"/>
  <c r="DG36" i="1" s="1"/>
  <c r="DF29" i="1"/>
  <c r="DG28" i="1" s="1"/>
  <c r="DF21" i="1"/>
  <c r="DG20" i="1" s="1"/>
  <c r="DF13" i="1"/>
  <c r="DG12" i="1" s="1"/>
  <c r="DF36" i="1"/>
  <c r="DG35" i="1" s="1"/>
  <c r="DF20" i="1"/>
  <c r="DG19" i="1" s="1"/>
  <c r="DG15" i="1"/>
  <c r="DB52" i="1" l="1"/>
  <c r="DD53" i="1" s="1"/>
  <c r="DE53" i="1" s="1"/>
  <c r="CD31" i="1"/>
  <c r="CE31" i="1" s="1"/>
  <c r="DB20" i="1"/>
  <c r="DD21" i="1" s="1"/>
  <c r="DE21" i="1" s="1"/>
  <c r="DH31" i="1"/>
  <c r="DJ32" i="1" s="1"/>
  <c r="DK32" i="1" s="1"/>
  <c r="CD24" i="1"/>
  <c r="CE24" i="1" s="1"/>
  <c r="AU85" i="3"/>
  <c r="DA76" i="3"/>
  <c r="AT84" i="3"/>
  <c r="AT83" i="2"/>
  <c r="AT84" i="2"/>
  <c r="AT82" i="2"/>
  <c r="AT88" i="2"/>
  <c r="AT80" i="2"/>
  <c r="DB28" i="1"/>
  <c r="DC28" i="1" s="1"/>
  <c r="CP59" i="1"/>
  <c r="CQ59" i="1" s="1"/>
  <c r="BR57" i="1"/>
  <c r="BS57" i="1" s="1"/>
  <c r="BR19" i="1"/>
  <c r="BT20" i="1" s="1"/>
  <c r="BU20" i="1" s="1"/>
  <c r="BL17" i="1"/>
  <c r="BM17" i="1" s="1"/>
  <c r="DH65" i="1"/>
  <c r="DI65" i="1" s="1"/>
  <c r="BX68" i="1"/>
  <c r="BY68" i="1" s="1"/>
  <c r="BK73" i="1"/>
  <c r="BL73" i="1" s="1"/>
  <c r="BN74" i="1" s="1"/>
  <c r="BO74" i="1" s="1"/>
  <c r="DA73" i="1"/>
  <c r="DB73" i="1" s="1"/>
  <c r="DD74" i="1" s="1"/>
  <c r="DE74" i="1" s="1"/>
  <c r="CV64" i="1"/>
  <c r="CX65" i="1" s="1"/>
  <c r="CY65" i="1" s="1"/>
  <c r="DB63" i="1"/>
  <c r="DC63" i="1" s="1"/>
  <c r="CV60" i="1"/>
  <c r="CX61" i="1" s="1"/>
  <c r="CY61" i="1" s="1"/>
  <c r="CJ66" i="1"/>
  <c r="CL67" i="1" s="1"/>
  <c r="CM67" i="1" s="1"/>
  <c r="AU81" i="2"/>
  <c r="BL37" i="1"/>
  <c r="BN38" i="1" s="1"/>
  <c r="BO38" i="1" s="1"/>
  <c r="BR67" i="1"/>
  <c r="BT68" i="1" s="1"/>
  <c r="BU68" i="1" s="1"/>
  <c r="DH56" i="1"/>
  <c r="DJ57" i="1" s="1"/>
  <c r="DK57" i="1" s="1"/>
  <c r="CP67" i="1"/>
  <c r="CR68" i="1" s="1"/>
  <c r="CS68" i="1" s="1"/>
  <c r="CY76" i="3"/>
  <c r="BR48" i="1"/>
  <c r="BT49" i="1" s="1"/>
  <c r="BU49" i="1" s="1"/>
  <c r="BR12" i="1"/>
  <c r="BS12" i="1" s="1"/>
  <c r="AT88" i="3"/>
  <c r="DH50" i="1"/>
  <c r="DI50" i="1" s="1"/>
  <c r="CV20" i="1"/>
  <c r="BX18" i="1"/>
  <c r="BY18" i="1" s="1"/>
  <c r="BR50" i="1"/>
  <c r="BT51" i="1" s="1"/>
  <c r="BU51" i="1" s="1"/>
  <c r="CV47" i="1"/>
  <c r="BR65" i="1"/>
  <c r="BT66" i="1" s="1"/>
  <c r="BU66" i="1" s="1"/>
  <c r="CD13" i="1"/>
  <c r="CE13" i="1" s="1"/>
  <c r="CO73" i="1"/>
  <c r="CP73" i="1" s="1"/>
  <c r="CQ73" i="1" s="1"/>
  <c r="DH64" i="1"/>
  <c r="DJ65" i="1" s="1"/>
  <c r="DK65" i="1" s="1"/>
  <c r="CP18" i="1"/>
  <c r="CR19" i="1" s="1"/>
  <c r="CS19" i="1" s="1"/>
  <c r="BL16" i="1"/>
  <c r="BM16" i="1" s="1"/>
  <c r="CD38" i="1"/>
  <c r="CE38" i="1" s="1"/>
  <c r="CJ50" i="1"/>
  <c r="CL51" i="1" s="1"/>
  <c r="CM51" i="1" s="1"/>
  <c r="CJ8" i="1"/>
  <c r="CL9" i="1" s="1"/>
  <c r="CM9" i="1" s="1"/>
  <c r="BX33" i="1"/>
  <c r="BY33" i="1" s="1"/>
  <c r="DB11" i="1"/>
  <c r="DC11" i="1" s="1"/>
  <c r="CZ76" i="3"/>
  <c r="CD52" i="1"/>
  <c r="CF53" i="1" s="1"/>
  <c r="CG53" i="1" s="1"/>
  <c r="BL44" i="1"/>
  <c r="BN45" i="1" s="1"/>
  <c r="BO45" i="1" s="1"/>
  <c r="DG61" i="1"/>
  <c r="DH61" i="1" s="1"/>
  <c r="CV10" i="1"/>
  <c r="DH53" i="1"/>
  <c r="DI53" i="1" s="1"/>
  <c r="CD70" i="1"/>
  <c r="CE70" i="1" s="1"/>
  <c r="CJ54" i="1"/>
  <c r="CK54" i="1" s="1"/>
  <c r="CJ10" i="1"/>
  <c r="CL11" i="1" s="1"/>
  <c r="CM11" i="1" s="1"/>
  <c r="DB10" i="1"/>
  <c r="DC10" i="1" s="1"/>
  <c r="CV8" i="1"/>
  <c r="BX46" i="1"/>
  <c r="BZ47" i="1" s="1"/>
  <c r="CA47" i="1" s="1"/>
  <c r="CV35" i="1"/>
  <c r="BR9" i="1"/>
  <c r="BT10" i="1" s="1"/>
  <c r="BU10" i="1" s="1"/>
  <c r="CV18" i="1"/>
  <c r="BR58" i="1"/>
  <c r="BT59" i="1" s="1"/>
  <c r="BU59" i="1" s="1"/>
  <c r="BX38" i="1"/>
  <c r="BY38" i="1" s="1"/>
  <c r="BK43" i="1"/>
  <c r="BL43" i="1" s="1"/>
  <c r="BM43" i="1" s="1"/>
  <c r="CP16" i="1"/>
  <c r="CR17" i="1" s="1"/>
  <c r="CS17" i="1" s="1"/>
  <c r="BX56" i="1"/>
  <c r="BY56" i="1" s="1"/>
  <c r="DB26" i="1"/>
  <c r="DD27" i="1" s="1"/>
  <c r="DE27" i="1" s="1"/>
  <c r="BQ49" i="1"/>
  <c r="BR49" i="1" s="1"/>
  <c r="BS49" i="1" s="1"/>
  <c r="CP25" i="1"/>
  <c r="CQ25" i="1" s="1"/>
  <c r="DB22" i="1"/>
  <c r="DD23" i="1" s="1"/>
  <c r="DE23" i="1" s="1"/>
  <c r="CV33" i="1"/>
  <c r="BX32" i="1"/>
  <c r="BY32" i="1" s="1"/>
  <c r="CP47" i="1"/>
  <c r="CQ47" i="1" s="1"/>
  <c r="BR8" i="1"/>
  <c r="BT9" i="1" s="1"/>
  <c r="BU9" i="1" s="1"/>
  <c r="BX24" i="1"/>
  <c r="BY24" i="1" s="1"/>
  <c r="AU88" i="3"/>
  <c r="BW67" i="1"/>
  <c r="BX67" i="1" s="1"/>
  <c r="CD58" i="1"/>
  <c r="CF59" i="1" s="1"/>
  <c r="CG59" i="1" s="1"/>
  <c r="BX12" i="1"/>
  <c r="BY12" i="1" s="1"/>
  <c r="BR51" i="1"/>
  <c r="BT52" i="1" s="1"/>
  <c r="BU52" i="1" s="1"/>
  <c r="CP41" i="1"/>
  <c r="CR42" i="1" s="1"/>
  <c r="CS42" i="1" s="1"/>
  <c r="CJ55" i="1"/>
  <c r="CK55" i="1" s="1"/>
  <c r="CP8" i="1"/>
  <c r="CR9" i="1" s="1"/>
  <c r="CS9" i="1" s="1"/>
  <c r="BL18" i="1"/>
  <c r="BM18" i="1" s="1"/>
  <c r="DH38" i="1"/>
  <c r="DJ39" i="1" s="1"/>
  <c r="DK39" i="1" s="1"/>
  <c r="CV13" i="1"/>
  <c r="BX34" i="1"/>
  <c r="BZ35" i="1" s="1"/>
  <c r="CA35" i="1" s="1"/>
  <c r="BL34" i="1"/>
  <c r="BM34" i="1" s="1"/>
  <c r="CI68" i="1"/>
  <c r="CJ68" i="1" s="1"/>
  <c r="BL29" i="1"/>
  <c r="BM29" i="1" s="1"/>
  <c r="DB50" i="1"/>
  <c r="DD51" i="1" s="1"/>
  <c r="DE51" i="1" s="1"/>
  <c r="CP22" i="1"/>
  <c r="CQ22" i="1" s="1"/>
  <c r="CP44" i="1"/>
  <c r="CQ44" i="1" s="1"/>
  <c r="CV11" i="1"/>
  <c r="DH54" i="1"/>
  <c r="DJ55" i="1" s="1"/>
  <c r="DK55" i="1" s="1"/>
  <c r="BX36" i="1"/>
  <c r="BZ37" i="1" s="1"/>
  <c r="CA37" i="1" s="1"/>
  <c r="DA53" i="1"/>
  <c r="DB53" i="1" s="1"/>
  <c r="DC53" i="1" s="1"/>
  <c r="CV27" i="1"/>
  <c r="CW27" i="1" s="1"/>
  <c r="CP56" i="1"/>
  <c r="CR57" i="1" s="1"/>
  <c r="CS57" i="1" s="1"/>
  <c r="BW31" i="1"/>
  <c r="BX31" i="1" s="1"/>
  <c r="BY31" i="1" s="1"/>
  <c r="DA49" i="1"/>
  <c r="DB49" i="1" s="1"/>
  <c r="DD50" i="1" s="1"/>
  <c r="DE50" i="1" s="1"/>
  <c r="BR64" i="1"/>
  <c r="BT65" i="1" s="1"/>
  <c r="BU65" i="1" s="1"/>
  <c r="CX76" i="3"/>
  <c r="BR36" i="1"/>
  <c r="BS36" i="1" s="1"/>
  <c r="CD16" i="1"/>
  <c r="CF17" i="1" s="1"/>
  <c r="CG17" i="1" s="1"/>
  <c r="CJ31" i="1"/>
  <c r="CL32" i="1" s="1"/>
  <c r="CM32" i="1" s="1"/>
  <c r="BR44" i="1"/>
  <c r="BT45" i="1" s="1"/>
  <c r="BU45" i="1" s="1"/>
  <c r="CD14" i="1"/>
  <c r="CE14" i="1" s="1"/>
  <c r="AT85" i="3"/>
  <c r="AV85" i="3" s="1"/>
  <c r="BR59" i="1"/>
  <c r="BT60" i="1" s="1"/>
  <c r="BU60" i="1" s="1"/>
  <c r="CD8" i="1"/>
  <c r="CE8" i="1" s="1"/>
  <c r="CV40" i="1"/>
  <c r="CD9" i="1"/>
  <c r="CF10" i="1" s="1"/>
  <c r="CG10" i="1" s="1"/>
  <c r="DH68" i="1"/>
  <c r="DJ69" i="1" s="1"/>
  <c r="DK69" i="1" s="1"/>
  <c r="CJ40" i="1"/>
  <c r="CK40" i="1" s="1"/>
  <c r="BX45" i="1"/>
  <c r="BZ46" i="1" s="1"/>
  <c r="CA46" i="1" s="1"/>
  <c r="CP14" i="1"/>
  <c r="CQ14" i="1" s="1"/>
  <c r="BL45" i="1"/>
  <c r="BM45" i="1" s="1"/>
  <c r="CJ44" i="1"/>
  <c r="CL45" i="1" s="1"/>
  <c r="CM45" i="1" s="1"/>
  <c r="CD57" i="1"/>
  <c r="CE57" i="1" s="1"/>
  <c r="BX53" i="1"/>
  <c r="BZ54" i="1" s="1"/>
  <c r="CA54" i="1" s="1"/>
  <c r="BQ69" i="1"/>
  <c r="BR69" i="1" s="1"/>
  <c r="BS69" i="1" s="1"/>
  <c r="CI49" i="1"/>
  <c r="CJ49" i="1" s="1"/>
  <c r="CL50" i="1" s="1"/>
  <c r="CM50" i="1" s="1"/>
  <c r="DA64" i="1"/>
  <c r="DB64" i="1" s="1"/>
  <c r="DD65" i="1" s="1"/>
  <c r="DE65" i="1" s="1"/>
  <c r="BX35" i="1"/>
  <c r="BY35" i="1" s="1"/>
  <c r="BX7" i="1"/>
  <c r="BZ8" i="1" s="1"/>
  <c r="CA8" i="1" s="1"/>
  <c r="CP39" i="1"/>
  <c r="CR40" i="1" s="1"/>
  <c r="CS40" i="1" s="1"/>
  <c r="CD36" i="1"/>
  <c r="CF37" i="1" s="1"/>
  <c r="CG37" i="1" s="1"/>
  <c r="BR66" i="1"/>
  <c r="BS66" i="1" s="1"/>
  <c r="CJ41" i="1"/>
  <c r="CL42" i="1" s="1"/>
  <c r="CM42" i="1" s="1"/>
  <c r="BX10" i="1"/>
  <c r="BZ11" i="1" s="1"/>
  <c r="CA11" i="1" s="1"/>
  <c r="CP36" i="1"/>
  <c r="CQ36" i="1" s="1"/>
  <c r="BR68" i="1"/>
  <c r="BT69" i="1" s="1"/>
  <c r="BU69" i="1" s="1"/>
  <c r="CV34" i="1"/>
  <c r="DG67" i="1"/>
  <c r="DH67" i="1" s="1"/>
  <c r="DJ68" i="1" s="1"/>
  <c r="DK68" i="1" s="1"/>
  <c r="CV41" i="1"/>
  <c r="BR42" i="1"/>
  <c r="BS42" i="1" s="1"/>
  <c r="BR74" i="1"/>
  <c r="BS74" i="1" s="1"/>
  <c r="CO66" i="1"/>
  <c r="CP66" i="1" s="1"/>
  <c r="CR67" i="1" s="1"/>
  <c r="CS67" i="1" s="1"/>
  <c r="CV19" i="1"/>
  <c r="DD66" i="1"/>
  <c r="DE66" i="1" s="1"/>
  <c r="DG55" i="1"/>
  <c r="DH55" i="1" s="1"/>
  <c r="DI55" i="1" s="1"/>
  <c r="BL49" i="1"/>
  <c r="BN50" i="1" s="1"/>
  <c r="BO50" i="1" s="1"/>
  <c r="CJ72" i="1"/>
  <c r="CL73" i="1" s="1"/>
  <c r="CM73" i="1" s="1"/>
  <c r="CD10" i="1"/>
  <c r="CF11" i="1" s="1"/>
  <c r="CG11" i="1" s="1"/>
  <c r="DH69" i="1"/>
  <c r="DI69" i="1" s="1"/>
  <c r="CV54" i="1"/>
  <c r="DH66" i="1"/>
  <c r="DI66" i="1" s="1"/>
  <c r="CJ16" i="1"/>
  <c r="CL17" i="1" s="1"/>
  <c r="CM17" i="1" s="1"/>
  <c r="CV44" i="1"/>
  <c r="BL9" i="1"/>
  <c r="BL25" i="1"/>
  <c r="BM25" i="1" s="1"/>
  <c r="BR26" i="1"/>
  <c r="BT27" i="1" s="1"/>
  <c r="BU27" i="1" s="1"/>
  <c r="DH73" i="1"/>
  <c r="DI73" i="1" s="1"/>
  <c r="CV57" i="1"/>
  <c r="DB32" i="1"/>
  <c r="DD33" i="1" s="1"/>
  <c r="DE33" i="1" s="1"/>
  <c r="DB42" i="1"/>
  <c r="DD43" i="1" s="1"/>
  <c r="DE43" i="1" s="1"/>
  <c r="CD42" i="1"/>
  <c r="CF43" i="1" s="1"/>
  <c r="CG43" i="1" s="1"/>
  <c r="CP13" i="1"/>
  <c r="CQ13" i="1" s="1"/>
  <c r="BX25" i="1"/>
  <c r="BY25" i="1" s="1"/>
  <c r="CP72" i="1"/>
  <c r="CQ72" i="1" s="1"/>
  <c r="CV49" i="1"/>
  <c r="CD22" i="1"/>
  <c r="CF23" i="1" s="1"/>
  <c r="CG23" i="1" s="1"/>
  <c r="BL59" i="1"/>
  <c r="BM59" i="1" s="1"/>
  <c r="BL61" i="1"/>
  <c r="BM61" i="1" s="1"/>
  <c r="AT83" i="3"/>
  <c r="AU83" i="3"/>
  <c r="BL20" i="1"/>
  <c r="BN21" i="1" s="1"/>
  <c r="BO21" i="1" s="1"/>
  <c r="DH42" i="1"/>
  <c r="DJ43" i="1" s="1"/>
  <c r="DK43" i="1" s="1"/>
  <c r="DG43" i="1"/>
  <c r="DH43" i="1" s="1"/>
  <c r="DH44" i="1"/>
  <c r="DI44" i="1" s="1"/>
  <c r="CJ14" i="1"/>
  <c r="CK14" i="1" s="1"/>
  <c r="CI13" i="1"/>
  <c r="CJ13" i="1" s="1"/>
  <c r="CK13" i="1" s="1"/>
  <c r="CU71" i="1"/>
  <c r="CV71" i="1" s="1"/>
  <c r="CV72" i="1"/>
  <c r="DB40" i="1"/>
  <c r="DC40" i="1" s="1"/>
  <c r="DA39" i="1"/>
  <c r="DB39" i="1" s="1"/>
  <c r="DD40" i="1" s="1"/>
  <c r="DE40" i="1" s="1"/>
  <c r="DG51" i="1"/>
  <c r="DH51" i="1" s="1"/>
  <c r="DI51" i="1" s="1"/>
  <c r="DH52" i="1"/>
  <c r="DJ53" i="1" s="1"/>
  <c r="DK53" i="1" s="1"/>
  <c r="DG58" i="1"/>
  <c r="DH58" i="1" s="1"/>
  <c r="CP31" i="1"/>
  <c r="CR32" i="1" s="1"/>
  <c r="CS32" i="1" s="1"/>
  <c r="DB33" i="1"/>
  <c r="DC33" i="1" s="1"/>
  <c r="CD34" i="1"/>
  <c r="CE34" i="1" s="1"/>
  <c r="CC33" i="1"/>
  <c r="CD33" i="1" s="1"/>
  <c r="CE33" i="1" s="1"/>
  <c r="CU65" i="1"/>
  <c r="CV65" i="1" s="1"/>
  <c r="CV17" i="1"/>
  <c r="BX27" i="1"/>
  <c r="BZ28" i="1" s="1"/>
  <c r="CA28" i="1" s="1"/>
  <c r="CJ56" i="1"/>
  <c r="CL57" i="1" s="1"/>
  <c r="CM57" i="1" s="1"/>
  <c r="BL42" i="1"/>
  <c r="BN43" i="1" s="1"/>
  <c r="BO43" i="1" s="1"/>
  <c r="BR18" i="1"/>
  <c r="BS18" i="1" s="1"/>
  <c r="CJ32" i="1"/>
  <c r="CL33" i="1" s="1"/>
  <c r="CM33" i="1" s="1"/>
  <c r="DB24" i="1"/>
  <c r="DD25" i="1" s="1"/>
  <c r="DE25" i="1" s="1"/>
  <c r="CJ25" i="1"/>
  <c r="CL26" i="1" s="1"/>
  <c r="CM26" i="1" s="1"/>
  <c r="CV21" i="1"/>
  <c r="BX41" i="1"/>
  <c r="BY41" i="1" s="1"/>
  <c r="BR24" i="1"/>
  <c r="CP15" i="1"/>
  <c r="CR16" i="1" s="1"/>
  <c r="CS16" i="1" s="1"/>
  <c r="CU61" i="1"/>
  <c r="CV61" i="1" s="1"/>
  <c r="CX62" i="1" s="1"/>
  <c r="CD17" i="1"/>
  <c r="CE17" i="1" s="1"/>
  <c r="BL26" i="1"/>
  <c r="BM26" i="1" s="1"/>
  <c r="CD74" i="1"/>
  <c r="CE74" i="1" s="1"/>
  <c r="DH72" i="1"/>
  <c r="DJ73" i="1" s="1"/>
  <c r="DK73" i="1" s="1"/>
  <c r="DA62" i="1"/>
  <c r="DB62" i="1" s="1"/>
  <c r="CP58" i="1"/>
  <c r="CQ58" i="1" s="1"/>
  <c r="BQ25" i="1"/>
  <c r="BR25" i="1" s="1"/>
  <c r="BT26" i="1" s="1"/>
  <c r="BU26" i="1" s="1"/>
  <c r="AU84" i="3"/>
  <c r="CD30" i="1"/>
  <c r="CF31" i="1" s="1"/>
  <c r="CG31" i="1" s="1"/>
  <c r="CV24" i="1"/>
  <c r="BX63" i="1"/>
  <c r="BZ64" i="1" s="1"/>
  <c r="CA64" i="1" s="1"/>
  <c r="CP42" i="1"/>
  <c r="CR43" i="1" s="1"/>
  <c r="CS43" i="1" s="1"/>
  <c r="CP10" i="1"/>
  <c r="CR11" i="1" s="1"/>
  <c r="CS11" i="1" s="1"/>
  <c r="CD28" i="1"/>
  <c r="CE28" i="1" s="1"/>
  <c r="BQ10" i="1"/>
  <c r="BR10" i="1" s="1"/>
  <c r="BT11" i="1" s="1"/>
  <c r="BU11" i="1" s="1"/>
  <c r="BR11" i="1"/>
  <c r="BX8" i="1"/>
  <c r="BY8" i="1" s="1"/>
  <c r="CJ58" i="1"/>
  <c r="CK58" i="1" s="1"/>
  <c r="CI57" i="1"/>
  <c r="CJ57" i="1" s="1"/>
  <c r="CL58" i="1" s="1"/>
  <c r="CM58" i="1" s="1"/>
  <c r="BX72" i="1"/>
  <c r="BW71" i="1"/>
  <c r="BX71" i="1" s="1"/>
  <c r="BR15" i="1"/>
  <c r="AU86" i="2"/>
  <c r="AT86" i="2"/>
  <c r="BX28" i="1"/>
  <c r="BY28" i="1" s="1"/>
  <c r="BK72" i="1"/>
  <c r="BL72" i="1" s="1"/>
  <c r="BX9" i="1"/>
  <c r="BY9" i="1" s="1"/>
  <c r="CP60" i="1"/>
  <c r="CR61" i="1" s="1"/>
  <c r="CS61" i="1" s="1"/>
  <c r="DH35" i="1"/>
  <c r="DJ36" i="1" s="1"/>
  <c r="DK36" i="1" s="1"/>
  <c r="DB12" i="1"/>
  <c r="DC12" i="1" s="1"/>
  <c r="BL30" i="1"/>
  <c r="BN31" i="1" s="1"/>
  <c r="BO31" i="1" s="1"/>
  <c r="CV50" i="1"/>
  <c r="DB43" i="1"/>
  <c r="DC43" i="1" s="1"/>
  <c r="BQ34" i="1"/>
  <c r="BR34" i="1" s="1"/>
  <c r="BR35" i="1"/>
  <c r="BT36" i="1" s="1"/>
  <c r="BU36" i="1" s="1"/>
  <c r="CP38" i="1"/>
  <c r="CR39" i="1" s="1"/>
  <c r="CS39" i="1" s="1"/>
  <c r="CO37" i="1"/>
  <c r="CP37" i="1" s="1"/>
  <c r="CR38" i="1" s="1"/>
  <c r="CS38" i="1" s="1"/>
  <c r="BK67" i="1"/>
  <c r="BL67" i="1" s="1"/>
  <c r="BM67" i="1" s="1"/>
  <c r="BW59" i="1"/>
  <c r="BX59" i="1" s="1"/>
  <c r="BZ60" i="1" s="1"/>
  <c r="CA60" i="1" s="1"/>
  <c r="BX60" i="1"/>
  <c r="BY60" i="1" s="1"/>
  <c r="BQ33" i="1"/>
  <c r="BR33" i="1" s="1"/>
  <c r="BT34" i="1" s="1"/>
  <c r="BU34" i="1" s="1"/>
  <c r="CC65" i="1"/>
  <c r="CD65" i="1" s="1"/>
  <c r="CE65" i="1" s="1"/>
  <c r="CJ38" i="1"/>
  <c r="CL39" i="1" s="1"/>
  <c r="CM39" i="1" s="1"/>
  <c r="CI37" i="1"/>
  <c r="CJ37" i="1" s="1"/>
  <c r="CK37" i="1" s="1"/>
  <c r="DH70" i="1"/>
  <c r="DJ71" i="1" s="1"/>
  <c r="DK71" i="1" s="1"/>
  <c r="BL32" i="1"/>
  <c r="BM32" i="1" s="1"/>
  <c r="DA59" i="1"/>
  <c r="DB59" i="1" s="1"/>
  <c r="CC63" i="1"/>
  <c r="CD63" i="1" s="1"/>
  <c r="CF64" i="1" s="1"/>
  <c r="CG64" i="1" s="1"/>
  <c r="CD64" i="1"/>
  <c r="CE64" i="1" s="1"/>
  <c r="BX40" i="1"/>
  <c r="BY40" i="1" s="1"/>
  <c r="CP69" i="1"/>
  <c r="CO68" i="1"/>
  <c r="CP68" i="1" s="1"/>
  <c r="CQ68" i="1" s="1"/>
  <c r="AT85" i="2"/>
  <c r="DG33" i="1"/>
  <c r="DH33" i="1" s="1"/>
  <c r="DJ34" i="1" s="1"/>
  <c r="DK34" i="1" s="1"/>
  <c r="DH34" i="1"/>
  <c r="BR43" i="1"/>
  <c r="BT44" i="1" s="1"/>
  <c r="BU44" i="1" s="1"/>
  <c r="AU84" i="2"/>
  <c r="BX52" i="1"/>
  <c r="BY52" i="1" s="1"/>
  <c r="BW51" i="1"/>
  <c r="BX51" i="1" s="1"/>
  <c r="BY51" i="1" s="1"/>
  <c r="BX26" i="1"/>
  <c r="BL51" i="1"/>
  <c r="BN52" i="1" s="1"/>
  <c r="BO52" i="1" s="1"/>
  <c r="DB38" i="1"/>
  <c r="DD39" i="1" s="1"/>
  <c r="DE39" i="1" s="1"/>
  <c r="DA37" i="1"/>
  <c r="DB37" i="1" s="1"/>
  <c r="BX54" i="1"/>
  <c r="BY54" i="1" s="1"/>
  <c r="CV70" i="1"/>
  <c r="CU69" i="1"/>
  <c r="CV69" i="1" s="1"/>
  <c r="CO11" i="1"/>
  <c r="CP11" i="1" s="1"/>
  <c r="CQ11" i="1" s="1"/>
  <c r="CP12" i="1"/>
  <c r="CR13" i="1" s="1"/>
  <c r="CS13" i="1" s="1"/>
  <c r="BJ76" i="3"/>
  <c r="AT81" i="3"/>
  <c r="BI76" i="3"/>
  <c r="BL21" i="1"/>
  <c r="BM21" i="1" s="1"/>
  <c r="BW11" i="1"/>
  <c r="BX11" i="1" s="1"/>
  <c r="BX30" i="1"/>
  <c r="BY30" i="1" s="1"/>
  <c r="BW29" i="1"/>
  <c r="BX29" i="1" s="1"/>
  <c r="BY29" i="1" s="1"/>
  <c r="BW13" i="1"/>
  <c r="BX13" i="1" s="1"/>
  <c r="BY13" i="1" s="1"/>
  <c r="BX14" i="1"/>
  <c r="BY14" i="1" s="1"/>
  <c r="CU31" i="1"/>
  <c r="CV31" i="1" s="1"/>
  <c r="CV32" i="1"/>
  <c r="CV58" i="1"/>
  <c r="DB48" i="1"/>
  <c r="DC48" i="1" s="1"/>
  <c r="CD51" i="1"/>
  <c r="CF52" i="1" s="1"/>
  <c r="CG52" i="1" s="1"/>
  <c r="CC50" i="1"/>
  <c r="CD50" i="1" s="1"/>
  <c r="CF51" i="1" s="1"/>
  <c r="CG51" i="1" s="1"/>
  <c r="CO65" i="1"/>
  <c r="CP65" i="1" s="1"/>
  <c r="BQ16" i="1"/>
  <c r="BR16" i="1" s="1"/>
  <c r="BR17" i="1"/>
  <c r="BS17" i="1" s="1"/>
  <c r="DB66" i="1"/>
  <c r="DC66" i="1" s="1"/>
  <c r="DA65" i="1"/>
  <c r="BK76" i="3"/>
  <c r="CJ30" i="1"/>
  <c r="CK30" i="1" s="1"/>
  <c r="CI29" i="1"/>
  <c r="CJ29" i="1" s="1"/>
  <c r="CK29" i="1" s="1"/>
  <c r="CP30" i="1"/>
  <c r="CQ30" i="1" s="1"/>
  <c r="CO29" i="1"/>
  <c r="CP29" i="1" s="1"/>
  <c r="CQ29" i="1" s="1"/>
  <c r="CV42" i="1"/>
  <c r="CP40" i="1"/>
  <c r="CR41" i="1" s="1"/>
  <c r="CS41" i="1" s="1"/>
  <c r="CU67" i="1"/>
  <c r="CC41" i="1"/>
  <c r="CD41" i="1" s="1"/>
  <c r="CE41" i="1" s="1"/>
  <c r="CJ74" i="1"/>
  <c r="CK74" i="1" s="1"/>
  <c r="CV12" i="1"/>
  <c r="CD45" i="1"/>
  <c r="CO69" i="1"/>
  <c r="CP70" i="1"/>
  <c r="CR71" i="1" s="1"/>
  <c r="CS71" i="1" s="1"/>
  <c r="AU88" i="2"/>
  <c r="DA76" i="2"/>
  <c r="CY76" i="2"/>
  <c r="CZ76" i="2"/>
  <c r="CX76" i="2"/>
  <c r="BR28" i="1"/>
  <c r="BT29" i="1" s="1"/>
  <c r="BU29" i="1" s="1"/>
  <c r="DH17" i="1"/>
  <c r="DJ18" i="1" s="1"/>
  <c r="DK18" i="1" s="1"/>
  <c r="BX64" i="1"/>
  <c r="BY64" i="1" s="1"/>
  <c r="BX62" i="1"/>
  <c r="BY62" i="1" s="1"/>
  <c r="BL8" i="1"/>
  <c r="BN9" i="1" s="1"/>
  <c r="BO9" i="1" s="1"/>
  <c r="CD56" i="1"/>
  <c r="CF57" i="1" s="1"/>
  <c r="CG57" i="1" s="1"/>
  <c r="CJ36" i="1"/>
  <c r="CL37" i="1" s="1"/>
  <c r="CM37" i="1" s="1"/>
  <c r="BX37" i="1"/>
  <c r="BZ38" i="1" s="1"/>
  <c r="CA38" i="1" s="1"/>
  <c r="CJ53" i="1"/>
  <c r="CL54" i="1" s="1"/>
  <c r="CM54" i="1" s="1"/>
  <c r="CV48" i="1"/>
  <c r="DH45" i="1"/>
  <c r="DI45" i="1" s="1"/>
  <c r="CJ48" i="1"/>
  <c r="CK48" i="1" s="1"/>
  <c r="CD37" i="1"/>
  <c r="AU82" i="2"/>
  <c r="BO76" i="2"/>
  <c r="BP76" i="2"/>
  <c r="BQ76" i="2"/>
  <c r="BN76" i="2"/>
  <c r="CV9" i="1"/>
  <c r="CV46" i="1"/>
  <c r="CD12" i="1"/>
  <c r="CF13" i="1" s="1"/>
  <c r="CG13" i="1" s="1"/>
  <c r="BR52" i="1"/>
  <c r="BT53" i="1" s="1"/>
  <c r="BU53" i="1" s="1"/>
  <c r="CJ23" i="1"/>
  <c r="CK23" i="1" s="1"/>
  <c r="DH30" i="1"/>
  <c r="DJ31" i="1" s="1"/>
  <c r="DK31" i="1" s="1"/>
  <c r="CV43" i="1"/>
  <c r="DB18" i="1"/>
  <c r="DD19" i="1" s="1"/>
  <c r="DE19" i="1" s="1"/>
  <c r="CV52" i="1"/>
  <c r="CD21" i="1"/>
  <c r="CE21" i="1" s="1"/>
  <c r="DH12" i="1"/>
  <c r="DI12" i="1" s="1"/>
  <c r="CP48" i="1"/>
  <c r="CR49" i="1" s="1"/>
  <c r="CS49" i="1" s="1"/>
  <c r="CV26" i="1"/>
  <c r="AT87" i="2"/>
  <c r="AU83" i="2"/>
  <c r="CJ39" i="1"/>
  <c r="CK39" i="1" s="1"/>
  <c r="CJ19" i="1"/>
  <c r="CK19" i="1" s="1"/>
  <c r="BL54" i="1"/>
  <c r="BM54" i="1" s="1"/>
  <c r="BX55" i="1"/>
  <c r="BY55" i="1" s="1"/>
  <c r="DH28" i="1"/>
  <c r="DJ29" i="1" s="1"/>
  <c r="DK29" i="1" s="1"/>
  <c r="DH32" i="1"/>
  <c r="DJ33" i="1" s="1"/>
  <c r="DK33" i="1" s="1"/>
  <c r="DB34" i="1"/>
  <c r="DC34" i="1" s="1"/>
  <c r="CV73" i="1"/>
  <c r="CX74" i="1" s="1"/>
  <c r="CJ26" i="1"/>
  <c r="CK26" i="1" s="1"/>
  <c r="CD18" i="1"/>
  <c r="CE18" i="1" s="1"/>
  <c r="DH47" i="1"/>
  <c r="DI47" i="1" s="1"/>
  <c r="DB36" i="1"/>
  <c r="DD37" i="1" s="1"/>
  <c r="DE37" i="1" s="1"/>
  <c r="CV30" i="1"/>
  <c r="CP27" i="1"/>
  <c r="CQ27" i="1" s="1"/>
  <c r="CD60" i="1"/>
  <c r="CF61" i="1" s="1"/>
  <c r="CG61" i="1" s="1"/>
  <c r="BR45" i="1"/>
  <c r="BX50" i="1"/>
  <c r="BY50" i="1" s="1"/>
  <c r="BR60" i="1"/>
  <c r="CD61" i="1"/>
  <c r="CF62" i="1" s="1"/>
  <c r="CG62" i="1" s="1"/>
  <c r="CJ18" i="1"/>
  <c r="CL19" i="1" s="1"/>
  <c r="CM19" i="1" s="1"/>
  <c r="CV28" i="1"/>
  <c r="DB41" i="1"/>
  <c r="DD42" i="1" s="1"/>
  <c r="DE42" i="1" s="1"/>
  <c r="AT81" i="2"/>
  <c r="BI76" i="2"/>
  <c r="BK76" i="2"/>
  <c r="BH76" i="2"/>
  <c r="BJ76" i="2"/>
  <c r="CD26" i="1"/>
  <c r="CJ34" i="1"/>
  <c r="CL35" i="1" s="1"/>
  <c r="CM35" i="1" s="1"/>
  <c r="CV16" i="1"/>
  <c r="DB8" i="1"/>
  <c r="DD9" i="1" s="1"/>
  <c r="DE9" i="1" s="1"/>
  <c r="BX17" i="1"/>
  <c r="BY17" i="1" s="1"/>
  <c r="BL60" i="1"/>
  <c r="AU80" i="2"/>
  <c r="BD76" i="2"/>
  <c r="BE76" i="2"/>
  <c r="BB76" i="2"/>
  <c r="AW76" i="2"/>
  <c r="AV76" i="2"/>
  <c r="BC76" i="2"/>
  <c r="AX76" i="2"/>
  <c r="AY76" i="2"/>
  <c r="AU81" i="3"/>
  <c r="AV76" i="3"/>
  <c r="BB76" i="3"/>
  <c r="AU80" i="3"/>
  <c r="AW76" i="3"/>
  <c r="AT80" i="3"/>
  <c r="BC76" i="3"/>
  <c r="BD76" i="3"/>
  <c r="BE76" i="3"/>
  <c r="AY76" i="3"/>
  <c r="AX76" i="3"/>
  <c r="AT87" i="3"/>
  <c r="AU87" i="3"/>
  <c r="AT86" i="3"/>
  <c r="AU86" i="3"/>
  <c r="AT82" i="3"/>
  <c r="BN76" i="3"/>
  <c r="BQ76" i="3"/>
  <c r="AU82" i="3"/>
  <c r="BP76" i="3"/>
  <c r="BO76" i="3"/>
  <c r="BH76" i="3"/>
  <c r="AU85" i="2"/>
  <c r="AU87" i="2"/>
  <c r="BY44" i="1"/>
  <c r="BZ45" i="1"/>
  <c r="CA45" i="1" s="1"/>
  <c r="CJ52" i="1"/>
  <c r="CK52" i="1" s="1"/>
  <c r="CI51" i="1"/>
  <c r="CJ51" i="1" s="1"/>
  <c r="CL52" i="1" s="1"/>
  <c r="CM52" i="1" s="1"/>
  <c r="DH24" i="1"/>
  <c r="DI24" i="1" s="1"/>
  <c r="DG23" i="1"/>
  <c r="DH23" i="1" s="1"/>
  <c r="BQ40" i="1"/>
  <c r="BR40" i="1" s="1"/>
  <c r="BR41" i="1"/>
  <c r="BT42" i="1" s="1"/>
  <c r="BU42" i="1" s="1"/>
  <c r="BK10" i="1"/>
  <c r="BL10" i="1" s="1"/>
  <c r="BL11" i="1"/>
  <c r="CP50" i="1"/>
  <c r="CR51" i="1" s="1"/>
  <c r="CS51" i="1" s="1"/>
  <c r="CO49" i="1"/>
  <c r="CP49" i="1" s="1"/>
  <c r="CQ49" i="1" s="1"/>
  <c r="BW48" i="1"/>
  <c r="BX48" i="1" s="1"/>
  <c r="BX49" i="1"/>
  <c r="CJ46" i="1"/>
  <c r="CL47" i="1" s="1"/>
  <c r="CM47" i="1" s="1"/>
  <c r="CI45" i="1"/>
  <c r="CJ45" i="1" s="1"/>
  <c r="CL46" i="1" s="1"/>
  <c r="CM46" i="1" s="1"/>
  <c r="CO23" i="1"/>
  <c r="CP23" i="1" s="1"/>
  <c r="CR24" i="1" s="1"/>
  <c r="CS24" i="1" s="1"/>
  <c r="CP24" i="1"/>
  <c r="CQ24" i="1" s="1"/>
  <c r="CO61" i="1"/>
  <c r="CP61" i="1" s="1"/>
  <c r="CQ61" i="1" s="1"/>
  <c r="DA15" i="1"/>
  <c r="DB15" i="1" s="1"/>
  <c r="DC15" i="1" s="1"/>
  <c r="DB16" i="1"/>
  <c r="DD17" i="1" s="1"/>
  <c r="DE17" i="1" s="1"/>
  <c r="BW47" i="1"/>
  <c r="BX47" i="1" s="1"/>
  <c r="BY47" i="1" s="1"/>
  <c r="CJ22" i="1"/>
  <c r="CK22" i="1" s="1"/>
  <c r="CI21" i="1"/>
  <c r="CJ21" i="1" s="1"/>
  <c r="CK21" i="1" s="1"/>
  <c r="DG59" i="1"/>
  <c r="DH59" i="1" s="1"/>
  <c r="CJ60" i="1"/>
  <c r="CL61" i="1" s="1"/>
  <c r="CM61" i="1" s="1"/>
  <c r="CI59" i="1"/>
  <c r="CJ59" i="1" s="1"/>
  <c r="CL60" i="1" s="1"/>
  <c r="CM60" i="1" s="1"/>
  <c r="DA58" i="1"/>
  <c r="DB58" i="1" s="1"/>
  <c r="BR55" i="1"/>
  <c r="CP34" i="1"/>
  <c r="CR35" i="1" s="1"/>
  <c r="CS35" i="1" s="1"/>
  <c r="CO33" i="1"/>
  <c r="CP33" i="1" s="1"/>
  <c r="CR34" i="1" s="1"/>
  <c r="CS34" i="1" s="1"/>
  <c r="DB72" i="1"/>
  <c r="DD73" i="1" s="1"/>
  <c r="DE73" i="1" s="1"/>
  <c r="DA71" i="1"/>
  <c r="DB71" i="1" s="1"/>
  <c r="DD72" i="1" s="1"/>
  <c r="DE72" i="1" s="1"/>
  <c r="DB31" i="1"/>
  <c r="DD32" i="1" s="1"/>
  <c r="DE32" i="1" s="1"/>
  <c r="DB56" i="1"/>
  <c r="DD57" i="1" s="1"/>
  <c r="DE57" i="1" s="1"/>
  <c r="CC67" i="1"/>
  <c r="CD67" i="1" s="1"/>
  <c r="DH10" i="1"/>
  <c r="DI10" i="1" s="1"/>
  <c r="DG9" i="1"/>
  <c r="DH9" i="1" s="1"/>
  <c r="CI69" i="1"/>
  <c r="CJ69" i="1" s="1"/>
  <c r="CK69" i="1" s="1"/>
  <c r="DB14" i="1"/>
  <c r="DD15" i="1" s="1"/>
  <c r="DE15" i="1" s="1"/>
  <c r="DA13" i="1"/>
  <c r="DB13" i="1" s="1"/>
  <c r="DC13" i="1" s="1"/>
  <c r="BK22" i="1"/>
  <c r="BL22" i="1" s="1"/>
  <c r="BN23" i="1" s="1"/>
  <c r="BO23" i="1" s="1"/>
  <c r="BL23" i="1"/>
  <c r="BQ21" i="1"/>
  <c r="BR21" i="1" s="1"/>
  <c r="BS21" i="1" s="1"/>
  <c r="BR22" i="1"/>
  <c r="BX16" i="1"/>
  <c r="BY16" i="1" s="1"/>
  <c r="BW15" i="1"/>
  <c r="BX15" i="1" s="1"/>
  <c r="BY15" i="1" s="1"/>
  <c r="BK27" i="1"/>
  <c r="BL27" i="1" s="1"/>
  <c r="BM27" i="1" s="1"/>
  <c r="BL28" i="1"/>
  <c r="BM28" i="1" s="1"/>
  <c r="CC19" i="1"/>
  <c r="CD19" i="1" s="1"/>
  <c r="CF20" i="1" s="1"/>
  <c r="CG20" i="1" s="1"/>
  <c r="CD20" i="1"/>
  <c r="CE20" i="1" s="1"/>
  <c r="CO45" i="1"/>
  <c r="CP45" i="1" s="1"/>
  <c r="CQ45" i="1" s="1"/>
  <c r="CP46" i="1"/>
  <c r="CQ46" i="1" s="1"/>
  <c r="BL31" i="1"/>
  <c r="BM31" i="1" s="1"/>
  <c r="BX69" i="1"/>
  <c r="BZ70" i="1" s="1"/>
  <c r="CA70" i="1" s="1"/>
  <c r="CJ61" i="1"/>
  <c r="CK61" i="1" s="1"/>
  <c r="CP17" i="1"/>
  <c r="CQ17" i="1" s="1"/>
  <c r="DH27" i="1"/>
  <c r="DJ28" i="1" s="1"/>
  <c r="DK28" i="1" s="1"/>
  <c r="CV74" i="1"/>
  <c r="CW74" i="1" s="1"/>
  <c r="DH48" i="1"/>
  <c r="DI48" i="1" s="1"/>
  <c r="CD35" i="1"/>
  <c r="CE35" i="1" s="1"/>
  <c r="DH20" i="1"/>
  <c r="DH26" i="1"/>
  <c r="DJ27" i="1" s="1"/>
  <c r="DK27" i="1" s="1"/>
  <c r="CV22" i="1"/>
  <c r="CJ12" i="1"/>
  <c r="CL13" i="1" s="1"/>
  <c r="CM13" i="1" s="1"/>
  <c r="BR37" i="1"/>
  <c r="BT38" i="1" s="1"/>
  <c r="BU38" i="1" s="1"/>
  <c r="BX42" i="1"/>
  <c r="BY42" i="1" s="1"/>
  <c r="CP32" i="1"/>
  <c r="CQ32" i="1" s="1"/>
  <c r="CV36" i="1"/>
  <c r="DB30" i="1"/>
  <c r="CD73" i="1"/>
  <c r="CF74" i="1" s="1"/>
  <c r="CG74" i="1" s="1"/>
  <c r="CC68" i="1"/>
  <c r="CD68" i="1" s="1"/>
  <c r="CD69" i="1"/>
  <c r="DB7" i="1"/>
  <c r="CJ9" i="1"/>
  <c r="CV7" i="1"/>
  <c r="CX8" i="1" s="1"/>
  <c r="DB47" i="1"/>
  <c r="DC47" i="1" s="1"/>
  <c r="CV38" i="1"/>
  <c r="BL19" i="1"/>
  <c r="BX39" i="1"/>
  <c r="BY39" i="1" s="1"/>
  <c r="BR30" i="1"/>
  <c r="BS30" i="1" s="1"/>
  <c r="BK69" i="1"/>
  <c r="BL69" i="1" s="1"/>
  <c r="CI35" i="1"/>
  <c r="CJ35" i="1" s="1"/>
  <c r="CI65" i="1"/>
  <c r="CI47" i="1"/>
  <c r="CJ47" i="1" s="1"/>
  <c r="CK47" i="1" s="1"/>
  <c r="CU23" i="1"/>
  <c r="CV23" i="1" s="1"/>
  <c r="CX24" i="1" s="1"/>
  <c r="DG37" i="1"/>
  <c r="DH37" i="1" s="1"/>
  <c r="DJ38" i="1" s="1"/>
  <c r="DK38" i="1" s="1"/>
  <c r="CC59" i="1"/>
  <c r="CD59" i="1" s="1"/>
  <c r="CF60" i="1" s="1"/>
  <c r="CG60" i="1" s="1"/>
  <c r="DH46" i="1"/>
  <c r="DJ47" i="1" s="1"/>
  <c r="DK47" i="1" s="1"/>
  <c r="BX20" i="1"/>
  <c r="BY20" i="1" s="1"/>
  <c r="CD48" i="1"/>
  <c r="CF49" i="1" s="1"/>
  <c r="CG49" i="1" s="1"/>
  <c r="CJ62" i="1"/>
  <c r="CL63" i="1" s="1"/>
  <c r="CM63" i="1" s="1"/>
  <c r="DB70" i="1"/>
  <c r="DD71" i="1" s="1"/>
  <c r="DE71" i="1" s="1"/>
  <c r="DH8" i="1"/>
  <c r="BL52" i="1"/>
  <c r="BM52" i="1" s="1"/>
  <c r="CI70" i="1"/>
  <c r="CJ70" i="1" s="1"/>
  <c r="CL71" i="1" s="1"/>
  <c r="CM71" i="1" s="1"/>
  <c r="CJ71" i="1"/>
  <c r="DG60" i="1"/>
  <c r="DH60" i="1" s="1"/>
  <c r="DJ61" i="1" s="1"/>
  <c r="DK61" i="1" s="1"/>
  <c r="BL24" i="1"/>
  <c r="BK68" i="1"/>
  <c r="BL68" i="1" s="1"/>
  <c r="CD29" i="1"/>
  <c r="CF30" i="1" s="1"/>
  <c r="CG30" i="1" s="1"/>
  <c r="DB17" i="1"/>
  <c r="DD18" i="1" s="1"/>
  <c r="DE18" i="1" s="1"/>
  <c r="DB44" i="1"/>
  <c r="BW61" i="1"/>
  <c r="BX61" i="1" s="1"/>
  <c r="BY61" i="1" s="1"/>
  <c r="BW43" i="1"/>
  <c r="BX43" i="1" s="1"/>
  <c r="BL33" i="1"/>
  <c r="BN34" i="1" s="1"/>
  <c r="BO34" i="1" s="1"/>
  <c r="CD23" i="1"/>
  <c r="CJ33" i="1"/>
  <c r="CK33" i="1" s="1"/>
  <c r="CO21" i="1"/>
  <c r="CP21" i="1" s="1"/>
  <c r="CQ21" i="1" s="1"/>
  <c r="CU59" i="1"/>
  <c r="CV59" i="1" s="1"/>
  <c r="CU25" i="1"/>
  <c r="CV25" i="1" s="1"/>
  <c r="CU63" i="1"/>
  <c r="CV63" i="1" s="1"/>
  <c r="DA19" i="1"/>
  <c r="DB19" i="1" s="1"/>
  <c r="DD20" i="1" s="1"/>
  <c r="DE20" i="1" s="1"/>
  <c r="DA25" i="1"/>
  <c r="DB25" i="1" s="1"/>
  <c r="DD26" i="1" s="1"/>
  <c r="DE26" i="1" s="1"/>
  <c r="DA23" i="1"/>
  <c r="DB23" i="1" s="1"/>
  <c r="DD24" i="1" s="1"/>
  <c r="DE24" i="1" s="1"/>
  <c r="DA55" i="1"/>
  <c r="DB55" i="1" s="1"/>
  <c r="DD56" i="1" s="1"/>
  <c r="DE56" i="1" s="1"/>
  <c r="DB69" i="1"/>
  <c r="DC69" i="1" s="1"/>
  <c r="DG11" i="1"/>
  <c r="DH11" i="1" s="1"/>
  <c r="DH49" i="1"/>
  <c r="DI49" i="1" s="1"/>
  <c r="DG71" i="1"/>
  <c r="DH71" i="1" s="1"/>
  <c r="DJ72" i="1" s="1"/>
  <c r="DK72" i="1" s="1"/>
  <c r="CD47" i="1"/>
  <c r="CF48" i="1" s="1"/>
  <c r="CG48" i="1" s="1"/>
  <c r="BR20" i="1"/>
  <c r="BL41" i="1"/>
  <c r="BN42" i="1" s="1"/>
  <c r="BO42" i="1" s="1"/>
  <c r="CD43" i="1"/>
  <c r="BR27" i="1"/>
  <c r="CO54" i="1"/>
  <c r="CP54" i="1" s="1"/>
  <c r="CR55" i="1" s="1"/>
  <c r="CS55" i="1" s="1"/>
  <c r="CP55" i="1"/>
  <c r="BR23" i="1"/>
  <c r="BR56" i="1"/>
  <c r="BL12" i="1"/>
  <c r="BW66" i="1"/>
  <c r="BX66" i="1" s="1"/>
  <c r="CJ27" i="1"/>
  <c r="CK27" i="1" s="1"/>
  <c r="CV51" i="1"/>
  <c r="DH19" i="1"/>
  <c r="DH36" i="1"/>
  <c r="DJ37" i="1" s="1"/>
  <c r="DK37" i="1" s="1"/>
  <c r="CD54" i="1"/>
  <c r="CF55" i="1" s="1"/>
  <c r="CG55" i="1" s="1"/>
  <c r="BW73" i="1"/>
  <c r="BX73" i="1" s="1"/>
  <c r="BZ74" i="1" s="1"/>
  <c r="CA74" i="1" s="1"/>
  <c r="BR73" i="1"/>
  <c r="BL53" i="1"/>
  <c r="BM53" i="1" s="1"/>
  <c r="CD40" i="1"/>
  <c r="CE40" i="1" s="1"/>
  <c r="CJ43" i="1"/>
  <c r="CK43" i="1" s="1"/>
  <c r="CP57" i="1"/>
  <c r="CV53" i="1"/>
  <c r="DB21" i="1"/>
  <c r="DC21" i="1" s="1"/>
  <c r="BR72" i="1"/>
  <c r="DH57" i="1"/>
  <c r="DI57" i="1" s="1"/>
  <c r="BL40" i="1"/>
  <c r="BN41" i="1" s="1"/>
  <c r="BO41" i="1" s="1"/>
  <c r="BK50" i="1"/>
  <c r="BL50" i="1" s="1"/>
  <c r="CV14" i="1"/>
  <c r="CX15" i="1" s="1"/>
  <c r="DH18" i="1"/>
  <c r="DJ19" i="1" s="1"/>
  <c r="DK19" i="1" s="1"/>
  <c r="DB68" i="1"/>
  <c r="DD69" i="1" s="1"/>
  <c r="DE69" i="1" s="1"/>
  <c r="CD32" i="1"/>
  <c r="CE32" i="1" s="1"/>
  <c r="BX22" i="1"/>
  <c r="BY22" i="1" s="1"/>
  <c r="CP53" i="1"/>
  <c r="CV56" i="1"/>
  <c r="CI72" i="1"/>
  <c r="CJ73" i="1"/>
  <c r="BL36" i="1"/>
  <c r="DG29" i="1"/>
  <c r="DH29" i="1" s="1"/>
  <c r="DJ30" i="1" s="1"/>
  <c r="DK30" i="1" s="1"/>
  <c r="CJ20" i="1"/>
  <c r="CL21" i="1" s="1"/>
  <c r="CM21" i="1" s="1"/>
  <c r="DB45" i="1"/>
  <c r="DC45" i="1" s="1"/>
  <c r="BR53" i="1"/>
  <c r="BT54" i="1" s="1"/>
  <c r="BU54" i="1" s="1"/>
  <c r="DH14" i="1"/>
  <c r="DJ15" i="1" s="1"/>
  <c r="DK15" i="1" s="1"/>
  <c r="BL65" i="1"/>
  <c r="BN66" i="1" s="1"/>
  <c r="BO66" i="1" s="1"/>
  <c r="BR46" i="1"/>
  <c r="BT47" i="1" s="1"/>
  <c r="BU47" i="1" s="1"/>
  <c r="CJ28" i="1"/>
  <c r="CK28" i="1" s="1"/>
  <c r="CJ24" i="1"/>
  <c r="CP28" i="1"/>
  <c r="CR29" i="1" s="1"/>
  <c r="CS29" i="1" s="1"/>
  <c r="DH7" i="1"/>
  <c r="DJ8" i="1" s="1"/>
  <c r="DH22" i="1"/>
  <c r="DI22" i="1" s="1"/>
  <c r="DA27" i="1"/>
  <c r="DB27" i="1" s="1"/>
  <c r="DH40" i="1"/>
  <c r="DJ41" i="1" s="1"/>
  <c r="DK41" i="1" s="1"/>
  <c r="BX57" i="1"/>
  <c r="BY57" i="1" s="1"/>
  <c r="CI17" i="1"/>
  <c r="CJ17" i="1" s="1"/>
  <c r="CK17" i="1" s="1"/>
  <c r="CV37" i="1"/>
  <c r="CP20" i="1"/>
  <c r="CR21" i="1" s="1"/>
  <c r="CS21" i="1" s="1"/>
  <c r="BL55" i="1"/>
  <c r="BN56" i="1" s="1"/>
  <c r="BO56" i="1" s="1"/>
  <c r="CP26" i="1"/>
  <c r="CD62" i="1"/>
  <c r="CE62" i="1" s="1"/>
  <c r="DA51" i="1"/>
  <c r="DB51" i="1" s="1"/>
  <c r="DD52" i="1" s="1"/>
  <c r="DE52" i="1" s="1"/>
  <c r="DH74" i="1"/>
  <c r="DI74" i="1" s="1"/>
  <c r="BR54" i="1"/>
  <c r="BS54" i="1" s="1"/>
  <c r="CV29" i="1"/>
  <c r="BL48" i="1"/>
  <c r="CJ42" i="1"/>
  <c r="CU45" i="1"/>
  <c r="CV45" i="1" s="1"/>
  <c r="DA29" i="1"/>
  <c r="DB29" i="1" s="1"/>
  <c r="DC29" i="1" s="1"/>
  <c r="BR47" i="1"/>
  <c r="BT48" i="1" s="1"/>
  <c r="BU48" i="1" s="1"/>
  <c r="CD15" i="1"/>
  <c r="CP51" i="1"/>
  <c r="BW70" i="1"/>
  <c r="BX70" i="1" s="1"/>
  <c r="BQ62" i="1"/>
  <c r="BR62" i="1" s="1"/>
  <c r="BT63" i="1" s="1"/>
  <c r="BU63" i="1" s="1"/>
  <c r="BR63" i="1"/>
  <c r="BL57" i="1"/>
  <c r="BM57" i="1" s="1"/>
  <c r="CU15" i="1"/>
  <c r="CV15" i="1" s="1"/>
  <c r="CC71" i="1"/>
  <c r="CD71" i="1" s="1"/>
  <c r="CF72" i="1" s="1"/>
  <c r="CG72" i="1" s="1"/>
  <c r="CD72" i="1"/>
  <c r="BQ70" i="1"/>
  <c r="BR70" i="1" s="1"/>
  <c r="BT71" i="1" s="1"/>
  <c r="BU71" i="1" s="1"/>
  <c r="BR71" i="1"/>
  <c r="CC25" i="1"/>
  <c r="CD25" i="1" s="1"/>
  <c r="CE25" i="1" s="1"/>
  <c r="DG39" i="1"/>
  <c r="DH39" i="1" s="1"/>
  <c r="DJ40" i="1" s="1"/>
  <c r="DK40" i="1" s="1"/>
  <c r="BQ38" i="1"/>
  <c r="BR38" i="1" s="1"/>
  <c r="BS38" i="1" s="1"/>
  <c r="BR39" i="1"/>
  <c r="CD27" i="1"/>
  <c r="BW19" i="1"/>
  <c r="BX19" i="1" s="1"/>
  <c r="BY19" i="1" s="1"/>
  <c r="DA9" i="1"/>
  <c r="DB9" i="1" s="1"/>
  <c r="DB46" i="1"/>
  <c r="DD47" i="1" s="1"/>
  <c r="DE47" i="1" s="1"/>
  <c r="DG21" i="1"/>
  <c r="DH21" i="1" s="1"/>
  <c r="CD46" i="1"/>
  <c r="CF47" i="1" s="1"/>
  <c r="CG47" i="1" s="1"/>
  <c r="CI64" i="1"/>
  <c r="CJ64" i="1" s="1"/>
  <c r="CL65" i="1" s="1"/>
  <c r="CM65" i="1" s="1"/>
  <c r="CJ65" i="1"/>
  <c r="BL15" i="1"/>
  <c r="BK14" i="1"/>
  <c r="BL14" i="1" s="1"/>
  <c r="BQ31" i="1"/>
  <c r="BR31" i="1" s="1"/>
  <c r="BT32" i="1" s="1"/>
  <c r="BU32" i="1" s="1"/>
  <c r="BR32" i="1"/>
  <c r="BX23" i="1"/>
  <c r="BZ24" i="1" s="1"/>
  <c r="CA24" i="1" s="1"/>
  <c r="BR13" i="1"/>
  <c r="BT14" i="1" s="1"/>
  <c r="BU14" i="1" s="1"/>
  <c r="BK13" i="1"/>
  <c r="BL13" i="1" s="1"/>
  <c r="BN14" i="1" s="1"/>
  <c r="BO14" i="1" s="1"/>
  <c r="BL66" i="1"/>
  <c r="BM66" i="1" s="1"/>
  <c r="CD53" i="1"/>
  <c r="CE53" i="1" s="1"/>
  <c r="CJ7" i="1"/>
  <c r="CL8" i="1" s="1"/>
  <c r="CP43" i="1"/>
  <c r="CQ43" i="1" s="1"/>
  <c r="DB35" i="1"/>
  <c r="DD36" i="1" s="1"/>
  <c r="DE36" i="1" s="1"/>
  <c r="DA67" i="1"/>
  <c r="DB67" i="1" s="1"/>
  <c r="DC67" i="1" s="1"/>
  <c r="DA57" i="1"/>
  <c r="DB57" i="1" s="1"/>
  <c r="DC57" i="1" s="1"/>
  <c r="DG25" i="1"/>
  <c r="DH25" i="1" s="1"/>
  <c r="DI25" i="1" s="1"/>
  <c r="DG13" i="1"/>
  <c r="DH13" i="1" s="1"/>
  <c r="DI13" i="1" s="1"/>
  <c r="BL35" i="1"/>
  <c r="CP52" i="1"/>
  <c r="CC11" i="1"/>
  <c r="CD11" i="1" s="1"/>
  <c r="CF12" i="1" s="1"/>
  <c r="CG12" i="1" s="1"/>
  <c r="BX58" i="1"/>
  <c r="CV67" i="1"/>
  <c r="CX68" i="1" s="1"/>
  <c r="CU66" i="1"/>
  <c r="CV66" i="1" s="1"/>
  <c r="CO64" i="1"/>
  <c r="CP64" i="1" s="1"/>
  <c r="BK71" i="1"/>
  <c r="BL71" i="1" s="1"/>
  <c r="BL56" i="1"/>
  <c r="CI67" i="1"/>
  <c r="CJ67" i="1" s="1"/>
  <c r="CK67" i="1" s="1"/>
  <c r="CO35" i="1"/>
  <c r="CP35" i="1" s="1"/>
  <c r="CR36" i="1" s="1"/>
  <c r="CS36" i="1" s="1"/>
  <c r="DA60" i="1"/>
  <c r="DB60" i="1" s="1"/>
  <c r="DC60" i="1" s="1"/>
  <c r="DB61" i="1"/>
  <c r="CJ11" i="1"/>
  <c r="CJ63" i="1"/>
  <c r="CL64" i="1" s="1"/>
  <c r="CM64" i="1" s="1"/>
  <c r="CV55" i="1"/>
  <c r="CX56" i="1" s="1"/>
  <c r="BX21" i="1"/>
  <c r="BY21" i="1" s="1"/>
  <c r="BR14" i="1"/>
  <c r="BT15" i="1" s="1"/>
  <c r="BU15" i="1" s="1"/>
  <c r="BR29" i="1"/>
  <c r="BT30" i="1" s="1"/>
  <c r="BU30" i="1" s="1"/>
  <c r="CD39" i="1"/>
  <c r="CO63" i="1"/>
  <c r="CP63" i="1" s="1"/>
  <c r="CO62" i="1"/>
  <c r="CP62" i="1" s="1"/>
  <c r="CR63" i="1" s="1"/>
  <c r="CS63" i="1" s="1"/>
  <c r="BK46" i="1"/>
  <c r="BL46" i="1" s="1"/>
  <c r="BN47" i="1" s="1"/>
  <c r="BO47" i="1" s="1"/>
  <c r="BL47" i="1"/>
  <c r="CO70" i="1"/>
  <c r="CP71" i="1"/>
  <c r="CC66" i="1"/>
  <c r="CD66" i="1" s="1"/>
  <c r="CF67" i="1" s="1"/>
  <c r="CG67" i="1" s="1"/>
  <c r="CD55" i="1"/>
  <c r="DH63" i="1"/>
  <c r="DG62" i="1"/>
  <c r="CO19" i="1"/>
  <c r="CP19" i="1" s="1"/>
  <c r="DH15" i="1"/>
  <c r="DJ16" i="1" s="1"/>
  <c r="DK16" i="1" s="1"/>
  <c r="BK38" i="1"/>
  <c r="BL38" i="1" s="1"/>
  <c r="BM38" i="1" s="1"/>
  <c r="BL39" i="1"/>
  <c r="BK70" i="1"/>
  <c r="BL70" i="1" s="1"/>
  <c r="CD44" i="1"/>
  <c r="BW65" i="1"/>
  <c r="BX65" i="1" s="1"/>
  <c r="CD49" i="1"/>
  <c r="CE49" i="1" s="1"/>
  <c r="CV39" i="1"/>
  <c r="DH41" i="1"/>
  <c r="DI41" i="1" s="1"/>
  <c r="BK63" i="1"/>
  <c r="BL63" i="1" s="1"/>
  <c r="BM63" i="1" s="1"/>
  <c r="BL64" i="1"/>
  <c r="DC74" i="1"/>
  <c r="CQ74" i="1"/>
  <c r="BM74" i="1"/>
  <c r="DJ63" i="1"/>
  <c r="DK63" i="1" s="1"/>
  <c r="DI62" i="1"/>
  <c r="DJ17" i="1"/>
  <c r="DK17" i="1" s="1"/>
  <c r="DI16" i="1"/>
  <c r="DC20" i="1"/>
  <c r="DC52" i="1"/>
  <c r="DD55" i="1"/>
  <c r="DE55" i="1" s="1"/>
  <c r="DC54" i="1"/>
  <c r="CY69" i="1"/>
  <c r="CW68" i="1"/>
  <c r="CY63" i="1"/>
  <c r="CW62" i="1"/>
  <c r="CQ9" i="1"/>
  <c r="CR10" i="1"/>
  <c r="CS10" i="1" s="1"/>
  <c r="CL16" i="1"/>
  <c r="CM16" i="1" s="1"/>
  <c r="CK15" i="1"/>
  <c r="BM58" i="1"/>
  <c r="BN59" i="1"/>
  <c r="BO59" i="1" s="1"/>
  <c r="BM62" i="1"/>
  <c r="BN63" i="1"/>
  <c r="BO63" i="1" s="1"/>
  <c r="BT62" i="1"/>
  <c r="BU62" i="1" s="1"/>
  <c r="BS61" i="1"/>
  <c r="BH7" i="1"/>
  <c r="BI7" i="1" s="1"/>
  <c r="CF32" i="1" l="1"/>
  <c r="CG32" i="1" s="1"/>
  <c r="DI31" i="1"/>
  <c r="CF25" i="1"/>
  <c r="CG25" i="1" s="1"/>
  <c r="AV84" i="3"/>
  <c r="AY77" i="3"/>
  <c r="AV88" i="2"/>
  <c r="DD29" i="1"/>
  <c r="DE29" i="1" s="1"/>
  <c r="AV80" i="2"/>
  <c r="AX80" i="2" s="1"/>
  <c r="BT58" i="1"/>
  <c r="BU58" i="1" s="1"/>
  <c r="AV84" i="2"/>
  <c r="AV82" i="2"/>
  <c r="AX82" i="2" s="1"/>
  <c r="AV83" i="2"/>
  <c r="AX83" i="2" s="1"/>
  <c r="CR60" i="1"/>
  <c r="CS60" i="1" s="1"/>
  <c r="BS19" i="1"/>
  <c r="BN18" i="1"/>
  <c r="BO18" i="1" s="1"/>
  <c r="DJ66" i="1"/>
  <c r="DK66" i="1" s="1"/>
  <c r="DC73" i="1"/>
  <c r="DD64" i="1"/>
  <c r="DE64" i="1" s="1"/>
  <c r="CW64" i="1"/>
  <c r="BZ69" i="1"/>
  <c r="CA69" i="1" s="1"/>
  <c r="CK44" i="1"/>
  <c r="AV81" i="2"/>
  <c r="AX81" i="2" s="1"/>
  <c r="BT50" i="1"/>
  <c r="BU50" i="1" s="1"/>
  <c r="DJ25" i="1"/>
  <c r="DK25" i="1" s="1"/>
  <c r="BN62" i="1"/>
  <c r="BO62" i="1" s="1"/>
  <c r="DJ54" i="1"/>
  <c r="DK54" i="1" s="1"/>
  <c r="BM37" i="1"/>
  <c r="BT13" i="1"/>
  <c r="BU13" i="1" s="1"/>
  <c r="CW60" i="1"/>
  <c r="CE50" i="1"/>
  <c r="BS58" i="1"/>
  <c r="CK10" i="1"/>
  <c r="CK31" i="1"/>
  <c r="BN19" i="1"/>
  <c r="BO19" i="1" s="1"/>
  <c r="CK66" i="1"/>
  <c r="CW33" i="1"/>
  <c r="CX34" i="1"/>
  <c r="CY34" i="1" s="1"/>
  <c r="CW35" i="1"/>
  <c r="CX36" i="1"/>
  <c r="CY36" i="1" s="1"/>
  <c r="CX11" i="1"/>
  <c r="CY11" i="1" s="1"/>
  <c r="CX48" i="1"/>
  <c r="CY48" i="1" s="1"/>
  <c r="CW25" i="1"/>
  <c r="CX26" i="1"/>
  <c r="CY26" i="1" s="1"/>
  <c r="CW46" i="1"/>
  <c r="CX47" i="1"/>
  <c r="CY47" i="1" s="1"/>
  <c r="CX59" i="1"/>
  <c r="CY59" i="1" s="1"/>
  <c r="CW69" i="1"/>
  <c r="CX70" i="1"/>
  <c r="CY70" i="1" s="1"/>
  <c r="CW51" i="1"/>
  <c r="CX52" i="1"/>
  <c r="CY52" i="1" s="1"/>
  <c r="CX60" i="1"/>
  <c r="CY60" i="1" s="1"/>
  <c r="CX39" i="1"/>
  <c r="CY39" i="1" s="1"/>
  <c r="CW63" i="1"/>
  <c r="CX64" i="1"/>
  <c r="CY64" i="1" s="1"/>
  <c r="CX17" i="1"/>
  <c r="CY17" i="1" s="1"/>
  <c r="CX27" i="1"/>
  <c r="CY27" i="1" s="1"/>
  <c r="CW52" i="1"/>
  <c r="CX53" i="1"/>
  <c r="CY53" i="1" s="1"/>
  <c r="CX10" i="1"/>
  <c r="CY10" i="1" s="1"/>
  <c r="CX13" i="1"/>
  <c r="CY13" i="1" s="1"/>
  <c r="CX33" i="1"/>
  <c r="CY33" i="1" s="1"/>
  <c r="CX71" i="1"/>
  <c r="CY71" i="1" s="1"/>
  <c r="CW19" i="1"/>
  <c r="CX20" i="1"/>
  <c r="CY20" i="1" s="1"/>
  <c r="CX42" i="1"/>
  <c r="CY42" i="1" s="1"/>
  <c r="CW39" i="1"/>
  <c r="CX40" i="1"/>
  <c r="CY40" i="1" s="1"/>
  <c r="CW15" i="1"/>
  <c r="CX16" i="1"/>
  <c r="CY16" i="1" s="1"/>
  <c r="CW29" i="1"/>
  <c r="CX30" i="1"/>
  <c r="CY30" i="1" s="1"/>
  <c r="CW37" i="1"/>
  <c r="CX38" i="1"/>
  <c r="CY38" i="1" s="1"/>
  <c r="CX37" i="1"/>
  <c r="CY37" i="1" s="1"/>
  <c r="CX29" i="1"/>
  <c r="CY29" i="1" s="1"/>
  <c r="CW30" i="1"/>
  <c r="CX31" i="1"/>
  <c r="CY31" i="1" s="1"/>
  <c r="CX49" i="1"/>
  <c r="CY49" i="1" s="1"/>
  <c r="CW42" i="1"/>
  <c r="CX43" i="1"/>
  <c r="CY43" i="1" s="1"/>
  <c r="CW31" i="1"/>
  <c r="CX32" i="1"/>
  <c r="CY32" i="1" s="1"/>
  <c r="CW50" i="1"/>
  <c r="CX51" i="1"/>
  <c r="CY51" i="1" s="1"/>
  <c r="CX22" i="1"/>
  <c r="CY22" i="1" s="1"/>
  <c r="CW17" i="1"/>
  <c r="CX18" i="1"/>
  <c r="CY18" i="1" s="1"/>
  <c r="CX73" i="1"/>
  <c r="CY73" i="1" s="1"/>
  <c r="CW57" i="1"/>
  <c r="CX58" i="1"/>
  <c r="CY58" i="1" s="1"/>
  <c r="CX55" i="1"/>
  <c r="CY55" i="1" s="1"/>
  <c r="CW40" i="1"/>
  <c r="CX41" i="1"/>
  <c r="CY41" i="1" s="1"/>
  <c r="CX28" i="1"/>
  <c r="CY28" i="1" s="1"/>
  <c r="CW65" i="1"/>
  <c r="CX66" i="1"/>
  <c r="CY66" i="1" s="1"/>
  <c r="CW18" i="1"/>
  <c r="CX19" i="1"/>
  <c r="CY19" i="1" s="1"/>
  <c r="CX9" i="1"/>
  <c r="CY9" i="1" s="1"/>
  <c r="CW66" i="1"/>
  <c r="CX67" i="1"/>
  <c r="CY67" i="1" s="1"/>
  <c r="CW24" i="1"/>
  <c r="CX25" i="1"/>
  <c r="CY25" i="1" s="1"/>
  <c r="DD13" i="1"/>
  <c r="DE13" i="1" s="1"/>
  <c r="CW45" i="1"/>
  <c r="CX46" i="1"/>
  <c r="CY46" i="1" s="1"/>
  <c r="CX57" i="1"/>
  <c r="CY57" i="1" s="1"/>
  <c r="CW53" i="1"/>
  <c r="CX54" i="1"/>
  <c r="CY54" i="1" s="1"/>
  <c r="CX23" i="1"/>
  <c r="CY23" i="1" s="1"/>
  <c r="CW43" i="1"/>
  <c r="CX44" i="1"/>
  <c r="CY44" i="1" s="1"/>
  <c r="CW71" i="1"/>
  <c r="CX72" i="1"/>
  <c r="CY72" i="1" s="1"/>
  <c r="CW49" i="1"/>
  <c r="CX50" i="1"/>
  <c r="CY50" i="1" s="1"/>
  <c r="CX45" i="1"/>
  <c r="CY45" i="1" s="1"/>
  <c r="CX35" i="1"/>
  <c r="CY35" i="1" s="1"/>
  <c r="CX12" i="1"/>
  <c r="CY12" i="1" s="1"/>
  <c r="CX14" i="1"/>
  <c r="CY14" i="1" s="1"/>
  <c r="CX21" i="1"/>
  <c r="CY21" i="1" s="1"/>
  <c r="BZ39" i="1"/>
  <c r="CA39" i="1" s="1"/>
  <c r="BY63" i="1"/>
  <c r="CK64" i="1"/>
  <c r="CR23" i="1"/>
  <c r="CS23" i="1" s="1"/>
  <c r="BM73" i="1"/>
  <c r="BS70" i="1"/>
  <c r="CW20" i="1"/>
  <c r="DJ52" i="1"/>
  <c r="DK52" i="1" s="1"/>
  <c r="BN27" i="1"/>
  <c r="BO27" i="1" s="1"/>
  <c r="CL59" i="1"/>
  <c r="CM59" i="1" s="1"/>
  <c r="DI64" i="1"/>
  <c r="DJ51" i="1"/>
  <c r="DK51" i="1" s="1"/>
  <c r="CL55" i="1"/>
  <c r="CM55" i="1" s="1"/>
  <c r="CK20" i="1"/>
  <c r="CL70" i="1"/>
  <c r="CM70" i="1" s="1"/>
  <c r="CW21" i="1"/>
  <c r="CL20" i="1"/>
  <c r="CM20" i="1" s="1"/>
  <c r="BY53" i="1"/>
  <c r="CL38" i="1"/>
  <c r="CM38" i="1" s="1"/>
  <c r="BM70" i="1"/>
  <c r="BN71" i="1"/>
  <c r="BO71" i="1" s="1"/>
  <c r="DI58" i="1"/>
  <c r="DJ59" i="1"/>
  <c r="DK59" i="1" s="1"/>
  <c r="CL69" i="1"/>
  <c r="CM69" i="1" s="1"/>
  <c r="CK68" i="1"/>
  <c r="CW61" i="1"/>
  <c r="CY62" i="1"/>
  <c r="DD59" i="1"/>
  <c r="DE59" i="1" s="1"/>
  <c r="DC58" i="1"/>
  <c r="CE68" i="1"/>
  <c r="CF69" i="1"/>
  <c r="CG69" i="1" s="1"/>
  <c r="CR65" i="1"/>
  <c r="CS65" i="1" s="1"/>
  <c r="CQ64" i="1"/>
  <c r="DI56" i="1"/>
  <c r="BS67" i="1"/>
  <c r="BZ26" i="1"/>
  <c r="CA26" i="1" s="1"/>
  <c r="BS48" i="1"/>
  <c r="CL29" i="1"/>
  <c r="CM29" i="1" s="1"/>
  <c r="BM51" i="1"/>
  <c r="BN17" i="1"/>
  <c r="BO17" i="1" s="1"/>
  <c r="CQ67" i="1"/>
  <c r="AV88" i="3"/>
  <c r="BZ18" i="1"/>
  <c r="CA18" i="1" s="1"/>
  <c r="CQ31" i="1"/>
  <c r="BY46" i="1"/>
  <c r="BT22" i="1"/>
  <c r="BU22" i="1" s="1"/>
  <c r="CE42" i="1"/>
  <c r="CK62" i="1"/>
  <c r="CQ39" i="1"/>
  <c r="BZ19" i="1"/>
  <c r="CA19" i="1" s="1"/>
  <c r="CF15" i="1"/>
  <c r="CG15" i="1" s="1"/>
  <c r="BS50" i="1"/>
  <c r="BN26" i="1"/>
  <c r="BO26" i="1" s="1"/>
  <c r="CQ10" i="1"/>
  <c r="CF39" i="1"/>
  <c r="CG39" i="1" s="1"/>
  <c r="CK72" i="1"/>
  <c r="BM44" i="1"/>
  <c r="CQ41" i="1"/>
  <c r="DD67" i="1"/>
  <c r="DE67" i="1" s="1"/>
  <c r="BM8" i="1"/>
  <c r="BT67" i="1"/>
  <c r="BU67" i="1" s="1"/>
  <c r="DD11" i="1"/>
  <c r="DE11" i="1" s="1"/>
  <c r="DC26" i="1"/>
  <c r="DI32" i="1"/>
  <c r="BZ21" i="1"/>
  <c r="CA21" i="1" s="1"/>
  <c r="DC41" i="1"/>
  <c r="DJ13" i="1"/>
  <c r="DK13" i="1" s="1"/>
  <c r="BS65" i="1"/>
  <c r="CE12" i="1"/>
  <c r="BN30" i="1"/>
  <c r="BO30" i="1" s="1"/>
  <c r="CK50" i="1"/>
  <c r="CR28" i="1"/>
  <c r="CS28" i="1" s="1"/>
  <c r="CW47" i="1"/>
  <c r="CF71" i="1"/>
  <c r="CG71" i="1" s="1"/>
  <c r="BT37" i="1"/>
  <c r="BU37" i="1" s="1"/>
  <c r="CR15" i="1"/>
  <c r="CS15" i="1" s="1"/>
  <c r="CW58" i="1"/>
  <c r="BY36" i="1"/>
  <c r="BS9" i="1"/>
  <c r="CF14" i="1"/>
  <c r="CG14" i="1" s="1"/>
  <c r="BY34" i="1"/>
  <c r="BN46" i="1"/>
  <c r="BO46" i="1" s="1"/>
  <c r="CL56" i="1"/>
  <c r="CM56" i="1" s="1"/>
  <c r="CL41" i="1"/>
  <c r="CM41" i="1" s="1"/>
  <c r="CR69" i="1"/>
  <c r="CS69" i="1" s="1"/>
  <c r="CW44" i="1"/>
  <c r="DI17" i="1"/>
  <c r="DI28" i="1"/>
  <c r="BZ33" i="1"/>
  <c r="CA33" i="1" s="1"/>
  <c r="CF63" i="1"/>
  <c r="CG63" i="1" s="1"/>
  <c r="CL27" i="1"/>
  <c r="CM27" i="1" s="1"/>
  <c r="CW28" i="1"/>
  <c r="DC18" i="1"/>
  <c r="CF65" i="1"/>
  <c r="CG65" i="1" s="1"/>
  <c r="BS64" i="1"/>
  <c r="BS51" i="1"/>
  <c r="CK57" i="1"/>
  <c r="BY45" i="1"/>
  <c r="CE10" i="1"/>
  <c r="CK56" i="1"/>
  <c r="CK41" i="1"/>
  <c r="CR45" i="1"/>
  <c r="CS45" i="1" s="1"/>
  <c r="DI38" i="1"/>
  <c r="DI54" i="1"/>
  <c r="BZ13" i="1"/>
  <c r="CA13" i="1" s="1"/>
  <c r="CQ70" i="1"/>
  <c r="BZ25" i="1"/>
  <c r="CA25" i="1" s="1"/>
  <c r="CE52" i="1"/>
  <c r="BN35" i="1"/>
  <c r="BO35" i="1" s="1"/>
  <c r="CK25" i="1"/>
  <c r="CQ18" i="1"/>
  <c r="CW70" i="1"/>
  <c r="BM30" i="1"/>
  <c r="CE9" i="1"/>
  <c r="CL31" i="1"/>
  <c r="CM31" i="1" s="1"/>
  <c r="CW10" i="1"/>
  <c r="BT43" i="1"/>
  <c r="BU43" i="1" s="1"/>
  <c r="CE58" i="1"/>
  <c r="CK16" i="1"/>
  <c r="CL18" i="1"/>
  <c r="CM18" i="1" s="1"/>
  <c r="CR48" i="1"/>
  <c r="CS48" i="1" s="1"/>
  <c r="CQ38" i="1"/>
  <c r="DI68" i="1"/>
  <c r="BS13" i="1"/>
  <c r="CL40" i="1"/>
  <c r="CM40" i="1" s="1"/>
  <c r="CR37" i="1"/>
  <c r="CS37" i="1" s="1"/>
  <c r="DI37" i="1"/>
  <c r="CF33" i="1"/>
  <c r="CG33" i="1" s="1"/>
  <c r="BS59" i="1"/>
  <c r="CK8" i="1"/>
  <c r="DC22" i="1"/>
  <c r="CE30" i="1"/>
  <c r="CQ42" i="1"/>
  <c r="CR26" i="1"/>
  <c r="CS26" i="1" s="1"/>
  <c r="CQ16" i="1"/>
  <c r="CW11" i="1"/>
  <c r="CW13" i="1"/>
  <c r="DD12" i="1"/>
  <c r="DE12" i="1" s="1"/>
  <c r="DJ45" i="1"/>
  <c r="DK45" i="1" s="1"/>
  <c r="CW8" i="1"/>
  <c r="BN68" i="1"/>
  <c r="BO68" i="1" s="1"/>
  <c r="DC50" i="1"/>
  <c r="BZ34" i="1"/>
  <c r="CA34" i="1" s="1"/>
  <c r="DC51" i="1"/>
  <c r="CE16" i="1"/>
  <c r="CQ8" i="1"/>
  <c r="BY70" i="1"/>
  <c r="BZ71" i="1"/>
  <c r="CA71" i="1" s="1"/>
  <c r="BY27" i="1"/>
  <c r="CK45" i="1"/>
  <c r="CQ56" i="1"/>
  <c r="BY69" i="1"/>
  <c r="BZ22" i="1"/>
  <c r="CA22" i="1" s="1"/>
  <c r="CW22" i="1"/>
  <c r="CW12" i="1"/>
  <c r="CL30" i="1"/>
  <c r="CM30" i="1" s="1"/>
  <c r="BZ57" i="1"/>
  <c r="CA57" i="1" s="1"/>
  <c r="BM49" i="1"/>
  <c r="CQ66" i="1"/>
  <c r="BZ30" i="1"/>
  <c r="CA30" i="1" s="1"/>
  <c r="CW16" i="1"/>
  <c r="DJ67" i="1"/>
  <c r="DK67" i="1" s="1"/>
  <c r="BS8" i="1"/>
  <c r="BZ16" i="1"/>
  <c r="CA16" i="1" s="1"/>
  <c r="CE54" i="1"/>
  <c r="CQ48" i="1"/>
  <c r="DC24" i="1"/>
  <c r="DI72" i="1"/>
  <c r="CF36" i="1"/>
  <c r="CG36" i="1" s="1"/>
  <c r="BS52" i="1"/>
  <c r="CF29" i="1"/>
  <c r="CG29" i="1" s="1"/>
  <c r="CK38" i="1"/>
  <c r="DJ70" i="1"/>
  <c r="DK70" i="1" s="1"/>
  <c r="DI52" i="1"/>
  <c r="BN33" i="1"/>
  <c r="BO33" i="1" s="1"/>
  <c r="CL49" i="1"/>
  <c r="CM49" i="1" s="1"/>
  <c r="DD68" i="1"/>
  <c r="DE68" i="1" s="1"/>
  <c r="BS44" i="1"/>
  <c r="CE56" i="1"/>
  <c r="BZ23" i="1"/>
  <c r="CA23" i="1" s="1"/>
  <c r="BY7" i="1"/>
  <c r="CW34" i="1"/>
  <c r="BS26" i="1"/>
  <c r="BN58" i="1"/>
  <c r="BO58" i="1" s="1"/>
  <c r="CF41" i="1"/>
  <c r="CG41" i="1" s="1"/>
  <c r="CF58" i="1"/>
  <c r="CG58" i="1" s="1"/>
  <c r="CW9" i="1"/>
  <c r="CQ60" i="1"/>
  <c r="BN22" i="1"/>
  <c r="BO22" i="1" s="1"/>
  <c r="DC42" i="1"/>
  <c r="DD16" i="1"/>
  <c r="DE16" i="1" s="1"/>
  <c r="DD35" i="1"/>
  <c r="DE35" i="1" s="1"/>
  <c r="CE63" i="1"/>
  <c r="BZ63" i="1"/>
  <c r="CA63" i="1" s="1"/>
  <c r="DD49" i="1"/>
  <c r="DE49" i="1" s="1"/>
  <c r="DJ49" i="1"/>
  <c r="DK49" i="1" s="1"/>
  <c r="BZ32" i="1"/>
  <c r="CA32" i="1" s="1"/>
  <c r="BY73" i="1"/>
  <c r="CK34" i="1"/>
  <c r="CR73" i="1"/>
  <c r="CS73" i="1" s="1"/>
  <c r="CW72" i="1"/>
  <c r="DC14" i="1"/>
  <c r="BZ31" i="1"/>
  <c r="CA31" i="1" s="1"/>
  <c r="CL68" i="1"/>
  <c r="CM68" i="1" s="1"/>
  <c r="DJ44" i="1"/>
  <c r="DK44" i="1" s="1"/>
  <c r="DI43" i="1"/>
  <c r="CE22" i="1"/>
  <c r="CK53" i="1"/>
  <c r="DD34" i="1"/>
  <c r="DE34" i="1" s="1"/>
  <c r="DJ23" i="1"/>
  <c r="DK23" i="1" s="1"/>
  <c r="DI42" i="1"/>
  <c r="BS28" i="1"/>
  <c r="BS25" i="1"/>
  <c r="BM42" i="1"/>
  <c r="BN39" i="1"/>
  <c r="BO39" i="1" s="1"/>
  <c r="CE61" i="1"/>
  <c r="CF19" i="1"/>
  <c r="CG19" i="1" s="1"/>
  <c r="CL24" i="1"/>
  <c r="CM24" i="1" s="1"/>
  <c r="CK12" i="1"/>
  <c r="CL14" i="1"/>
  <c r="CM14" i="1" s="1"/>
  <c r="CL48" i="1"/>
  <c r="CM48" i="1" s="1"/>
  <c r="CR59" i="1"/>
  <c r="CS59" i="1" s="1"/>
  <c r="DD41" i="1"/>
  <c r="DE41" i="1" s="1"/>
  <c r="DC49" i="1"/>
  <c r="DJ48" i="1"/>
  <c r="DK48" i="1" s="1"/>
  <c r="BY10" i="1"/>
  <c r="BZ55" i="1"/>
  <c r="CA55" i="1" s="1"/>
  <c r="CE71" i="1"/>
  <c r="CF9" i="1"/>
  <c r="CG9" i="1" s="1"/>
  <c r="AV86" i="2"/>
  <c r="DJ74" i="1"/>
  <c r="DK74" i="1" s="1"/>
  <c r="CE66" i="1"/>
  <c r="CF54" i="1"/>
  <c r="CG54" i="1" s="1"/>
  <c r="CL23" i="1"/>
  <c r="CM23" i="1" s="1"/>
  <c r="CK63" i="1"/>
  <c r="CL28" i="1"/>
  <c r="CM28" i="1" s="1"/>
  <c r="BS43" i="1"/>
  <c r="BZ40" i="1"/>
  <c r="CA40" i="1" s="1"/>
  <c r="BZ10" i="1"/>
  <c r="CA10" i="1" s="1"/>
  <c r="BT55" i="1"/>
  <c r="BU55" i="1" s="1"/>
  <c r="BT19" i="1"/>
  <c r="BU19" i="1" s="1"/>
  <c r="CW59" i="1"/>
  <c r="CW26" i="1"/>
  <c r="DD54" i="1"/>
  <c r="DE54" i="1" s="1"/>
  <c r="BS35" i="1"/>
  <c r="CL53" i="1"/>
  <c r="CM53" i="1" s="1"/>
  <c r="CF35" i="1"/>
  <c r="CG35" i="1" s="1"/>
  <c r="CQ15" i="1"/>
  <c r="BN10" i="1"/>
  <c r="BO10" i="1" s="1"/>
  <c r="BM9" i="1"/>
  <c r="CR50" i="1"/>
  <c r="CS50" i="1" s="1"/>
  <c r="CR27" i="1"/>
  <c r="CS27" i="1" s="1"/>
  <c r="CQ26" i="1"/>
  <c r="CK51" i="1"/>
  <c r="CR25" i="1"/>
  <c r="CS25" i="1" s="1"/>
  <c r="CQ19" i="1"/>
  <c r="CR20" i="1"/>
  <c r="CS20" i="1" s="1"/>
  <c r="BN32" i="1"/>
  <c r="BO32" i="1" s="1"/>
  <c r="CR14" i="1"/>
  <c r="CS14" i="1" s="1"/>
  <c r="CE36" i="1"/>
  <c r="CW41" i="1"/>
  <c r="CE26" i="1"/>
  <c r="CF27" i="1"/>
  <c r="CG27" i="1" s="1"/>
  <c r="BZ53" i="1"/>
  <c r="CA53" i="1" s="1"/>
  <c r="CR33" i="1"/>
  <c r="CS33" i="1" s="1"/>
  <c r="BZ36" i="1"/>
  <c r="CA36" i="1" s="1"/>
  <c r="CF42" i="1"/>
  <c r="CG42" i="1" s="1"/>
  <c r="BT31" i="1"/>
  <c r="BU31" i="1" s="1"/>
  <c r="DI39" i="1"/>
  <c r="CL62" i="1"/>
  <c r="CM62" i="1" s="1"/>
  <c r="CR30" i="1"/>
  <c r="CS30" i="1" s="1"/>
  <c r="CW54" i="1"/>
  <c r="DJ11" i="1"/>
  <c r="DK11" i="1" s="1"/>
  <c r="DI67" i="1"/>
  <c r="BS68" i="1"/>
  <c r="DC32" i="1"/>
  <c r="CL22" i="1"/>
  <c r="CM22" i="1" s="1"/>
  <c r="DI18" i="1"/>
  <c r="BN60" i="1"/>
  <c r="BO60" i="1" s="1"/>
  <c r="BT74" i="1"/>
  <c r="BU74" i="1" s="1"/>
  <c r="BS73" i="1"/>
  <c r="DJ60" i="1"/>
  <c r="DK60" i="1" s="1"/>
  <c r="DI59" i="1"/>
  <c r="DD63" i="1"/>
  <c r="DE63" i="1" s="1"/>
  <c r="DC62" i="1"/>
  <c r="CL15" i="1"/>
  <c r="CM15" i="1" s="1"/>
  <c r="DC19" i="1"/>
  <c r="CK24" i="1"/>
  <c r="CL25" i="1"/>
  <c r="CM25" i="1" s="1"/>
  <c r="BT73" i="1"/>
  <c r="BU73" i="1" s="1"/>
  <c r="BS72" i="1"/>
  <c r="CF24" i="1"/>
  <c r="CG24" i="1" s="1"/>
  <c r="CE23" i="1"/>
  <c r="BZ50" i="1"/>
  <c r="CA50" i="1" s="1"/>
  <c r="BY49" i="1"/>
  <c r="CE45" i="1"/>
  <c r="CF46" i="1"/>
  <c r="CG46" i="1" s="1"/>
  <c r="BM20" i="1"/>
  <c r="AV83" i="3"/>
  <c r="BM22" i="1"/>
  <c r="CF66" i="1"/>
  <c r="CG66" i="1" s="1"/>
  <c r="CK7" i="1"/>
  <c r="CQ50" i="1"/>
  <c r="DD48" i="1"/>
  <c r="DE48" i="1" s="1"/>
  <c r="BY65" i="1"/>
  <c r="BZ66" i="1"/>
  <c r="CA66" i="1" s="1"/>
  <c r="DI21" i="1"/>
  <c r="DJ22" i="1"/>
  <c r="DK22" i="1" s="1"/>
  <c r="CL43" i="1"/>
  <c r="CM43" i="1" s="1"/>
  <c r="CK42" i="1"/>
  <c r="CL10" i="1"/>
  <c r="CM10" i="1" s="1"/>
  <c r="CK9" i="1"/>
  <c r="DC37" i="1"/>
  <c r="DD38" i="1"/>
  <c r="DE38" i="1" s="1"/>
  <c r="CQ53" i="1"/>
  <c r="CR54" i="1"/>
  <c r="CS54" i="1" s="1"/>
  <c r="DI8" i="1"/>
  <c r="DJ9" i="1"/>
  <c r="DK9" i="1" s="1"/>
  <c r="BS24" i="1"/>
  <c r="BT25" i="1"/>
  <c r="BU25" i="1" s="1"/>
  <c r="BS33" i="1"/>
  <c r="DC55" i="1"/>
  <c r="DJ35" i="1"/>
  <c r="DK35" i="1" s="1"/>
  <c r="DI34" i="1"/>
  <c r="BS15" i="1"/>
  <c r="BT16" i="1"/>
  <c r="BU16" i="1" s="1"/>
  <c r="BT18" i="1"/>
  <c r="BU18" i="1" s="1"/>
  <c r="CQ37" i="1"/>
  <c r="DD61" i="1"/>
  <c r="DE61" i="1" s="1"/>
  <c r="DC17" i="1"/>
  <c r="BY26" i="1"/>
  <c r="BZ27" i="1"/>
  <c r="CA27" i="1" s="1"/>
  <c r="CK32" i="1"/>
  <c r="DI36" i="1"/>
  <c r="CQ57" i="1"/>
  <c r="CR58" i="1"/>
  <c r="CS58" i="1" s="1"/>
  <c r="BT23" i="1"/>
  <c r="BU23" i="1" s="1"/>
  <c r="BS22" i="1"/>
  <c r="CF34" i="1"/>
  <c r="CG34" i="1" s="1"/>
  <c r="CF18" i="1"/>
  <c r="CG18" i="1" s="1"/>
  <c r="CQ23" i="1"/>
  <c r="CW32" i="1"/>
  <c r="DC68" i="1"/>
  <c r="DI71" i="1"/>
  <c r="DI70" i="1"/>
  <c r="DJ58" i="1"/>
  <c r="DK58" i="1" s="1"/>
  <c r="DD8" i="1"/>
  <c r="DE8" i="1" s="1"/>
  <c r="DC7" i="1"/>
  <c r="BT35" i="1"/>
  <c r="BU35" i="1" s="1"/>
  <c r="BS34" i="1"/>
  <c r="DC27" i="1"/>
  <c r="DD28" i="1"/>
  <c r="DE28" i="1" s="1"/>
  <c r="DJ20" i="1"/>
  <c r="DK20" i="1" s="1"/>
  <c r="DI19" i="1"/>
  <c r="BS10" i="1"/>
  <c r="CQ34" i="1"/>
  <c r="CR31" i="1"/>
  <c r="CS31" i="1" s="1"/>
  <c r="DD45" i="1"/>
  <c r="DE45" i="1" s="1"/>
  <c r="DC44" i="1"/>
  <c r="DC30" i="1"/>
  <c r="DD31" i="1"/>
  <c r="DE31" i="1" s="1"/>
  <c r="DI20" i="1"/>
  <c r="DJ21" i="1"/>
  <c r="DK21" i="1" s="1"/>
  <c r="AV81" i="3"/>
  <c r="AX81" i="3" s="1"/>
  <c r="BT46" i="1"/>
  <c r="BU46" i="1" s="1"/>
  <c r="BS45" i="1"/>
  <c r="CY74" i="1"/>
  <c r="CW73" i="1"/>
  <c r="CE37" i="1"/>
  <c r="CF38" i="1"/>
  <c r="CG38" i="1" s="1"/>
  <c r="CK59" i="1"/>
  <c r="BZ42" i="1"/>
  <c r="CA42" i="1" s="1"/>
  <c r="BY23" i="1"/>
  <c r="CK36" i="1"/>
  <c r="CE60" i="1"/>
  <c r="BZ9" i="1"/>
  <c r="CA9" i="1" s="1"/>
  <c r="AV87" i="2"/>
  <c r="CK35" i="1"/>
  <c r="CL36" i="1"/>
  <c r="CM36" i="1" s="1"/>
  <c r="BT17" i="1"/>
  <c r="BU17" i="1" s="1"/>
  <c r="BS16" i="1"/>
  <c r="CQ69" i="1"/>
  <c r="CR70" i="1"/>
  <c r="CS70" i="1" s="1"/>
  <c r="BY72" i="1"/>
  <c r="BZ73" i="1"/>
  <c r="CA73" i="1" s="1"/>
  <c r="CF26" i="1"/>
  <c r="CG26" i="1" s="1"/>
  <c r="CE29" i="1"/>
  <c r="CQ28" i="1"/>
  <c r="CR18" i="1"/>
  <c r="CS18" i="1" s="1"/>
  <c r="DD70" i="1"/>
  <c r="DE70" i="1" s="1"/>
  <c r="DC72" i="1"/>
  <c r="BZ15" i="1"/>
  <c r="CA15" i="1" s="1"/>
  <c r="BS53" i="1"/>
  <c r="BS62" i="1"/>
  <c r="CF50" i="1"/>
  <c r="CG50" i="1" s="1"/>
  <c r="CK18" i="1"/>
  <c r="CQ40" i="1"/>
  <c r="CR12" i="1"/>
  <c r="CS12" i="1" s="1"/>
  <c r="CW56" i="1"/>
  <c r="DD46" i="1"/>
  <c r="DE46" i="1" s="1"/>
  <c r="DC36" i="1"/>
  <c r="DJ46" i="1"/>
  <c r="DK46" i="1" s="1"/>
  <c r="CE51" i="1"/>
  <c r="DI26" i="1"/>
  <c r="BZ14" i="1"/>
  <c r="CA14" i="1" s="1"/>
  <c r="AT90" i="2"/>
  <c r="BM60" i="1"/>
  <c r="BN61" i="1"/>
  <c r="BO61" i="1" s="1"/>
  <c r="BS60" i="1"/>
  <c r="BT61" i="1"/>
  <c r="BU61" i="1" s="1"/>
  <c r="BN69" i="1"/>
  <c r="BO69" i="1" s="1"/>
  <c r="BM68" i="1"/>
  <c r="CF22" i="1"/>
  <c r="CG22" i="1" s="1"/>
  <c r="CE48" i="1"/>
  <c r="CJ75" i="1"/>
  <c r="BS41" i="1"/>
  <c r="CK46" i="1"/>
  <c r="CQ12" i="1"/>
  <c r="BZ52" i="1"/>
  <c r="CA52" i="1" s="1"/>
  <c r="BY37" i="1"/>
  <c r="BY59" i="1"/>
  <c r="BZ56" i="1"/>
  <c r="CA56" i="1" s="1"/>
  <c r="BN54" i="1"/>
  <c r="BO54" i="1" s="1"/>
  <c r="BN55" i="1"/>
  <c r="BO55" i="1" s="1"/>
  <c r="CK60" i="1"/>
  <c r="CL34" i="1"/>
  <c r="CM34" i="1" s="1"/>
  <c r="CR47" i="1"/>
  <c r="CS47" i="1" s="1"/>
  <c r="CR46" i="1"/>
  <c r="CS46" i="1" s="1"/>
  <c r="CR74" i="1"/>
  <c r="CS74" i="1" s="1"/>
  <c r="CW38" i="1"/>
  <c r="DD58" i="1"/>
  <c r="DE58" i="1" s="1"/>
  <c r="DJ56" i="1"/>
  <c r="DK56" i="1" s="1"/>
  <c r="DI35" i="1"/>
  <c r="DI30" i="1"/>
  <c r="DI29" i="1"/>
  <c r="BZ41" i="1"/>
  <c r="CA41" i="1" s="1"/>
  <c r="BZ17" i="1"/>
  <c r="CA17" i="1" s="1"/>
  <c r="BZ51" i="1"/>
  <c r="CA51" i="1" s="1"/>
  <c r="BZ43" i="1"/>
  <c r="CA43" i="1" s="1"/>
  <c r="BZ29" i="1"/>
  <c r="CA29" i="1" s="1"/>
  <c r="DC8" i="1"/>
  <c r="BS11" i="1"/>
  <c r="BT12" i="1"/>
  <c r="BU12" i="1" s="1"/>
  <c r="BZ65" i="1"/>
  <c r="CA65" i="1" s="1"/>
  <c r="BT70" i="1"/>
  <c r="BU70" i="1" s="1"/>
  <c r="BM41" i="1"/>
  <c r="BM33" i="1"/>
  <c r="CK49" i="1"/>
  <c r="CW48" i="1"/>
  <c r="CW7" i="1"/>
  <c r="DC38" i="1"/>
  <c r="DD30" i="1"/>
  <c r="DE30" i="1" s="1"/>
  <c r="DD44" i="1"/>
  <c r="DE44" i="1" s="1"/>
  <c r="DC35" i="1"/>
  <c r="DI40" i="1"/>
  <c r="BZ61" i="1"/>
  <c r="CA61" i="1" s="1"/>
  <c r="BM40" i="1"/>
  <c r="BN53" i="1"/>
  <c r="BO53" i="1" s="1"/>
  <c r="BN44" i="1"/>
  <c r="BO44" i="1" s="1"/>
  <c r="AV85" i="2"/>
  <c r="AV82" i="3"/>
  <c r="AX82" i="3" s="1"/>
  <c r="DC25" i="1"/>
  <c r="BZ58" i="1"/>
  <c r="CA58" i="1" s="1"/>
  <c r="BZ48" i="1"/>
  <c r="CA48" i="1" s="1"/>
  <c r="BT39" i="1"/>
  <c r="BU39" i="1" s="1"/>
  <c r="DC16" i="1"/>
  <c r="DC46" i="1"/>
  <c r="BN29" i="1"/>
  <c r="BO29" i="1" s="1"/>
  <c r="CE73" i="1"/>
  <c r="AV87" i="3"/>
  <c r="AV86" i="3"/>
  <c r="AV80" i="3"/>
  <c r="AX80" i="3" s="1"/>
  <c r="AT90" i="3"/>
  <c r="AU90" i="3"/>
  <c r="AU90" i="2"/>
  <c r="DJ24" i="1"/>
  <c r="DK24" i="1" s="1"/>
  <c r="DI23" i="1"/>
  <c r="BN11" i="1"/>
  <c r="BO11" i="1" s="1"/>
  <c r="BM10" i="1"/>
  <c r="BY66" i="1"/>
  <c r="BZ67" i="1"/>
  <c r="CA67" i="1" s="1"/>
  <c r="CW23" i="1"/>
  <c r="CY24" i="1"/>
  <c r="BY48" i="1"/>
  <c r="BZ49" i="1"/>
  <c r="CA49" i="1" s="1"/>
  <c r="BY43" i="1"/>
  <c r="BZ44" i="1"/>
  <c r="CA44" i="1" s="1"/>
  <c r="DI9" i="1"/>
  <c r="DJ10" i="1"/>
  <c r="DK10" i="1" s="1"/>
  <c r="BN51" i="1"/>
  <c r="BO51" i="1" s="1"/>
  <c r="BM50" i="1"/>
  <c r="DI11" i="1"/>
  <c r="DJ12" i="1"/>
  <c r="DK12" i="1" s="1"/>
  <c r="BT57" i="1"/>
  <c r="BU57" i="1" s="1"/>
  <c r="BS56" i="1"/>
  <c r="DC59" i="1"/>
  <c r="DD60" i="1"/>
  <c r="DE60" i="1" s="1"/>
  <c r="CK70" i="1"/>
  <c r="CQ54" i="1"/>
  <c r="CR62" i="1"/>
  <c r="CS62" i="1" s="1"/>
  <c r="CW36" i="1"/>
  <c r="DC56" i="1"/>
  <c r="DI27" i="1"/>
  <c r="DI60" i="1"/>
  <c r="BN28" i="1"/>
  <c r="BO28" i="1" s="1"/>
  <c r="BS23" i="1"/>
  <c r="BT24" i="1"/>
  <c r="BU24" i="1" s="1"/>
  <c r="BN70" i="1"/>
  <c r="BO70" i="1" s="1"/>
  <c r="BM69" i="1"/>
  <c r="BM46" i="1"/>
  <c r="BN37" i="1"/>
  <c r="BO37" i="1" s="1"/>
  <c r="BM36" i="1"/>
  <c r="CR56" i="1"/>
  <c r="CS56" i="1" s="1"/>
  <c r="CQ55" i="1"/>
  <c r="BN24" i="1"/>
  <c r="BO24" i="1" s="1"/>
  <c r="BM23" i="1"/>
  <c r="BT41" i="1"/>
  <c r="BU41" i="1" s="1"/>
  <c r="BS40" i="1"/>
  <c r="BS37" i="1"/>
  <c r="BS47" i="1"/>
  <c r="BT28" i="1"/>
  <c r="BU28" i="1" s="1"/>
  <c r="BS27" i="1"/>
  <c r="CL44" i="1"/>
  <c r="CM44" i="1" s="1"/>
  <c r="CQ62" i="1"/>
  <c r="DC71" i="1"/>
  <c r="DC31" i="1"/>
  <c r="DD14" i="1"/>
  <c r="DE14" i="1" s="1"/>
  <c r="DC70" i="1"/>
  <c r="DI46" i="1"/>
  <c r="DJ50" i="1"/>
  <c r="DK50" i="1" s="1"/>
  <c r="BZ68" i="1"/>
  <c r="CA68" i="1" s="1"/>
  <c r="BY67" i="1"/>
  <c r="CF44" i="1"/>
  <c r="CG44" i="1" s="1"/>
  <c r="CE43" i="1"/>
  <c r="CK73" i="1"/>
  <c r="CL74" i="1"/>
  <c r="CM74" i="1" s="1"/>
  <c r="BZ62" i="1"/>
  <c r="CA62" i="1" s="1"/>
  <c r="DC39" i="1"/>
  <c r="DD22" i="1"/>
  <c r="DE22" i="1" s="1"/>
  <c r="CE11" i="1"/>
  <c r="CK71" i="1"/>
  <c r="CL72" i="1"/>
  <c r="CM72" i="1" s="1"/>
  <c r="BM19" i="1"/>
  <c r="BN20" i="1"/>
  <c r="BO20" i="1" s="1"/>
  <c r="BT56" i="1"/>
  <c r="BU56" i="1" s="1"/>
  <c r="BS55" i="1"/>
  <c r="CY15" i="1"/>
  <c r="CW14" i="1"/>
  <c r="BM24" i="1"/>
  <c r="BN25" i="1"/>
  <c r="BO25" i="1" s="1"/>
  <c r="CF21" i="1"/>
  <c r="CG21" i="1" s="1"/>
  <c r="DJ62" i="1"/>
  <c r="DK62" i="1" s="1"/>
  <c r="DI61" i="1"/>
  <c r="CF70" i="1"/>
  <c r="CG70" i="1" s="1"/>
  <c r="CE69" i="1"/>
  <c r="CQ33" i="1"/>
  <c r="CE47" i="1"/>
  <c r="BM12" i="1"/>
  <c r="BN13" i="1"/>
  <c r="BO13" i="1" s="1"/>
  <c r="BS20" i="1"/>
  <c r="BT21" i="1"/>
  <c r="BU21" i="1" s="1"/>
  <c r="BN12" i="1"/>
  <c r="BO12" i="1" s="1"/>
  <c r="BM11" i="1"/>
  <c r="BX75" i="1"/>
  <c r="CE46" i="1"/>
  <c r="CR22" i="1"/>
  <c r="CS22" i="1" s="1"/>
  <c r="DI33" i="1"/>
  <c r="BM65" i="1"/>
  <c r="DC23" i="1"/>
  <c r="DJ14" i="1"/>
  <c r="DK14" i="1" s="1"/>
  <c r="DJ26" i="1"/>
  <c r="DK26" i="1" s="1"/>
  <c r="DI7" i="1"/>
  <c r="CE19" i="1"/>
  <c r="CV75" i="1"/>
  <c r="DB75" i="1"/>
  <c r="CF16" i="1"/>
  <c r="CG16" i="1" s="1"/>
  <c r="CE15" i="1"/>
  <c r="BM48" i="1"/>
  <c r="BN49" i="1"/>
  <c r="BO49" i="1" s="1"/>
  <c r="DH75" i="1"/>
  <c r="BS14" i="1"/>
  <c r="BS46" i="1"/>
  <c r="BN67" i="1"/>
  <c r="BO67" i="1" s="1"/>
  <c r="CQ20" i="1"/>
  <c r="DJ42" i="1"/>
  <c r="DK42" i="1" s="1"/>
  <c r="DI14" i="1"/>
  <c r="BM55" i="1"/>
  <c r="BY11" i="1"/>
  <c r="BN15" i="1"/>
  <c r="BO15" i="1" s="1"/>
  <c r="BM14" i="1"/>
  <c r="BN65" i="1"/>
  <c r="BO65" i="1" s="1"/>
  <c r="BM64" i="1"/>
  <c r="BN36" i="1"/>
  <c r="BO36" i="1" s="1"/>
  <c r="BM35" i="1"/>
  <c r="CQ35" i="1"/>
  <c r="BM39" i="1"/>
  <c r="BN40" i="1"/>
  <c r="BO40" i="1" s="1"/>
  <c r="BZ20" i="1"/>
  <c r="CA20" i="1" s="1"/>
  <c r="BS29" i="1"/>
  <c r="BM13" i="1"/>
  <c r="CK11" i="1"/>
  <c r="CW55" i="1"/>
  <c r="DD10" i="1"/>
  <c r="DE10" i="1" s="1"/>
  <c r="DC64" i="1"/>
  <c r="BN64" i="1"/>
  <c r="BO64" i="1" s="1"/>
  <c r="CE59" i="1"/>
  <c r="CE39" i="1"/>
  <c r="CF40" i="1"/>
  <c r="CG40" i="1" s="1"/>
  <c r="DD62" i="1"/>
  <c r="DE62" i="1" s="1"/>
  <c r="DC61" i="1"/>
  <c r="BT72" i="1"/>
  <c r="BU72" i="1" s="1"/>
  <c r="BS71" i="1"/>
  <c r="BZ12" i="1"/>
  <c r="CA12" i="1" s="1"/>
  <c r="CL12" i="1"/>
  <c r="CM12" i="1" s="1"/>
  <c r="CY56" i="1"/>
  <c r="DC9" i="1"/>
  <c r="CR72" i="1"/>
  <c r="CS72" i="1" s="1"/>
  <c r="CQ71" i="1"/>
  <c r="CQ52" i="1"/>
  <c r="CR53" i="1"/>
  <c r="CS53" i="1" s="1"/>
  <c r="CK65" i="1"/>
  <c r="CL66" i="1"/>
  <c r="CM66" i="1" s="1"/>
  <c r="BZ72" i="1"/>
  <c r="CA72" i="1" s="1"/>
  <c r="BY71" i="1"/>
  <c r="BM47" i="1"/>
  <c r="BN48" i="1"/>
  <c r="BO48" i="1" s="1"/>
  <c r="BT33" i="1"/>
  <c r="BU33" i="1" s="1"/>
  <c r="BS32" i="1"/>
  <c r="CR44" i="1"/>
  <c r="CS44" i="1" s="1"/>
  <c r="DI15" i="1"/>
  <c r="CE44" i="1"/>
  <c r="CF45" i="1"/>
  <c r="CG45" i="1" s="1"/>
  <c r="BS39" i="1"/>
  <c r="BT40" i="1"/>
  <c r="BU40" i="1" s="1"/>
  <c r="DJ64" i="1"/>
  <c r="DK64" i="1" s="1"/>
  <c r="DI63" i="1"/>
  <c r="CQ65" i="1"/>
  <c r="CR66" i="1"/>
  <c r="CS66" i="1" s="1"/>
  <c r="CF73" i="1"/>
  <c r="CG73" i="1" s="1"/>
  <c r="CE72" i="1"/>
  <c r="CE27" i="1"/>
  <c r="CF28" i="1"/>
  <c r="CG28" i="1" s="1"/>
  <c r="BN57" i="1"/>
  <c r="BO57" i="1" s="1"/>
  <c r="BM56" i="1"/>
  <c r="CW67" i="1"/>
  <c r="CY68" i="1"/>
  <c r="CF56" i="1"/>
  <c r="CG56" i="1" s="1"/>
  <c r="CE55" i="1"/>
  <c r="BS31" i="1"/>
  <c r="BM71" i="1"/>
  <c r="BN72" i="1"/>
  <c r="BO72" i="1" s="1"/>
  <c r="CF68" i="1"/>
  <c r="CG68" i="1" s="1"/>
  <c r="CE67" i="1"/>
  <c r="CQ63" i="1"/>
  <c r="CR64" i="1"/>
  <c r="CS64" i="1" s="1"/>
  <c r="BN73" i="1"/>
  <c r="BO73" i="1" s="1"/>
  <c r="BM72" i="1"/>
  <c r="BY58" i="1"/>
  <c r="BZ59" i="1"/>
  <c r="CA59" i="1" s="1"/>
  <c r="BM15" i="1"/>
  <c r="BN16" i="1"/>
  <c r="BO16" i="1" s="1"/>
  <c r="BT64" i="1"/>
  <c r="BU64" i="1" s="1"/>
  <c r="BS63" i="1"/>
  <c r="CR52" i="1"/>
  <c r="CS52" i="1" s="1"/>
  <c r="CQ51" i="1"/>
  <c r="CM8" i="1"/>
  <c r="CY8" i="1"/>
  <c r="DK8" i="1"/>
  <c r="BE74" i="1"/>
  <c r="BK2" i="1"/>
  <c r="AW82" i="2" l="1"/>
  <c r="AW80" i="2"/>
  <c r="AW83" i="2"/>
  <c r="AW81" i="2"/>
  <c r="AW81" i="3"/>
  <c r="AX83" i="3"/>
  <c r="AW83" i="3"/>
  <c r="AW82" i="3"/>
  <c r="CW75" i="1"/>
  <c r="DI75" i="1"/>
  <c r="AW80" i="3"/>
  <c r="BE86" i="1"/>
  <c r="BD86" i="1"/>
  <c r="CX75" i="1"/>
  <c r="BY75" i="1"/>
  <c r="CK75" i="1"/>
  <c r="DC75" i="1"/>
  <c r="DJ75" i="1"/>
  <c r="DK75" i="1"/>
  <c r="CY75" i="1"/>
  <c r="CA75" i="1"/>
  <c r="DD75" i="1"/>
  <c r="DE75" i="1"/>
  <c r="BZ75" i="1"/>
  <c r="CL75" i="1"/>
  <c r="CM75" i="1"/>
  <c r="BJ2" i="1"/>
  <c r="BM2" i="1"/>
  <c r="BL2" i="1"/>
  <c r="CO7" i="1"/>
  <c r="CP7" i="1" s="1"/>
  <c r="CP75" i="1" s="1"/>
  <c r="CC7" i="1"/>
  <c r="CD7" i="1" s="1"/>
  <c r="CD75" i="1" s="1"/>
  <c r="BQ7" i="1"/>
  <c r="BR7" i="1" s="1"/>
  <c r="BR75" i="1" s="1"/>
  <c r="BK7" i="1"/>
  <c r="BL7" i="1" s="1"/>
  <c r="BL75" i="1" s="1"/>
  <c r="BF2" i="1"/>
  <c r="BI2" i="1"/>
  <c r="BD13" i="1"/>
  <c r="BD19" i="1"/>
  <c r="BD26" i="1"/>
  <c r="BD32" i="1"/>
  <c r="BD45" i="1"/>
  <c r="BD51" i="1"/>
  <c r="BD58" i="1"/>
  <c r="BD64" i="1"/>
  <c r="BD14" i="1"/>
  <c r="BD20" i="1"/>
  <c r="BD33" i="1"/>
  <c r="BD39" i="1"/>
  <c r="BD46" i="1"/>
  <c r="BD52" i="1"/>
  <c r="BD65" i="1"/>
  <c r="BD71" i="1"/>
  <c r="BD8" i="1"/>
  <c r="BD21" i="1"/>
  <c r="BD27" i="1"/>
  <c r="BD34" i="1"/>
  <c r="BD40" i="1"/>
  <c r="BD53" i="1"/>
  <c r="BD59" i="1"/>
  <c r="BD66" i="1"/>
  <c r="BD72" i="1"/>
  <c r="BD9" i="1"/>
  <c r="BD15" i="1"/>
  <c r="BD22" i="1"/>
  <c r="BD28" i="1"/>
  <c r="BD41" i="1"/>
  <c r="BD47" i="1"/>
  <c r="BD54" i="1"/>
  <c r="BD60" i="1"/>
  <c r="BD73" i="1"/>
  <c r="BD10" i="1"/>
  <c r="BD16" i="1"/>
  <c r="BD29" i="1"/>
  <c r="BD35" i="1"/>
  <c r="BD42" i="1"/>
  <c r="BD48" i="1"/>
  <c r="BD61" i="1"/>
  <c r="BD67" i="1"/>
  <c r="BD74" i="1"/>
  <c r="BD17" i="1"/>
  <c r="BD23" i="1"/>
  <c r="BD30" i="1"/>
  <c r="BD36" i="1"/>
  <c r="BD49" i="1"/>
  <c r="BD55" i="1"/>
  <c r="BD62" i="1"/>
  <c r="BD68" i="1"/>
  <c r="BD11" i="1"/>
  <c r="BD18" i="1"/>
  <c r="BD24" i="1"/>
  <c r="BD37" i="1"/>
  <c r="BD43" i="1"/>
  <c r="BD50" i="1"/>
  <c r="BD56" i="1"/>
  <c r="BD69" i="1"/>
  <c r="BD12" i="1"/>
  <c r="BD25" i="1"/>
  <c r="BD31" i="1"/>
  <c r="BD38" i="1"/>
  <c r="BD44" i="1"/>
  <c r="BD57" i="1"/>
  <c r="BD70" i="1"/>
  <c r="BD63" i="1"/>
  <c r="BG2" i="1"/>
  <c r="T3" i="8"/>
  <c r="U33" i="8" s="1"/>
  <c r="AN3" i="8"/>
  <c r="AI3" i="8"/>
  <c r="AD3" i="8"/>
  <c r="AE3" i="8" s="1"/>
  <c r="AN3" i="7"/>
  <c r="AO3" i="7" s="1"/>
  <c r="AI3" i="7"/>
  <c r="AJ3" i="7" s="1"/>
  <c r="AD3" i="7"/>
  <c r="AE3" i="7" s="1"/>
  <c r="AN3" i="6"/>
  <c r="AO3" i="6" s="1"/>
  <c r="AI3" i="6"/>
  <c r="AJ3" i="6" s="1"/>
  <c r="AD3" i="6"/>
  <c r="AE3" i="6" s="1"/>
  <c r="AN3" i="4"/>
  <c r="AO3" i="4" s="1"/>
  <c r="AI3" i="4"/>
  <c r="AJ3" i="4" s="1"/>
  <c r="AD3" i="4"/>
  <c r="AE3" i="4" s="1"/>
  <c r="V6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Y3" i="8"/>
  <c r="Y3" i="4"/>
  <c r="Z3" i="4" s="1"/>
  <c r="V43" i="7"/>
  <c r="T3" i="7"/>
  <c r="U11" i="7" s="1"/>
  <c r="V83" i="4"/>
  <c r="T3" i="4"/>
  <c r="Y3" i="7"/>
  <c r="Y3" i="6"/>
  <c r="Z3" i="6" s="1"/>
  <c r="V53" i="6"/>
  <c r="T3" i="6"/>
  <c r="U34" i="6" s="1"/>
  <c r="BF86" i="1" l="1"/>
  <c r="U61" i="4"/>
  <c r="AL61" i="4" s="1"/>
  <c r="U28" i="4"/>
  <c r="CX76" i="1"/>
  <c r="U5" i="7"/>
  <c r="V4" i="7" s="1"/>
  <c r="U12" i="7"/>
  <c r="AB12" i="7" s="1"/>
  <c r="U34" i="8"/>
  <c r="V33" i="8" s="1"/>
  <c r="AG33" i="8" s="1"/>
  <c r="CW76" i="1"/>
  <c r="CK76" i="1"/>
  <c r="CV76" i="1"/>
  <c r="CD76" i="1"/>
  <c r="CY76" i="1"/>
  <c r="BE83" i="1"/>
  <c r="BD83" i="1"/>
  <c r="BD85" i="1"/>
  <c r="CP76" i="1"/>
  <c r="BE85" i="1"/>
  <c r="DD76" i="1"/>
  <c r="DE76" i="1"/>
  <c r="DB76" i="1"/>
  <c r="BE87" i="1"/>
  <c r="BD87" i="1"/>
  <c r="DC76" i="1"/>
  <c r="BE84" i="1"/>
  <c r="BD84" i="1"/>
  <c r="CJ76" i="1"/>
  <c r="BE80" i="1"/>
  <c r="BD80" i="1"/>
  <c r="BE81" i="1"/>
  <c r="BD81" i="1"/>
  <c r="BT76" i="1"/>
  <c r="BU76" i="1"/>
  <c r="BR76" i="1"/>
  <c r="BS76" i="1"/>
  <c r="CM76" i="1"/>
  <c r="BE88" i="1"/>
  <c r="BD88" i="1"/>
  <c r="DI76" i="1"/>
  <c r="DJ76" i="1"/>
  <c r="DK76" i="1"/>
  <c r="DH76" i="1"/>
  <c r="BY76" i="1"/>
  <c r="BZ76" i="1"/>
  <c r="BE82" i="1"/>
  <c r="CA76" i="1"/>
  <c r="BD82" i="1"/>
  <c r="BX76" i="1"/>
  <c r="CL76" i="1"/>
  <c r="BN76" i="1"/>
  <c r="BO76" i="1"/>
  <c r="BL76" i="1"/>
  <c r="BG76" i="1"/>
  <c r="BH76" i="1"/>
  <c r="BI76" i="1"/>
  <c r="BF76" i="1"/>
  <c r="BM76" i="1"/>
  <c r="CR8" i="1"/>
  <c r="CQ7" i="1"/>
  <c r="CQ75" i="1" s="1"/>
  <c r="CQ76" i="1" s="1"/>
  <c r="CF8" i="1"/>
  <c r="CE7" i="1"/>
  <c r="CE75" i="1" s="1"/>
  <c r="CE76" i="1" s="1"/>
  <c r="BM7" i="1"/>
  <c r="BM75" i="1" s="1"/>
  <c r="BN8" i="1"/>
  <c r="BS7" i="1"/>
  <c r="BS75" i="1" s="1"/>
  <c r="BT8" i="1"/>
  <c r="BE60" i="1"/>
  <c r="BE7" i="1"/>
  <c r="BE42" i="1"/>
  <c r="BE53" i="1"/>
  <c r="BE36" i="1"/>
  <c r="BF36" i="1" s="1"/>
  <c r="BE46" i="1"/>
  <c r="BF46" i="1" s="1"/>
  <c r="BE57" i="1"/>
  <c r="BF57" i="1" s="1"/>
  <c r="BE23" i="1"/>
  <c r="BF23" i="1" s="1"/>
  <c r="BE50" i="1"/>
  <c r="BF50" i="1" s="1"/>
  <c r="BE11" i="1"/>
  <c r="BE17" i="1"/>
  <c r="BE22" i="1"/>
  <c r="BE28" i="1"/>
  <c r="BF28" i="1" s="1"/>
  <c r="BE27" i="1"/>
  <c r="BF27" i="1" s="1"/>
  <c r="BE39" i="1"/>
  <c r="BF39" i="1" s="1"/>
  <c r="BE45" i="1"/>
  <c r="BF45" i="1" s="1"/>
  <c r="BE44" i="1"/>
  <c r="BF44" i="1" s="1"/>
  <c r="BE54" i="1"/>
  <c r="BE13" i="1"/>
  <c r="BE37" i="1"/>
  <c r="BE65" i="1"/>
  <c r="BF65" i="1" s="1"/>
  <c r="BE41" i="1"/>
  <c r="BF41" i="1" s="1"/>
  <c r="BE24" i="1"/>
  <c r="BF24" i="1" s="1"/>
  <c r="BE34" i="1"/>
  <c r="BF34" i="1" s="1"/>
  <c r="BE52" i="1"/>
  <c r="BE15" i="1"/>
  <c r="BE33" i="1"/>
  <c r="BF33" i="1" s="1"/>
  <c r="BE31" i="1"/>
  <c r="BF31" i="1" s="1"/>
  <c r="BE43" i="1"/>
  <c r="BF43" i="1" s="1"/>
  <c r="BE59" i="1"/>
  <c r="BF59" i="1" s="1"/>
  <c r="BE47" i="1"/>
  <c r="BE63" i="1"/>
  <c r="BE30" i="1"/>
  <c r="BE58" i="1"/>
  <c r="BF58" i="1" s="1"/>
  <c r="BE40" i="1"/>
  <c r="BF40" i="1" s="1"/>
  <c r="BE62" i="1"/>
  <c r="BF62" i="1" s="1"/>
  <c r="BE10" i="1"/>
  <c r="BF10" i="1" s="1"/>
  <c r="BE16" i="1"/>
  <c r="BF16" i="1" s="1"/>
  <c r="BE21" i="1"/>
  <c r="BE38" i="1"/>
  <c r="BE69" i="1"/>
  <c r="BF69" i="1" s="1"/>
  <c r="BE68" i="1"/>
  <c r="BF68" i="1" s="1"/>
  <c r="BE67" i="1"/>
  <c r="BF67" i="1" s="1"/>
  <c r="BE73" i="1"/>
  <c r="BF73" i="1" s="1"/>
  <c r="BF74" i="1"/>
  <c r="BG74" i="1" s="1"/>
  <c r="BE9" i="1"/>
  <c r="BE14" i="1"/>
  <c r="BF14" i="1" s="1"/>
  <c r="BE26" i="1"/>
  <c r="BF26" i="1" s="1"/>
  <c r="BE32" i="1"/>
  <c r="BF32" i="1" s="1"/>
  <c r="BE25" i="1"/>
  <c r="BF25" i="1" s="1"/>
  <c r="BE49" i="1"/>
  <c r="BF49" i="1" s="1"/>
  <c r="BE71" i="1"/>
  <c r="BF71" i="1" s="1"/>
  <c r="BE12" i="1"/>
  <c r="BE48" i="1"/>
  <c r="BF48" i="1" s="1"/>
  <c r="BE70" i="1"/>
  <c r="BF70" i="1" s="1"/>
  <c r="BE35" i="1"/>
  <c r="BF35" i="1" s="1"/>
  <c r="BE64" i="1"/>
  <c r="BF64" i="1" s="1"/>
  <c r="BE29" i="1"/>
  <c r="BE51" i="1"/>
  <c r="BE56" i="1"/>
  <c r="BF56" i="1" s="1"/>
  <c r="BE55" i="1"/>
  <c r="BF55" i="1" s="1"/>
  <c r="BE61" i="1"/>
  <c r="BF61" i="1" s="1"/>
  <c r="BE66" i="1"/>
  <c r="BF66" i="1" s="1"/>
  <c r="BE72" i="1"/>
  <c r="BF72" i="1" s="1"/>
  <c r="BE8" i="1"/>
  <c r="BE20" i="1"/>
  <c r="BF20" i="1" s="1"/>
  <c r="BE19" i="1"/>
  <c r="BF19" i="1" s="1"/>
  <c r="BE18" i="1"/>
  <c r="BF18" i="1" s="1"/>
  <c r="U18" i="8"/>
  <c r="V17" i="8" s="1"/>
  <c r="U35" i="8"/>
  <c r="V34" i="8" s="1"/>
  <c r="U11" i="8"/>
  <c r="V10" i="8" s="1"/>
  <c r="U12" i="8"/>
  <c r="V11" i="8" s="1"/>
  <c r="U17" i="8"/>
  <c r="V16" i="8" s="1"/>
  <c r="U32" i="8"/>
  <c r="V31" i="8" s="1"/>
  <c r="U3" i="8"/>
  <c r="U43" i="4"/>
  <c r="U31" i="4"/>
  <c r="V30" i="4" s="1"/>
  <c r="U15" i="4"/>
  <c r="V14" i="4" s="1"/>
  <c r="U80" i="4"/>
  <c r="W80" i="4" s="1"/>
  <c r="U59" i="4"/>
  <c r="AG59" i="4" s="1"/>
  <c r="U41" i="4"/>
  <c r="U77" i="4"/>
  <c r="AL77" i="4" s="1"/>
  <c r="U40" i="4"/>
  <c r="U13" i="4"/>
  <c r="V12" i="4" s="1"/>
  <c r="U39" i="4"/>
  <c r="U11" i="4"/>
  <c r="U49" i="4"/>
  <c r="U37" i="4"/>
  <c r="U23" i="4"/>
  <c r="U8" i="4"/>
  <c r="U71" i="4"/>
  <c r="AG71" i="4" s="1"/>
  <c r="U29" i="4"/>
  <c r="V28" i="4" s="1"/>
  <c r="U14" i="4"/>
  <c r="U57" i="4"/>
  <c r="AB57" i="4" s="1"/>
  <c r="U3" i="4"/>
  <c r="U27" i="4"/>
  <c r="U73" i="4"/>
  <c r="W73" i="4" s="1"/>
  <c r="U55" i="4"/>
  <c r="U51" i="4"/>
  <c r="U24" i="4"/>
  <c r="V23" i="4" s="1"/>
  <c r="U72" i="4"/>
  <c r="V71" i="4" s="1"/>
  <c r="U48" i="4"/>
  <c r="U35" i="4"/>
  <c r="U22" i="4"/>
  <c r="U6" i="4"/>
  <c r="V5" i="4" s="1"/>
  <c r="U67" i="4"/>
  <c r="U47" i="4"/>
  <c r="V46" i="4" s="1"/>
  <c r="U33" i="4"/>
  <c r="U20" i="4"/>
  <c r="V19" i="4" s="1"/>
  <c r="U4" i="4"/>
  <c r="U64" i="4"/>
  <c r="V63" i="4" s="1"/>
  <c r="U45" i="4"/>
  <c r="U32" i="4"/>
  <c r="U18" i="4"/>
  <c r="U83" i="4"/>
  <c r="AG83" i="4" s="1"/>
  <c r="AH83" i="4" s="1"/>
  <c r="U38" i="8"/>
  <c r="V37" i="8" s="1"/>
  <c r="U25" i="8"/>
  <c r="V24" i="8" s="1"/>
  <c r="U15" i="8"/>
  <c r="V14" i="8" s="1"/>
  <c r="U4" i="8"/>
  <c r="V3" i="8" s="1"/>
  <c r="U37" i="8"/>
  <c r="U24" i="8"/>
  <c r="V23" i="8" s="1"/>
  <c r="U36" i="8"/>
  <c r="U23" i="8"/>
  <c r="V22" i="8" s="1"/>
  <c r="U13" i="8"/>
  <c r="V12" i="8" s="1"/>
  <c r="U19" i="8"/>
  <c r="V18" i="8" s="1"/>
  <c r="W18" i="8" s="1"/>
  <c r="U48" i="8"/>
  <c r="U5" i="8"/>
  <c r="V4" i="8" s="1"/>
  <c r="AG4" i="8" s="1"/>
  <c r="U21" i="8"/>
  <c r="V20" i="8" s="1"/>
  <c r="U59" i="8"/>
  <c r="AG59" i="8" s="1"/>
  <c r="U6" i="8"/>
  <c r="V5" i="8" s="1"/>
  <c r="U22" i="8"/>
  <c r="V21" i="8" s="1"/>
  <c r="U62" i="8"/>
  <c r="AG62" i="8" s="1"/>
  <c r="U7" i="8"/>
  <c r="V6" i="8" s="1"/>
  <c r="U26" i="8"/>
  <c r="U6" i="7"/>
  <c r="V5" i="7" s="1"/>
  <c r="U20" i="7"/>
  <c r="AB20" i="7" s="1"/>
  <c r="V33" i="6"/>
  <c r="W77" i="4"/>
  <c r="U58" i="4"/>
  <c r="U66" i="4"/>
  <c r="U74" i="4"/>
  <c r="U82" i="4"/>
  <c r="U9" i="4"/>
  <c r="U17" i="4"/>
  <c r="U25" i="4"/>
  <c r="U60" i="4"/>
  <c r="U68" i="4"/>
  <c r="U76" i="4"/>
  <c r="U52" i="4"/>
  <c r="U54" i="4"/>
  <c r="U62" i="4"/>
  <c r="U70" i="4"/>
  <c r="U78" i="4"/>
  <c r="U5" i="4"/>
  <c r="V4" i="4" s="1"/>
  <c r="U46" i="4"/>
  <c r="U38" i="4"/>
  <c r="U30" i="4"/>
  <c r="U21" i="4"/>
  <c r="U12" i="4"/>
  <c r="U81" i="4"/>
  <c r="U69" i="4"/>
  <c r="U56" i="4"/>
  <c r="U53" i="4"/>
  <c r="U44" i="4"/>
  <c r="V43" i="4" s="1"/>
  <c r="U36" i="4"/>
  <c r="V35" i="4" s="1"/>
  <c r="V27" i="4"/>
  <c r="U19" i="4"/>
  <c r="U10" i="4"/>
  <c r="V9" i="4" s="1"/>
  <c r="U79" i="4"/>
  <c r="U65" i="4"/>
  <c r="U50" i="4"/>
  <c r="U42" i="4"/>
  <c r="U34" i="4"/>
  <c r="U26" i="4"/>
  <c r="U16" i="4"/>
  <c r="V15" i="4" s="1"/>
  <c r="U7" i="4"/>
  <c r="V6" i="4" s="1"/>
  <c r="U75" i="4"/>
  <c r="U63" i="4"/>
  <c r="AO3" i="8"/>
  <c r="AJ3" i="8"/>
  <c r="Z3" i="8"/>
  <c r="V32" i="8"/>
  <c r="U61" i="8"/>
  <c r="U57" i="8"/>
  <c r="U53" i="8"/>
  <c r="U49" i="8"/>
  <c r="U52" i="8"/>
  <c r="U51" i="8"/>
  <c r="U50" i="8"/>
  <c r="U42" i="8"/>
  <c r="U41" i="8"/>
  <c r="U40" i="8"/>
  <c r="U39" i="8"/>
  <c r="U54" i="8"/>
  <c r="U46" i="8"/>
  <c r="U45" i="8"/>
  <c r="U44" i="8"/>
  <c r="U43" i="8"/>
  <c r="U58" i="8"/>
  <c r="U47" i="8"/>
  <c r="U63" i="8"/>
  <c r="U56" i="8"/>
  <c r="U30" i="8"/>
  <c r="U29" i="8"/>
  <c r="U28" i="8"/>
  <c r="U27" i="8"/>
  <c r="U10" i="8"/>
  <c r="U9" i="8"/>
  <c r="U8" i="8"/>
  <c r="U60" i="8"/>
  <c r="U31" i="8"/>
  <c r="U20" i="8"/>
  <c r="U16" i="8"/>
  <c r="U14" i="8"/>
  <c r="U55" i="8"/>
  <c r="U19" i="7"/>
  <c r="W19" i="7" s="1"/>
  <c r="X19" i="7" s="1"/>
  <c r="U4" i="7"/>
  <c r="U41" i="7"/>
  <c r="AG41" i="7" s="1"/>
  <c r="U17" i="7"/>
  <c r="V16" i="7" s="1"/>
  <c r="U25" i="7"/>
  <c r="V24" i="7" s="1"/>
  <c r="U14" i="7"/>
  <c r="AG14" i="7" s="1"/>
  <c r="U21" i="7"/>
  <c r="AG21" i="7" s="1"/>
  <c r="U8" i="7"/>
  <c r="U23" i="7"/>
  <c r="AL23" i="7" s="1"/>
  <c r="U24" i="7"/>
  <c r="V23" i="7" s="1"/>
  <c r="Z3" i="7"/>
  <c r="V10" i="7"/>
  <c r="U3" i="7"/>
  <c r="U9" i="7"/>
  <c r="U40" i="7"/>
  <c r="U42" i="7"/>
  <c r="U38" i="7"/>
  <c r="U34" i="7"/>
  <c r="U30" i="7"/>
  <c r="U26" i="7"/>
  <c r="U22" i="7"/>
  <c r="U18" i="7"/>
  <c r="U32" i="7"/>
  <c r="U37" i="7"/>
  <c r="U36" i="7"/>
  <c r="U35" i="7"/>
  <c r="U29" i="7"/>
  <c r="U28" i="7"/>
  <c r="U27" i="7"/>
  <c r="U16" i="7"/>
  <c r="U13" i="7"/>
  <c r="U10" i="7"/>
  <c r="U7" i="7"/>
  <c r="U33" i="7"/>
  <c r="U31" i="7"/>
  <c r="U39" i="7"/>
  <c r="U15" i="7"/>
  <c r="U43" i="7"/>
  <c r="U28" i="6"/>
  <c r="U27" i="6"/>
  <c r="U53" i="6"/>
  <c r="U26" i="6"/>
  <c r="U52" i="6"/>
  <c r="U12" i="6"/>
  <c r="U51" i="6"/>
  <c r="U11" i="6"/>
  <c r="U44" i="6"/>
  <c r="U10" i="6"/>
  <c r="U35" i="6"/>
  <c r="U4" i="6"/>
  <c r="U5" i="6"/>
  <c r="U13" i="6"/>
  <c r="U21" i="6"/>
  <c r="U29" i="6"/>
  <c r="U37" i="6"/>
  <c r="U45" i="6"/>
  <c r="U3" i="6"/>
  <c r="U6" i="6"/>
  <c r="U14" i="6"/>
  <c r="U22" i="6"/>
  <c r="U30" i="6"/>
  <c r="U38" i="6"/>
  <c r="U46" i="6"/>
  <c r="U7" i="6"/>
  <c r="U15" i="6"/>
  <c r="U23" i="6"/>
  <c r="U31" i="6"/>
  <c r="U39" i="6"/>
  <c r="U47" i="6"/>
  <c r="U8" i="6"/>
  <c r="U16" i="6"/>
  <c r="U24" i="6"/>
  <c r="U32" i="6"/>
  <c r="U40" i="6"/>
  <c r="U49" i="6"/>
  <c r="U48" i="6"/>
  <c r="U9" i="6"/>
  <c r="U17" i="6"/>
  <c r="U25" i="6"/>
  <c r="U33" i="6"/>
  <c r="U41" i="6"/>
  <c r="U50" i="6"/>
  <c r="U43" i="6"/>
  <c r="U20" i="6"/>
  <c r="U42" i="6"/>
  <c r="U19" i="6"/>
  <c r="U36" i="6"/>
  <c r="U18" i="6"/>
  <c r="J15" i="9"/>
  <c r="AL37" i="8" l="1"/>
  <c r="AN38" i="8" s="1"/>
  <c r="AO38" i="8" s="1"/>
  <c r="BF85" i="1"/>
  <c r="BD90" i="1"/>
  <c r="BE90" i="1"/>
  <c r="CM77" i="1"/>
  <c r="BI77" i="1"/>
  <c r="DK77" i="1"/>
  <c r="BU77" i="1"/>
  <c r="CY77" i="1"/>
  <c r="DE77" i="1"/>
  <c r="BO77" i="1"/>
  <c r="CA77" i="1"/>
  <c r="AB61" i="4"/>
  <c r="AC61" i="4" s="1"/>
  <c r="V60" i="4"/>
  <c r="W61" i="4"/>
  <c r="Y62" i="4" s="1"/>
  <c r="Z62" i="4" s="1"/>
  <c r="AG61" i="4"/>
  <c r="AI62" i="4" s="1"/>
  <c r="AJ62" i="4" s="1"/>
  <c r="AB28" i="4"/>
  <c r="AC28" i="4" s="1"/>
  <c r="AG28" i="4"/>
  <c r="AH28" i="4" s="1"/>
  <c r="W28" i="4"/>
  <c r="X28" i="4" s="1"/>
  <c r="AL28" i="4"/>
  <c r="AM28" i="4" s="1"/>
  <c r="V11" i="7"/>
  <c r="W11" i="7" s="1"/>
  <c r="Y12" i="7" s="1"/>
  <c r="Z12" i="7" s="1"/>
  <c r="W43" i="4"/>
  <c r="X43" i="4" s="1"/>
  <c r="W35" i="4"/>
  <c r="X35" i="4" s="1"/>
  <c r="AL12" i="7"/>
  <c r="AM12" i="7" s="1"/>
  <c r="W72" i="4"/>
  <c r="X72" i="4" s="1"/>
  <c r="AB43" i="4"/>
  <c r="AC43" i="4" s="1"/>
  <c r="W5" i="7"/>
  <c r="Y6" i="7" s="1"/>
  <c r="Z6" i="7" s="1"/>
  <c r="Y20" i="7"/>
  <c r="Z20" i="7" s="1"/>
  <c r="AG43" i="4"/>
  <c r="AI44" i="4" s="1"/>
  <c r="AJ44" i="4" s="1"/>
  <c r="AB14" i="4"/>
  <c r="AC14" i="4" s="1"/>
  <c r="AB34" i="8"/>
  <c r="AD35" i="8" s="1"/>
  <c r="AE35" i="8" s="1"/>
  <c r="AB72" i="4"/>
  <c r="AC72" i="4" s="1"/>
  <c r="AB27" i="4"/>
  <c r="AD28" i="4" s="1"/>
  <c r="AE28" i="4" s="1"/>
  <c r="AG23" i="4"/>
  <c r="AH23" i="4" s="1"/>
  <c r="W23" i="4"/>
  <c r="Y24" i="4" s="1"/>
  <c r="Z24" i="4" s="1"/>
  <c r="AL80" i="4"/>
  <c r="AN81" i="4" s="1"/>
  <c r="AO81" i="4" s="1"/>
  <c r="V22" i="7"/>
  <c r="W32" i="8"/>
  <c r="X32" i="8" s="1"/>
  <c r="AL24" i="7"/>
  <c r="AN25" i="7" s="1"/>
  <c r="W12" i="7"/>
  <c r="X12" i="7" s="1"/>
  <c r="AL72" i="4"/>
  <c r="AM72" i="4" s="1"/>
  <c r="V79" i="4"/>
  <c r="W27" i="4"/>
  <c r="Y28" i="4" s="1"/>
  <c r="Z28" i="4" s="1"/>
  <c r="W11" i="8"/>
  <c r="X11" i="8" s="1"/>
  <c r="BF84" i="1"/>
  <c r="AG17" i="7"/>
  <c r="AH17" i="7" s="1"/>
  <c r="AG4" i="4"/>
  <c r="AH4" i="4" s="1"/>
  <c r="AG35" i="4"/>
  <c r="AH35" i="4" s="1"/>
  <c r="AL64" i="4"/>
  <c r="AN65" i="4" s="1"/>
  <c r="AO65" i="4" s="1"/>
  <c r="AL57" i="4"/>
  <c r="AM57" i="4" s="1"/>
  <c r="AB80" i="4"/>
  <c r="AC80" i="4" s="1"/>
  <c r="AB64" i="4"/>
  <c r="AC64" i="4" s="1"/>
  <c r="AG12" i="7"/>
  <c r="AH12" i="7" s="1"/>
  <c r="AG72" i="4"/>
  <c r="AI73" i="4" s="1"/>
  <c r="AJ73" i="4" s="1"/>
  <c r="BF83" i="1"/>
  <c r="BG83" i="1" s="1"/>
  <c r="AG64" i="4"/>
  <c r="AH64" i="4" s="1"/>
  <c r="AG27" i="4"/>
  <c r="AG80" i="4"/>
  <c r="AH80" i="4" s="1"/>
  <c r="W20" i="7"/>
  <c r="AL43" i="4"/>
  <c r="AM43" i="4" s="1"/>
  <c r="W64" i="4"/>
  <c r="Y65" i="4" s="1"/>
  <c r="Z65" i="4" s="1"/>
  <c r="AB23" i="4"/>
  <c r="AC23" i="4" s="1"/>
  <c r="V19" i="7"/>
  <c r="AB19" i="7"/>
  <c r="AD20" i="7" s="1"/>
  <c r="AE20" i="7" s="1"/>
  <c r="AL32" i="8"/>
  <c r="AM32" i="8" s="1"/>
  <c r="W59" i="4"/>
  <c r="Y60" i="4" s="1"/>
  <c r="Z60" i="4" s="1"/>
  <c r="W4" i="4"/>
  <c r="X4" i="4" s="1"/>
  <c r="AL59" i="4"/>
  <c r="AM59" i="4" s="1"/>
  <c r="AG19" i="7"/>
  <c r="AH19" i="7" s="1"/>
  <c r="AG20" i="7"/>
  <c r="AI21" i="7" s="1"/>
  <c r="AJ21" i="7" s="1"/>
  <c r="V18" i="7"/>
  <c r="AB35" i="4"/>
  <c r="AC35" i="4" s="1"/>
  <c r="W83" i="4"/>
  <c r="X83" i="4" s="1"/>
  <c r="V54" i="4"/>
  <c r="AB59" i="4"/>
  <c r="AC59" i="4" s="1"/>
  <c r="AL19" i="7"/>
  <c r="AN20" i="7" s="1"/>
  <c r="AO20" i="7" s="1"/>
  <c r="AL20" i="7"/>
  <c r="AN21" i="7" s="1"/>
  <c r="AO21" i="7" s="1"/>
  <c r="AL35" i="4"/>
  <c r="AN36" i="4" s="1"/>
  <c r="AO36" i="4" s="1"/>
  <c r="AL27" i="4"/>
  <c r="AN28" i="4" s="1"/>
  <c r="AO28" i="4" s="1"/>
  <c r="V58" i="4"/>
  <c r="AB12" i="8"/>
  <c r="AD13" i="8" s="1"/>
  <c r="BH86" i="1"/>
  <c r="BF81" i="1"/>
  <c r="BH81" i="1" s="1"/>
  <c r="BF87" i="1"/>
  <c r="BF82" i="1"/>
  <c r="BF88" i="1"/>
  <c r="BF80" i="1"/>
  <c r="BO8" i="1"/>
  <c r="BO75" i="1" s="1"/>
  <c r="BN75" i="1"/>
  <c r="CS8" i="1"/>
  <c r="CS75" i="1" s="1"/>
  <c r="CS76" i="1" s="1"/>
  <c r="CR75" i="1"/>
  <c r="CR76" i="1" s="1"/>
  <c r="BU8" i="1"/>
  <c r="BU75" i="1" s="1"/>
  <c r="BT75" i="1"/>
  <c r="CG8" i="1"/>
  <c r="CG75" i="1" s="1"/>
  <c r="CG76" i="1" s="1"/>
  <c r="CF75" i="1"/>
  <c r="CF76" i="1" s="1"/>
  <c r="BF60" i="1"/>
  <c r="BH61" i="1" s="1"/>
  <c r="BI61" i="1" s="1"/>
  <c r="BF21" i="1"/>
  <c r="BG21" i="1" s="1"/>
  <c r="BF47" i="1"/>
  <c r="BG47" i="1" s="1"/>
  <c r="BF52" i="1"/>
  <c r="BG52" i="1" s="1"/>
  <c r="BF54" i="1"/>
  <c r="BG54" i="1" s="1"/>
  <c r="BF11" i="1"/>
  <c r="BG11" i="1" s="1"/>
  <c r="BF8" i="1"/>
  <c r="BH9" i="1" s="1"/>
  <c r="BI9" i="1" s="1"/>
  <c r="BF51" i="1"/>
  <c r="BG51" i="1" s="1"/>
  <c r="BF12" i="1"/>
  <c r="BH13" i="1" s="1"/>
  <c r="BI13" i="1" s="1"/>
  <c r="BF9" i="1"/>
  <c r="BG9" i="1" s="1"/>
  <c r="BF30" i="1"/>
  <c r="BG30" i="1" s="1"/>
  <c r="BF15" i="1"/>
  <c r="BG15" i="1" s="1"/>
  <c r="BF37" i="1"/>
  <c r="BH38" i="1" s="1"/>
  <c r="BI38" i="1" s="1"/>
  <c r="BF22" i="1"/>
  <c r="BH23" i="1" s="1"/>
  <c r="BI23" i="1" s="1"/>
  <c r="BF53" i="1"/>
  <c r="BG53" i="1" s="1"/>
  <c r="BF29" i="1"/>
  <c r="BG29" i="1" s="1"/>
  <c r="BF38" i="1"/>
  <c r="BG38" i="1" s="1"/>
  <c r="BF63" i="1"/>
  <c r="BG63" i="1" s="1"/>
  <c r="BF7" i="1"/>
  <c r="BG7" i="1" s="1"/>
  <c r="BF13" i="1"/>
  <c r="BG13" i="1" s="1"/>
  <c r="BF17" i="1"/>
  <c r="BG17" i="1" s="1"/>
  <c r="BF42" i="1"/>
  <c r="BH43" i="1" s="1"/>
  <c r="BI43" i="1" s="1"/>
  <c r="BG18" i="1"/>
  <c r="BH19" i="1"/>
  <c r="BI19" i="1" s="1"/>
  <c r="BG26" i="1"/>
  <c r="BH27" i="1"/>
  <c r="BI27" i="1" s="1"/>
  <c r="BG64" i="1"/>
  <c r="BH65" i="1"/>
  <c r="BI65" i="1" s="1"/>
  <c r="BG33" i="1"/>
  <c r="BH34" i="1"/>
  <c r="BI34" i="1" s="1"/>
  <c r="BG56" i="1"/>
  <c r="BH57" i="1"/>
  <c r="BI57" i="1" s="1"/>
  <c r="BG49" i="1"/>
  <c r="BH50" i="1"/>
  <c r="BI50" i="1" s="1"/>
  <c r="BG62" i="1"/>
  <c r="BH63" i="1"/>
  <c r="BI63" i="1" s="1"/>
  <c r="BH46" i="1"/>
  <c r="BI46" i="1" s="1"/>
  <c r="BG45" i="1"/>
  <c r="BG32" i="1"/>
  <c r="BH33" i="1"/>
  <c r="BI33" i="1" s="1"/>
  <c r="BG40" i="1"/>
  <c r="BH41" i="1"/>
  <c r="BI41" i="1" s="1"/>
  <c r="BG39" i="1"/>
  <c r="BH40" i="1"/>
  <c r="BI40" i="1" s="1"/>
  <c r="BH62" i="1"/>
  <c r="BI62" i="1" s="1"/>
  <c r="BG61" i="1"/>
  <c r="BG31" i="1"/>
  <c r="BH32" i="1"/>
  <c r="BI32" i="1" s="1"/>
  <c r="BG55" i="1"/>
  <c r="BH56" i="1"/>
  <c r="BI56" i="1" s="1"/>
  <c r="BH36" i="1"/>
  <c r="BI36" i="1" s="1"/>
  <c r="BG35" i="1"/>
  <c r="BG46" i="1"/>
  <c r="BH47" i="1"/>
  <c r="BI47" i="1" s="1"/>
  <c r="BG24" i="1"/>
  <c r="BH25" i="1"/>
  <c r="BI25" i="1" s="1"/>
  <c r="BG73" i="1"/>
  <c r="BH74" i="1"/>
  <c r="BI74" i="1" s="1"/>
  <c r="BH37" i="1"/>
  <c r="BI37" i="1" s="1"/>
  <c r="BG36" i="1"/>
  <c r="BH28" i="1"/>
  <c r="BI28" i="1" s="1"/>
  <c r="BG27" i="1"/>
  <c r="BG48" i="1"/>
  <c r="BH49" i="1"/>
  <c r="BI49" i="1" s="1"/>
  <c r="BG25" i="1"/>
  <c r="BH26" i="1"/>
  <c r="BI26" i="1" s="1"/>
  <c r="BG58" i="1"/>
  <c r="BH59" i="1"/>
  <c r="BI59" i="1" s="1"/>
  <c r="BH68" i="1"/>
  <c r="BI68" i="1" s="1"/>
  <c r="BG67" i="1"/>
  <c r="BG71" i="1"/>
  <c r="BH72" i="1"/>
  <c r="BI72" i="1" s="1"/>
  <c r="BG10" i="1"/>
  <c r="BH11" i="1"/>
  <c r="BI11" i="1" s="1"/>
  <c r="BH45" i="1"/>
  <c r="BI45" i="1" s="1"/>
  <c r="BG44" i="1"/>
  <c r="BH67" i="1"/>
  <c r="BI67" i="1" s="1"/>
  <c r="BG66" i="1"/>
  <c r="BG23" i="1"/>
  <c r="BH24" i="1"/>
  <c r="BI24" i="1" s="1"/>
  <c r="BH20" i="1"/>
  <c r="BI20" i="1" s="1"/>
  <c r="BG19" i="1"/>
  <c r="BG57" i="1"/>
  <c r="BH58" i="1"/>
  <c r="BI58" i="1" s="1"/>
  <c r="BG72" i="1"/>
  <c r="BH73" i="1"/>
  <c r="BI73" i="1" s="1"/>
  <c r="BH69" i="1"/>
  <c r="BI69" i="1" s="1"/>
  <c r="BG68" i="1"/>
  <c r="BG41" i="1"/>
  <c r="BH42" i="1"/>
  <c r="BI42" i="1" s="1"/>
  <c r="BH35" i="1"/>
  <c r="BI35" i="1" s="1"/>
  <c r="BG34" i="1"/>
  <c r="BG14" i="1"/>
  <c r="BH15" i="1"/>
  <c r="BI15" i="1" s="1"/>
  <c r="BH44" i="1"/>
  <c r="BI44" i="1" s="1"/>
  <c r="BG43" i="1"/>
  <c r="BH21" i="1"/>
  <c r="BI21" i="1" s="1"/>
  <c r="BG20" i="1"/>
  <c r="BH51" i="1"/>
  <c r="BI51" i="1" s="1"/>
  <c r="BG50" i="1"/>
  <c r="BH70" i="1"/>
  <c r="BI70" i="1" s="1"/>
  <c r="BG69" i="1"/>
  <c r="BH60" i="1"/>
  <c r="BI60" i="1" s="1"/>
  <c r="BG59" i="1"/>
  <c r="BG16" i="1"/>
  <c r="BH17" i="1"/>
  <c r="BI17" i="1" s="1"/>
  <c r="BH29" i="1"/>
  <c r="BI29" i="1" s="1"/>
  <c r="BG28" i="1"/>
  <c r="BG70" i="1"/>
  <c r="BH71" i="1"/>
  <c r="BI71" i="1" s="1"/>
  <c r="BG65" i="1"/>
  <c r="BH66" i="1"/>
  <c r="BI66" i="1" s="1"/>
  <c r="AG32" i="8"/>
  <c r="AH32" i="8" s="1"/>
  <c r="W33" i="8"/>
  <c r="Y34" i="8" s="1"/>
  <c r="Z34" i="8" s="1"/>
  <c r="AB11" i="8"/>
  <c r="AC11" i="8" s="1"/>
  <c r="AL33" i="8"/>
  <c r="AN34" i="8" s="1"/>
  <c r="AO34" i="8" s="1"/>
  <c r="AB32" i="8"/>
  <c r="AC32" i="8" s="1"/>
  <c r="W34" i="8"/>
  <c r="Y35" i="8" s="1"/>
  <c r="Z35" i="8" s="1"/>
  <c r="AB33" i="8"/>
  <c r="AD34" i="8" s="1"/>
  <c r="AE34" i="8" s="1"/>
  <c r="AG11" i="8"/>
  <c r="AH11" i="8" s="1"/>
  <c r="AL11" i="8"/>
  <c r="AN12" i="8" s="1"/>
  <c r="AO12" i="8" s="1"/>
  <c r="AG3" i="8"/>
  <c r="AI4" i="8" s="1"/>
  <c r="W62" i="8"/>
  <c r="X62" i="8" s="1"/>
  <c r="AB17" i="8"/>
  <c r="AC17" i="8" s="1"/>
  <c r="W24" i="8"/>
  <c r="X24" i="8" s="1"/>
  <c r="AB37" i="8"/>
  <c r="AC37" i="8" s="1"/>
  <c r="AL62" i="8"/>
  <c r="AM62" i="8" s="1"/>
  <c r="AL34" i="8"/>
  <c r="AM34" i="8" s="1"/>
  <c r="AB21" i="8"/>
  <c r="AC21" i="8" s="1"/>
  <c r="AL22" i="8"/>
  <c r="AM22" i="8" s="1"/>
  <c r="AG37" i="8"/>
  <c r="AH37" i="8" s="1"/>
  <c r="AG34" i="8"/>
  <c r="W37" i="8"/>
  <c r="Y38" i="8" s="1"/>
  <c r="Z38" i="8" s="1"/>
  <c r="V36" i="8"/>
  <c r="AG36" i="8" s="1"/>
  <c r="AB59" i="8"/>
  <c r="AC59" i="8" s="1"/>
  <c r="AG6" i="4"/>
  <c r="AI7" i="4" s="1"/>
  <c r="AB6" i="4"/>
  <c r="AC6" i="4" s="1"/>
  <c r="AL6" i="4"/>
  <c r="AM6" i="4" s="1"/>
  <c r="AL23" i="4"/>
  <c r="AM23" i="4" s="1"/>
  <c r="AL83" i="4"/>
  <c r="AM83" i="4" s="1"/>
  <c r="AB77" i="4"/>
  <c r="AD78" i="4" s="1"/>
  <c r="AE78" i="4" s="1"/>
  <c r="AB4" i="4"/>
  <c r="AC4" i="4" s="1"/>
  <c r="V70" i="4"/>
  <c r="V22" i="4"/>
  <c r="AL22" i="4" s="1"/>
  <c r="AB83" i="4"/>
  <c r="AC83" i="4" s="1"/>
  <c r="AG55" i="4"/>
  <c r="AH55" i="4" s="1"/>
  <c r="W57" i="4"/>
  <c r="X57" i="4" s="1"/>
  <c r="V76" i="4"/>
  <c r="AL4" i="4"/>
  <c r="AN5" i="4" s="1"/>
  <c r="AO5" i="4" s="1"/>
  <c r="W71" i="4"/>
  <c r="X71" i="4" s="1"/>
  <c r="AB73" i="4"/>
  <c r="AD74" i="4" s="1"/>
  <c r="AE74" i="4" s="1"/>
  <c r="AG57" i="4"/>
  <c r="AI58" i="4" s="1"/>
  <c r="AJ58" i="4" s="1"/>
  <c r="AG77" i="4"/>
  <c r="AH77" i="4" s="1"/>
  <c r="V82" i="4"/>
  <c r="W67" i="4"/>
  <c r="AB67" i="4"/>
  <c r="AB71" i="4"/>
  <c r="AC71" i="4" s="1"/>
  <c r="AL67" i="4"/>
  <c r="AN68" i="4" s="1"/>
  <c r="AO68" i="4" s="1"/>
  <c r="AL71" i="4"/>
  <c r="AN72" i="4" s="1"/>
  <c r="AO72" i="4" s="1"/>
  <c r="V72" i="4"/>
  <c r="AG14" i="4"/>
  <c r="AH14" i="4" s="1"/>
  <c r="V39" i="4"/>
  <c r="AB39" i="4" s="1"/>
  <c r="V66" i="4"/>
  <c r="AL73" i="4"/>
  <c r="AN74" i="4" s="1"/>
  <c r="AO74" i="4" s="1"/>
  <c r="V56" i="4"/>
  <c r="W14" i="4"/>
  <c r="X14" i="4" s="1"/>
  <c r="V26" i="4"/>
  <c r="AL26" i="4" s="1"/>
  <c r="AG67" i="4"/>
  <c r="AI68" i="4" s="1"/>
  <c r="AJ68" i="4" s="1"/>
  <c r="AG73" i="4"/>
  <c r="AH73" i="4" s="1"/>
  <c r="AL24" i="8"/>
  <c r="AM24" i="8" s="1"/>
  <c r="V47" i="8"/>
  <c r="W47" i="8" s="1"/>
  <c r="W21" i="8"/>
  <c r="Y22" i="8" s="1"/>
  <c r="Z22" i="8" s="1"/>
  <c r="AL59" i="8"/>
  <c r="AN60" i="8" s="1"/>
  <c r="AO60" i="8" s="1"/>
  <c r="AB23" i="8"/>
  <c r="AC23" i="8" s="1"/>
  <c r="V58" i="8"/>
  <c r="W59" i="8"/>
  <c r="X59" i="8" s="1"/>
  <c r="AL6" i="8"/>
  <c r="AN7" i="8" s="1"/>
  <c r="AH59" i="8"/>
  <c r="AI60" i="8"/>
  <c r="AJ60" i="8" s="1"/>
  <c r="AH4" i="8"/>
  <c r="AI5" i="8"/>
  <c r="V25" i="8"/>
  <c r="AG25" i="8" s="1"/>
  <c r="AG22" i="8"/>
  <c r="AG23" i="8"/>
  <c r="W22" i="8"/>
  <c r="X22" i="8" s="1"/>
  <c r="AG21" i="8"/>
  <c r="V35" i="8"/>
  <c r="V61" i="8"/>
  <c r="AH33" i="8"/>
  <c r="AI34" i="8"/>
  <c r="AJ34" i="8" s="1"/>
  <c r="AB62" i="8"/>
  <c r="AL23" i="8"/>
  <c r="W23" i="8"/>
  <c r="AL21" i="8"/>
  <c r="AM37" i="8"/>
  <c r="AB5" i="8"/>
  <c r="AB22" i="8"/>
  <c r="AB24" i="8"/>
  <c r="AG24" i="8"/>
  <c r="AH62" i="8"/>
  <c r="AI63" i="8"/>
  <c r="AJ63" i="8" s="1"/>
  <c r="AC12" i="7"/>
  <c r="AD13" i="7"/>
  <c r="AE13" i="7" s="1"/>
  <c r="AM23" i="7"/>
  <c r="AN24" i="7"/>
  <c r="AG24" i="7"/>
  <c r="AC20" i="7"/>
  <c r="AD21" i="7"/>
  <c r="AE21" i="7" s="1"/>
  <c r="AH14" i="7"/>
  <c r="AI15" i="7"/>
  <c r="AL25" i="7"/>
  <c r="AH41" i="7"/>
  <c r="AI42" i="7"/>
  <c r="AG25" i="7"/>
  <c r="AL17" i="7"/>
  <c r="AH21" i="7"/>
  <c r="AI22" i="7"/>
  <c r="W52" i="6"/>
  <c r="Y53" i="6" s="1"/>
  <c r="Z53" i="6" s="1"/>
  <c r="AL52" i="6"/>
  <c r="AB52" i="6"/>
  <c r="AG52" i="6"/>
  <c r="W50" i="6"/>
  <c r="X50" i="6" s="1"/>
  <c r="AL50" i="6"/>
  <c r="AG50" i="6"/>
  <c r="AB50" i="6"/>
  <c r="W53" i="6"/>
  <c r="X53" i="6" s="1"/>
  <c r="AG53" i="6"/>
  <c r="AH53" i="6" s="1"/>
  <c r="AB53" i="6"/>
  <c r="AC53" i="6" s="1"/>
  <c r="AL53" i="6"/>
  <c r="AM53" i="6" s="1"/>
  <c r="W33" i="6"/>
  <c r="Y34" i="6" s="1"/>
  <c r="Z34" i="6" s="1"/>
  <c r="AG33" i="6"/>
  <c r="AB33" i="6"/>
  <c r="AL33" i="6"/>
  <c r="W51" i="6"/>
  <c r="Y52" i="6" s="1"/>
  <c r="Z52" i="6" s="1"/>
  <c r="AL51" i="6"/>
  <c r="AB51" i="6"/>
  <c r="AG51" i="6"/>
  <c r="AG15" i="4"/>
  <c r="AB15" i="4"/>
  <c r="W15" i="4"/>
  <c r="AL15" i="4"/>
  <c r="AG12" i="4"/>
  <c r="AL12" i="4"/>
  <c r="AB12" i="4"/>
  <c r="W12" i="4"/>
  <c r="AL9" i="4"/>
  <c r="AG9" i="4"/>
  <c r="AB9" i="4"/>
  <c r="W9" i="4"/>
  <c r="AB30" i="4"/>
  <c r="W30" i="4"/>
  <c r="AG30" i="4"/>
  <c r="AL30" i="4"/>
  <c r="AB74" i="4"/>
  <c r="AL74" i="4"/>
  <c r="W74" i="4"/>
  <c r="V73" i="4"/>
  <c r="AG74" i="4"/>
  <c r="AI72" i="4"/>
  <c r="AJ72" i="4" s="1"/>
  <c r="AH71" i="4"/>
  <c r="Y78" i="4"/>
  <c r="Z78" i="4" s="1"/>
  <c r="X77" i="4"/>
  <c r="AL14" i="4"/>
  <c r="AL76" i="4"/>
  <c r="AB76" i="4"/>
  <c r="AG76" i="4"/>
  <c r="W76" i="4"/>
  <c r="V75" i="4"/>
  <c r="AB66" i="4"/>
  <c r="AL66" i="4"/>
  <c r="AG66" i="4"/>
  <c r="W66" i="4"/>
  <c r="V65" i="4"/>
  <c r="W6" i="4"/>
  <c r="X61" i="4"/>
  <c r="AM77" i="4"/>
  <c r="AN78" i="4"/>
  <c r="AO78" i="4" s="1"/>
  <c r="Y81" i="4"/>
  <c r="Z81" i="4" s="1"/>
  <c r="X80" i="4"/>
  <c r="AB62" i="4"/>
  <c r="W62" i="4"/>
  <c r="AG62" i="4"/>
  <c r="AL62" i="4"/>
  <c r="V61" i="4"/>
  <c r="AB82" i="4"/>
  <c r="AL82" i="4"/>
  <c r="AG82" i="4"/>
  <c r="W82" i="4"/>
  <c r="V81" i="4"/>
  <c r="AD58" i="4"/>
  <c r="AE58" i="4" s="1"/>
  <c r="AC57" i="4"/>
  <c r="AB46" i="4"/>
  <c r="W46" i="4"/>
  <c r="AG46" i="4"/>
  <c r="AL46" i="4"/>
  <c r="AL68" i="4"/>
  <c r="AG68" i="4"/>
  <c r="V67" i="4"/>
  <c r="W68" i="4"/>
  <c r="AB68" i="4"/>
  <c r="AB58" i="4"/>
  <c r="AL58" i="4"/>
  <c r="W58" i="4"/>
  <c r="V57" i="4"/>
  <c r="AG58" i="4"/>
  <c r="AM61" i="4"/>
  <c r="AN62" i="4"/>
  <c r="AO62" i="4" s="1"/>
  <c r="AG63" i="4"/>
  <c r="AB63" i="4"/>
  <c r="AL63" i="4"/>
  <c r="V62" i="4"/>
  <c r="W63" i="4"/>
  <c r="AG65" i="4"/>
  <c r="V64" i="4"/>
  <c r="AB65" i="4"/>
  <c r="W65" i="4"/>
  <c r="AL65" i="4"/>
  <c r="AB56" i="4"/>
  <c r="AL56" i="4"/>
  <c r="W56" i="4"/>
  <c r="AG56" i="4"/>
  <c r="V55" i="4"/>
  <c r="AB55" i="4" s="1"/>
  <c r="AD56" i="4" s="1"/>
  <c r="AE56" i="4" s="1"/>
  <c r="AB5" i="4"/>
  <c r="AG5" i="4"/>
  <c r="AL5" i="4"/>
  <c r="W5" i="4"/>
  <c r="AL60" i="4"/>
  <c r="V59" i="4"/>
  <c r="AB60" i="4"/>
  <c r="AG60" i="4"/>
  <c r="W60" i="4"/>
  <c r="AG19" i="4"/>
  <c r="AL19" i="4"/>
  <c r="AB19" i="4"/>
  <c r="W19" i="4"/>
  <c r="AB54" i="4"/>
  <c r="W54" i="4"/>
  <c r="AL54" i="4"/>
  <c r="AG54" i="4"/>
  <c r="V53" i="4"/>
  <c r="AB53" i="4" s="1"/>
  <c r="AB78" i="4"/>
  <c r="AG78" i="4"/>
  <c r="W78" i="4"/>
  <c r="AL78" i="4"/>
  <c r="V77" i="4"/>
  <c r="AH59" i="4"/>
  <c r="AI60" i="4"/>
  <c r="AJ60" i="4" s="1"/>
  <c r="AG75" i="4"/>
  <c r="AB75" i="4"/>
  <c r="V74" i="4"/>
  <c r="AL75" i="4"/>
  <c r="W75" i="4"/>
  <c r="AG79" i="4"/>
  <c r="AB79" i="4"/>
  <c r="AL79" i="4"/>
  <c r="V78" i="4"/>
  <c r="W79" i="4"/>
  <c r="AG69" i="4"/>
  <c r="AL69" i="4"/>
  <c r="V68" i="4"/>
  <c r="AB69" i="4"/>
  <c r="W69" i="4"/>
  <c r="V8" i="4"/>
  <c r="V80" i="4"/>
  <c r="AL81" i="4"/>
  <c r="AB81" i="4"/>
  <c r="AG81" i="4"/>
  <c r="W81" i="4"/>
  <c r="AB70" i="4"/>
  <c r="W70" i="4"/>
  <c r="AL70" i="4"/>
  <c r="AG70" i="4"/>
  <c r="V69" i="4"/>
  <c r="X73" i="4"/>
  <c r="Y74" i="4"/>
  <c r="Z74" i="4" s="1"/>
  <c r="AB18" i="8"/>
  <c r="W4" i="8"/>
  <c r="Y5" i="8" s="1"/>
  <c r="Z5" i="8" s="1"/>
  <c r="W5" i="8"/>
  <c r="X5" i="8" s="1"/>
  <c r="AG5" i="8"/>
  <c r="AG12" i="8"/>
  <c r="AL18" i="8"/>
  <c r="AB4" i="8"/>
  <c r="AG6" i="8"/>
  <c r="AL4" i="8"/>
  <c r="AL5" i="8"/>
  <c r="V46" i="8"/>
  <c r="W46" i="8" s="1"/>
  <c r="AL47" i="8"/>
  <c r="AG61" i="8"/>
  <c r="V60" i="8"/>
  <c r="AL61" i="8"/>
  <c r="AB61" i="8"/>
  <c r="W61" i="8"/>
  <c r="AG20" i="8"/>
  <c r="AL20" i="8"/>
  <c r="W20" i="8"/>
  <c r="AB20" i="8"/>
  <c r="V19" i="8"/>
  <c r="V26" i="8"/>
  <c r="W26" i="8" s="1"/>
  <c r="X26" i="8" s="1"/>
  <c r="AL58" i="8"/>
  <c r="AB58" i="8"/>
  <c r="W58" i="8"/>
  <c r="AG58" i="8"/>
  <c r="V57" i="8"/>
  <c r="V50" i="8"/>
  <c r="W51" i="8"/>
  <c r="V30" i="8"/>
  <c r="AL30" i="8" s="1"/>
  <c r="AG31" i="8"/>
  <c r="AB31" i="8"/>
  <c r="AL31" i="8"/>
  <c r="W31" i="8"/>
  <c r="V27" i="8"/>
  <c r="AB27" i="8" s="1"/>
  <c r="V38" i="8"/>
  <c r="AB38" i="8" s="1"/>
  <c r="AC38" i="8" s="1"/>
  <c r="AG52" i="8"/>
  <c r="W52" i="8"/>
  <c r="AB52" i="8"/>
  <c r="AL52" i="8"/>
  <c r="V51" i="8"/>
  <c r="AG51" i="8" s="1"/>
  <c r="W6" i="8"/>
  <c r="AG60" i="8"/>
  <c r="W60" i="8"/>
  <c r="AB60" i="8"/>
  <c r="AL60" i="8"/>
  <c r="V59" i="8"/>
  <c r="V28" i="8"/>
  <c r="W28" i="8" s="1"/>
  <c r="V42" i="8"/>
  <c r="V39" i="8"/>
  <c r="AG39" i="8" s="1"/>
  <c r="AG18" i="8"/>
  <c r="AB6" i="8"/>
  <c r="W12" i="8"/>
  <c r="AB63" i="8"/>
  <c r="AC63" i="8" s="1"/>
  <c r="V62" i="8"/>
  <c r="AG63" i="8"/>
  <c r="AH63" i="8" s="1"/>
  <c r="AL63" i="8"/>
  <c r="AM63" i="8" s="1"/>
  <c r="W63" i="8"/>
  <c r="AL54" i="8"/>
  <c r="AB54" i="8"/>
  <c r="AG54" i="8"/>
  <c r="V53" i="8"/>
  <c r="W54" i="8"/>
  <c r="AL10" i="8"/>
  <c r="AB10" i="8"/>
  <c r="V9" i="8"/>
  <c r="AL9" i="8" s="1"/>
  <c r="W10" i="8"/>
  <c r="AG10" i="8"/>
  <c r="AL50" i="8"/>
  <c r="AB50" i="8"/>
  <c r="AG50" i="8"/>
  <c r="V49" i="8"/>
  <c r="W50" i="8"/>
  <c r="AG55" i="8"/>
  <c r="V54" i="8"/>
  <c r="AL55" i="8"/>
  <c r="W55" i="8"/>
  <c r="AB55" i="8"/>
  <c r="V29" i="8"/>
  <c r="AB29" i="8" s="1"/>
  <c r="V43" i="8"/>
  <c r="AB43" i="8" s="1"/>
  <c r="V40" i="8"/>
  <c r="AL40" i="8" s="1"/>
  <c r="AL12" i="8"/>
  <c r="V7" i="8"/>
  <c r="V45" i="8"/>
  <c r="AG45" i="8" s="1"/>
  <c r="AG53" i="8"/>
  <c r="AB53" i="8"/>
  <c r="W53" i="8"/>
  <c r="AL53" i="8"/>
  <c r="V52" i="8"/>
  <c r="AL3" i="8"/>
  <c r="AN4" i="8" s="1"/>
  <c r="W3" i="8"/>
  <c r="AB3" i="8"/>
  <c r="AD4" i="8" s="1"/>
  <c r="V8" i="8"/>
  <c r="AL8" i="8" s="1"/>
  <c r="W57" i="8"/>
  <c r="V56" i="8"/>
  <c r="AG57" i="8"/>
  <c r="AL57" i="8"/>
  <c r="AB57" i="8"/>
  <c r="AL16" i="8"/>
  <c r="AB16" i="8"/>
  <c r="V15" i="8"/>
  <c r="AG16" i="8"/>
  <c r="W16" i="8"/>
  <c r="W17" i="8"/>
  <c r="AL17" i="8"/>
  <c r="AG17" i="8"/>
  <c r="AG56" i="8"/>
  <c r="W56" i="8"/>
  <c r="V55" i="8"/>
  <c r="AB56" i="8"/>
  <c r="AL56" i="8"/>
  <c r="V44" i="8"/>
  <c r="AG44" i="8" s="1"/>
  <c r="AG42" i="8"/>
  <c r="AL42" i="8"/>
  <c r="AB42" i="8"/>
  <c r="V41" i="8"/>
  <c r="AG41" i="8" s="1"/>
  <c r="W42" i="8"/>
  <c r="AB49" i="8"/>
  <c r="W49" i="8"/>
  <c r="AL49" i="8"/>
  <c r="V48" i="8"/>
  <c r="AB48" i="8" s="1"/>
  <c r="AG49" i="8"/>
  <c r="Y19" i="8"/>
  <c r="Z19" i="8" s="1"/>
  <c r="X18" i="8"/>
  <c r="V13" i="8"/>
  <c r="AL21" i="7"/>
  <c r="AG5" i="7"/>
  <c r="AB31" i="7"/>
  <c r="W31" i="7"/>
  <c r="AB29" i="7"/>
  <c r="W29" i="7"/>
  <c r="AB30" i="7"/>
  <c r="W30" i="7"/>
  <c r="W41" i="7"/>
  <c r="AB41" i="7"/>
  <c r="W33" i="7"/>
  <c r="AB33" i="7"/>
  <c r="AB35" i="7"/>
  <c r="W35" i="7"/>
  <c r="W34" i="7"/>
  <c r="AB34" i="7"/>
  <c r="V3" i="7"/>
  <c r="AL3" i="7" s="1"/>
  <c r="W4" i="7"/>
  <c r="AB4" i="7"/>
  <c r="W36" i="7"/>
  <c r="AB36" i="7"/>
  <c r="AB38" i="7"/>
  <c r="W38" i="7"/>
  <c r="AG23" i="7"/>
  <c r="AB23" i="7"/>
  <c r="W23" i="7"/>
  <c r="AB37" i="7"/>
  <c r="W37" i="7"/>
  <c r="W42" i="7"/>
  <c r="AB42" i="7"/>
  <c r="AB13" i="7"/>
  <c r="W13" i="7"/>
  <c r="W32" i="7"/>
  <c r="AB32" i="7"/>
  <c r="V20" i="7"/>
  <c r="AB21" i="7"/>
  <c r="W21" i="7"/>
  <c r="W16" i="7"/>
  <c r="AB16" i="7"/>
  <c r="W18" i="7"/>
  <c r="AB18" i="7"/>
  <c r="V7" i="7"/>
  <c r="W7" i="7" s="1"/>
  <c r="AL14" i="7"/>
  <c r="AB14" i="7"/>
  <c r="W14" i="7"/>
  <c r="W27" i="7"/>
  <c r="AB27" i="7"/>
  <c r="AB22" i="7"/>
  <c r="W22" i="7"/>
  <c r="AB40" i="7"/>
  <c r="W40" i="7"/>
  <c r="AL41" i="7"/>
  <c r="V13" i="7"/>
  <c r="AB24" i="7"/>
  <c r="W24" i="7"/>
  <c r="W25" i="7"/>
  <c r="AB25" i="7"/>
  <c r="W43" i="7"/>
  <c r="X43" i="7" s="1"/>
  <c r="AB43" i="7"/>
  <c r="AC43" i="7" s="1"/>
  <c r="AB15" i="7"/>
  <c r="W15" i="7"/>
  <c r="AB39" i="7"/>
  <c r="W39" i="7"/>
  <c r="W28" i="7"/>
  <c r="AB28" i="7"/>
  <c r="AB26" i="7"/>
  <c r="W26" i="7"/>
  <c r="V40" i="7"/>
  <c r="W17" i="7"/>
  <c r="AB17" i="7"/>
  <c r="AB5" i="7"/>
  <c r="AL4" i="7"/>
  <c r="AG4" i="7"/>
  <c r="AL5" i="7"/>
  <c r="V38" i="4"/>
  <c r="W38" i="4" s="1"/>
  <c r="V42" i="4"/>
  <c r="V18" i="4"/>
  <c r="V51" i="4"/>
  <c r="AB51" i="4" s="1"/>
  <c r="AD52" i="4" s="1"/>
  <c r="AE52" i="4" s="1"/>
  <c r="V11" i="4"/>
  <c r="V34" i="4"/>
  <c r="AB34" i="4" s="1"/>
  <c r="V47" i="4"/>
  <c r="V3" i="4"/>
  <c r="V29" i="4"/>
  <c r="W29" i="4" s="1"/>
  <c r="V7" i="4"/>
  <c r="W7" i="4" s="1"/>
  <c r="V33" i="4"/>
  <c r="W33" i="4" s="1"/>
  <c r="V32" i="4"/>
  <c r="W32" i="4" s="1"/>
  <c r="V10" i="4"/>
  <c r="W10" i="4" s="1"/>
  <c r="V37" i="4"/>
  <c r="AG37" i="4" s="1"/>
  <c r="AH37" i="4" s="1"/>
  <c r="V36" i="4"/>
  <c r="AB36" i="4" s="1"/>
  <c r="V13" i="4"/>
  <c r="V41" i="4"/>
  <c r="AL41" i="4" s="1"/>
  <c r="AN42" i="4" s="1"/>
  <c r="AO42" i="4" s="1"/>
  <c r="V40" i="4"/>
  <c r="AG40" i="4" s="1"/>
  <c r="V16" i="4"/>
  <c r="AL16" i="4" s="1"/>
  <c r="V45" i="4"/>
  <c r="W45" i="4" s="1"/>
  <c r="Y46" i="4" s="1"/>
  <c r="Z46" i="4" s="1"/>
  <c r="V44" i="4"/>
  <c r="AG44" i="4" s="1"/>
  <c r="V50" i="4"/>
  <c r="V17" i="4"/>
  <c r="AB17" i="4" s="1"/>
  <c r="V49" i="4"/>
  <c r="AL49" i="4" s="1"/>
  <c r="V48" i="4"/>
  <c r="W48" i="4" s="1"/>
  <c r="Y49" i="4" s="1"/>
  <c r="Z49" i="4" s="1"/>
  <c r="V21" i="4"/>
  <c r="W21" i="4" s="1"/>
  <c r="V20" i="4"/>
  <c r="W20" i="4" s="1"/>
  <c r="X20" i="4" s="1"/>
  <c r="V52" i="4"/>
  <c r="AB52" i="4" s="1"/>
  <c r="V31" i="4"/>
  <c r="AB31" i="4" s="1"/>
  <c r="AD32" i="4" s="1"/>
  <c r="AE32" i="4" s="1"/>
  <c r="V25" i="4"/>
  <c r="AB25" i="4" s="1"/>
  <c r="V24" i="4"/>
  <c r="AL35" i="7"/>
  <c r="AG35" i="7"/>
  <c r="V34" i="7"/>
  <c r="V6" i="7"/>
  <c r="V35" i="7"/>
  <c r="AG36" i="7"/>
  <c r="AL36" i="7"/>
  <c r="V8" i="7"/>
  <c r="AB8" i="7" s="1"/>
  <c r="AL43" i="7"/>
  <c r="AM43" i="7" s="1"/>
  <c r="AG43" i="7"/>
  <c r="AH43" i="7" s="1"/>
  <c r="V42" i="7"/>
  <c r="V9" i="7"/>
  <c r="AG9" i="7" s="1"/>
  <c r="V41" i="7"/>
  <c r="AL42" i="7"/>
  <c r="AG42" i="7"/>
  <c r="AL13" i="7"/>
  <c r="V12" i="7"/>
  <c r="AG13" i="7"/>
  <c r="AG32" i="7"/>
  <c r="V31" i="7"/>
  <c r="AL32" i="7"/>
  <c r="AG15" i="7"/>
  <c r="AL15" i="7"/>
  <c r="V14" i="7"/>
  <c r="AL16" i="7"/>
  <c r="V15" i="7"/>
  <c r="AG16" i="7"/>
  <c r="AL18" i="7"/>
  <c r="V17" i="7"/>
  <c r="AG18" i="7"/>
  <c r="AL39" i="7"/>
  <c r="AG39" i="7"/>
  <c r="V38" i="7"/>
  <c r="AL27" i="7"/>
  <c r="V26" i="7"/>
  <c r="AG27" i="7"/>
  <c r="AL22" i="7"/>
  <c r="V21" i="7"/>
  <c r="AG22" i="7"/>
  <c r="AG28" i="7"/>
  <c r="AL28" i="7"/>
  <c r="V27" i="7"/>
  <c r="AL26" i="7"/>
  <c r="V25" i="7"/>
  <c r="AG26" i="7"/>
  <c r="AL31" i="7"/>
  <c r="AG31" i="7"/>
  <c r="V30" i="7"/>
  <c r="AG29" i="7"/>
  <c r="AL29" i="7"/>
  <c r="V28" i="7"/>
  <c r="AG30" i="7"/>
  <c r="AL30" i="7"/>
  <c r="V29" i="7"/>
  <c r="V33" i="7"/>
  <c r="AG34" i="7"/>
  <c r="AL34" i="7"/>
  <c r="AG37" i="7"/>
  <c r="V36" i="7"/>
  <c r="AL37" i="7"/>
  <c r="AG33" i="7"/>
  <c r="V32" i="7"/>
  <c r="AL33" i="7"/>
  <c r="AG40" i="7"/>
  <c r="V39" i="7"/>
  <c r="AL40" i="7"/>
  <c r="AG38" i="7"/>
  <c r="V37" i="7"/>
  <c r="AL38" i="7"/>
  <c r="V34" i="6"/>
  <c r="V17" i="6"/>
  <c r="W17" i="6" s="1"/>
  <c r="V44" i="6"/>
  <c r="W44" i="6" s="1"/>
  <c r="V5" i="6"/>
  <c r="W5" i="6" s="1"/>
  <c r="V16" i="6"/>
  <c r="W16" i="6" s="1"/>
  <c r="V43" i="6"/>
  <c r="W43" i="6" s="1"/>
  <c r="V3" i="6"/>
  <c r="AB3" i="6" s="1"/>
  <c r="V24" i="6"/>
  <c r="W24" i="6" s="1"/>
  <c r="V15" i="6"/>
  <c r="W15" i="6" s="1"/>
  <c r="V45" i="6"/>
  <c r="AB45" i="6" s="1"/>
  <c r="V36" i="6"/>
  <c r="AB36" i="6" s="1"/>
  <c r="V27" i="6"/>
  <c r="AG27" i="6" s="1"/>
  <c r="V18" i="6"/>
  <c r="W18" i="6" s="1"/>
  <c r="V7" i="6"/>
  <c r="W7" i="6" s="1"/>
  <c r="V28" i="6"/>
  <c r="W28" i="6" s="1"/>
  <c r="V8" i="6"/>
  <c r="AL8" i="6" s="1"/>
  <c r="V19" i="6"/>
  <c r="W19" i="6" s="1"/>
  <c r="V47" i="6"/>
  <c r="V51" i="6"/>
  <c r="V52" i="6"/>
  <c r="V35" i="6"/>
  <c r="W35" i="6" s="1"/>
  <c r="V32" i="6"/>
  <c r="AG32" i="6" s="1"/>
  <c r="V12" i="6"/>
  <c r="W12" i="6" s="1"/>
  <c r="V23" i="6"/>
  <c r="W23" i="6" s="1"/>
  <c r="V48" i="6"/>
  <c r="AB48" i="6" s="1"/>
  <c r="V14" i="6"/>
  <c r="W14" i="6" s="1"/>
  <c r="V13" i="6"/>
  <c r="W13" i="6" s="1"/>
  <c r="V39" i="6"/>
  <c r="W39" i="6" s="1"/>
  <c r="V22" i="6"/>
  <c r="W22" i="6" s="1"/>
  <c r="V9" i="6"/>
  <c r="AG9" i="6" s="1"/>
  <c r="V10" i="6"/>
  <c r="W10" i="6" s="1"/>
  <c r="V4" i="6"/>
  <c r="W4" i="6" s="1"/>
  <c r="V29" i="6"/>
  <c r="W29" i="6" s="1"/>
  <c r="V30" i="6"/>
  <c r="W30" i="6" s="1"/>
  <c r="V25" i="6"/>
  <c r="W25" i="6" s="1"/>
  <c r="V26" i="6"/>
  <c r="AB26" i="6" s="1"/>
  <c r="V49" i="6"/>
  <c r="V20" i="6"/>
  <c r="W20" i="6" s="1"/>
  <c r="V38" i="6"/>
  <c r="W38" i="6" s="1"/>
  <c r="V37" i="6"/>
  <c r="W37" i="6" s="1"/>
  <c r="V42" i="6"/>
  <c r="AL42" i="6" s="1"/>
  <c r="V40" i="6"/>
  <c r="AG40" i="6" s="1"/>
  <c r="V11" i="6"/>
  <c r="W11" i="6" s="1"/>
  <c r="V46" i="6"/>
  <c r="W46" i="6" s="1"/>
  <c r="V50" i="6"/>
  <c r="V31" i="6"/>
  <c r="AB31" i="6" s="1"/>
  <c r="V6" i="6"/>
  <c r="W6" i="6" s="1"/>
  <c r="V41" i="6"/>
  <c r="W41" i="6" s="1"/>
  <c r="V21" i="6"/>
  <c r="W21" i="6" s="1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J6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P43" i="8"/>
  <c r="M43" i="8"/>
  <c r="I43" i="8"/>
  <c r="J43" i="8" s="1"/>
  <c r="F43" i="8"/>
  <c r="P42" i="8"/>
  <c r="M42" i="8"/>
  <c r="I42" i="8"/>
  <c r="J42" i="8" s="1"/>
  <c r="F42" i="8"/>
  <c r="P41" i="8"/>
  <c r="M41" i="8"/>
  <c r="I41" i="8"/>
  <c r="J41" i="8" s="1"/>
  <c r="F41" i="8"/>
  <c r="P40" i="8"/>
  <c r="M40" i="8"/>
  <c r="I40" i="8"/>
  <c r="J40" i="8" s="1"/>
  <c r="F40" i="8"/>
  <c r="P39" i="8"/>
  <c r="M39" i="8"/>
  <c r="I39" i="8"/>
  <c r="J39" i="8" s="1"/>
  <c r="F39" i="8"/>
  <c r="P38" i="8"/>
  <c r="M38" i="8"/>
  <c r="I38" i="8"/>
  <c r="J38" i="8" s="1"/>
  <c r="F38" i="8"/>
  <c r="P37" i="8"/>
  <c r="M37" i="8"/>
  <c r="I37" i="8"/>
  <c r="J37" i="8" s="1"/>
  <c r="F37" i="8"/>
  <c r="P36" i="8"/>
  <c r="M36" i="8"/>
  <c r="I36" i="8"/>
  <c r="J36" i="8" s="1"/>
  <c r="F36" i="8"/>
  <c r="P35" i="8"/>
  <c r="M35" i="8"/>
  <c r="I35" i="8"/>
  <c r="J35" i="8" s="1"/>
  <c r="F35" i="8"/>
  <c r="P34" i="8"/>
  <c r="M34" i="8"/>
  <c r="I34" i="8"/>
  <c r="J34" i="8" s="1"/>
  <c r="F34" i="8"/>
  <c r="P33" i="8"/>
  <c r="M33" i="8"/>
  <c r="I33" i="8"/>
  <c r="J33" i="8" s="1"/>
  <c r="F33" i="8"/>
  <c r="P32" i="8"/>
  <c r="M32" i="8"/>
  <c r="I32" i="8"/>
  <c r="J32" i="8" s="1"/>
  <c r="F32" i="8"/>
  <c r="P31" i="8"/>
  <c r="M31" i="8"/>
  <c r="I31" i="8"/>
  <c r="J31" i="8" s="1"/>
  <c r="F31" i="8"/>
  <c r="P30" i="8"/>
  <c r="M30" i="8"/>
  <c r="I30" i="8"/>
  <c r="J30" i="8" s="1"/>
  <c r="F30" i="8"/>
  <c r="P29" i="8"/>
  <c r="M29" i="8"/>
  <c r="I29" i="8"/>
  <c r="J29" i="8" s="1"/>
  <c r="F29" i="8"/>
  <c r="P28" i="8"/>
  <c r="M28" i="8"/>
  <c r="I28" i="8"/>
  <c r="J28" i="8" s="1"/>
  <c r="F28" i="8"/>
  <c r="P27" i="8"/>
  <c r="M27" i="8"/>
  <c r="I27" i="8"/>
  <c r="J27" i="8" s="1"/>
  <c r="F27" i="8"/>
  <c r="P26" i="8"/>
  <c r="M26" i="8"/>
  <c r="I26" i="8"/>
  <c r="J26" i="8" s="1"/>
  <c r="F26" i="8"/>
  <c r="P25" i="8"/>
  <c r="M25" i="8"/>
  <c r="I25" i="8"/>
  <c r="J25" i="8" s="1"/>
  <c r="F25" i="8"/>
  <c r="P24" i="8"/>
  <c r="M24" i="8"/>
  <c r="I24" i="8"/>
  <c r="J24" i="8" s="1"/>
  <c r="F24" i="8"/>
  <c r="P23" i="8"/>
  <c r="M23" i="8"/>
  <c r="I23" i="8"/>
  <c r="J23" i="8" s="1"/>
  <c r="F23" i="8"/>
  <c r="P22" i="8"/>
  <c r="M22" i="8"/>
  <c r="I22" i="8"/>
  <c r="J22" i="8" s="1"/>
  <c r="F22" i="8"/>
  <c r="P21" i="8"/>
  <c r="M21" i="8"/>
  <c r="I21" i="8"/>
  <c r="J21" i="8" s="1"/>
  <c r="F21" i="8"/>
  <c r="P20" i="8"/>
  <c r="M20" i="8"/>
  <c r="I20" i="8"/>
  <c r="J20" i="8" s="1"/>
  <c r="F20" i="8"/>
  <c r="P19" i="8"/>
  <c r="M19" i="8"/>
  <c r="I19" i="8"/>
  <c r="J19" i="8" s="1"/>
  <c r="F19" i="8"/>
  <c r="P18" i="8"/>
  <c r="M18" i="8"/>
  <c r="I18" i="8"/>
  <c r="J18" i="8" s="1"/>
  <c r="F18" i="8"/>
  <c r="P17" i="8"/>
  <c r="M17" i="8"/>
  <c r="I17" i="8"/>
  <c r="J17" i="8" s="1"/>
  <c r="F17" i="8"/>
  <c r="P16" i="8"/>
  <c r="M16" i="8"/>
  <c r="I16" i="8"/>
  <c r="J16" i="8" s="1"/>
  <c r="F16" i="8"/>
  <c r="P15" i="8"/>
  <c r="M15" i="8"/>
  <c r="I15" i="8"/>
  <c r="J15" i="8" s="1"/>
  <c r="F15" i="8"/>
  <c r="P14" i="8"/>
  <c r="AL14" i="8" s="1"/>
  <c r="M14" i="8"/>
  <c r="AG14" i="8" s="1"/>
  <c r="I14" i="8"/>
  <c r="J14" i="8" s="1"/>
  <c r="F14" i="8"/>
  <c r="W14" i="8" s="1"/>
  <c r="P13" i="8"/>
  <c r="M13" i="8"/>
  <c r="I13" i="8"/>
  <c r="J13" i="8" s="1"/>
  <c r="F13" i="8"/>
  <c r="P12" i="8"/>
  <c r="M12" i="8"/>
  <c r="I12" i="8"/>
  <c r="J12" i="8" s="1"/>
  <c r="F12" i="8"/>
  <c r="P11" i="8"/>
  <c r="M11" i="8"/>
  <c r="I11" i="8"/>
  <c r="J11" i="8" s="1"/>
  <c r="F11" i="8"/>
  <c r="P10" i="8"/>
  <c r="M10" i="8"/>
  <c r="I10" i="8"/>
  <c r="J10" i="8" s="1"/>
  <c r="F10" i="8"/>
  <c r="P9" i="8"/>
  <c r="M9" i="8"/>
  <c r="I9" i="8"/>
  <c r="J9" i="8" s="1"/>
  <c r="F9" i="8"/>
  <c r="P8" i="8"/>
  <c r="M8" i="8"/>
  <c r="I8" i="8"/>
  <c r="J8" i="8" s="1"/>
  <c r="F8" i="8"/>
  <c r="P7" i="8"/>
  <c r="M7" i="8"/>
  <c r="I7" i="8"/>
  <c r="J7" i="8" s="1"/>
  <c r="F7" i="8"/>
  <c r="P6" i="8"/>
  <c r="M6" i="8"/>
  <c r="I6" i="8"/>
  <c r="J6" i="8" s="1"/>
  <c r="F6" i="8"/>
  <c r="P5" i="8"/>
  <c r="M5" i="8"/>
  <c r="I5" i="8"/>
  <c r="J5" i="8" s="1"/>
  <c r="F5" i="8"/>
  <c r="P4" i="8"/>
  <c r="M4" i="8"/>
  <c r="I4" i="8"/>
  <c r="J4" i="8" s="1"/>
  <c r="F4" i="8"/>
  <c r="P3" i="8"/>
  <c r="M3" i="8"/>
  <c r="I3" i="8"/>
  <c r="J3" i="8" s="1"/>
  <c r="F3" i="8"/>
  <c r="F3" i="7"/>
  <c r="F4" i="7"/>
  <c r="F5" i="7"/>
  <c r="F6" i="7"/>
  <c r="F7" i="7"/>
  <c r="F8" i="7"/>
  <c r="F9" i="7"/>
  <c r="F10" i="7"/>
  <c r="W10" i="7" s="1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P43" i="7"/>
  <c r="M43" i="7"/>
  <c r="I43" i="7"/>
  <c r="J43" i="7" s="1"/>
  <c r="P42" i="7"/>
  <c r="M42" i="7"/>
  <c r="I42" i="7"/>
  <c r="J42" i="7" s="1"/>
  <c r="P41" i="7"/>
  <c r="M41" i="7"/>
  <c r="I41" i="7"/>
  <c r="J41" i="7" s="1"/>
  <c r="P40" i="7"/>
  <c r="M40" i="7"/>
  <c r="I40" i="7"/>
  <c r="J40" i="7" s="1"/>
  <c r="P39" i="7"/>
  <c r="M39" i="7"/>
  <c r="I39" i="7"/>
  <c r="J39" i="7" s="1"/>
  <c r="P38" i="7"/>
  <c r="M38" i="7"/>
  <c r="I38" i="7"/>
  <c r="J38" i="7" s="1"/>
  <c r="P37" i="7"/>
  <c r="M37" i="7"/>
  <c r="I37" i="7"/>
  <c r="J37" i="7" s="1"/>
  <c r="P36" i="7"/>
  <c r="M36" i="7"/>
  <c r="I36" i="7"/>
  <c r="J36" i="7" s="1"/>
  <c r="P35" i="7"/>
  <c r="M35" i="7"/>
  <c r="I35" i="7"/>
  <c r="J35" i="7" s="1"/>
  <c r="P34" i="7"/>
  <c r="M34" i="7"/>
  <c r="I34" i="7"/>
  <c r="J34" i="7" s="1"/>
  <c r="P33" i="7"/>
  <c r="M33" i="7"/>
  <c r="I33" i="7"/>
  <c r="J33" i="7" s="1"/>
  <c r="P32" i="7"/>
  <c r="M32" i="7"/>
  <c r="I32" i="7"/>
  <c r="J32" i="7" s="1"/>
  <c r="P31" i="7"/>
  <c r="M31" i="7"/>
  <c r="I31" i="7"/>
  <c r="J31" i="7" s="1"/>
  <c r="P30" i="7"/>
  <c r="M30" i="7"/>
  <c r="I30" i="7"/>
  <c r="J30" i="7" s="1"/>
  <c r="P29" i="7"/>
  <c r="M29" i="7"/>
  <c r="I29" i="7"/>
  <c r="J29" i="7" s="1"/>
  <c r="P28" i="7"/>
  <c r="M28" i="7"/>
  <c r="I28" i="7"/>
  <c r="J28" i="7" s="1"/>
  <c r="P27" i="7"/>
  <c r="M27" i="7"/>
  <c r="I27" i="7"/>
  <c r="J27" i="7" s="1"/>
  <c r="P26" i="7"/>
  <c r="M26" i="7"/>
  <c r="I26" i="7"/>
  <c r="J26" i="7" s="1"/>
  <c r="P25" i="7"/>
  <c r="M25" i="7"/>
  <c r="I25" i="7"/>
  <c r="J25" i="7" s="1"/>
  <c r="P24" i="7"/>
  <c r="M24" i="7"/>
  <c r="I24" i="7"/>
  <c r="J24" i="7" s="1"/>
  <c r="P23" i="7"/>
  <c r="M23" i="7"/>
  <c r="I23" i="7"/>
  <c r="J23" i="7" s="1"/>
  <c r="P22" i="7"/>
  <c r="M22" i="7"/>
  <c r="I22" i="7"/>
  <c r="J22" i="7" s="1"/>
  <c r="P21" i="7"/>
  <c r="M21" i="7"/>
  <c r="I21" i="7"/>
  <c r="J21" i="7" s="1"/>
  <c r="P20" i="7"/>
  <c r="M20" i="7"/>
  <c r="I20" i="7"/>
  <c r="J20" i="7" s="1"/>
  <c r="P19" i="7"/>
  <c r="M19" i="7"/>
  <c r="I19" i="7"/>
  <c r="J19" i="7" s="1"/>
  <c r="P18" i="7"/>
  <c r="M18" i="7"/>
  <c r="I18" i="7"/>
  <c r="J18" i="7" s="1"/>
  <c r="P17" i="7"/>
  <c r="M17" i="7"/>
  <c r="I17" i="7"/>
  <c r="J17" i="7" s="1"/>
  <c r="P16" i="7"/>
  <c r="M16" i="7"/>
  <c r="I16" i="7"/>
  <c r="J16" i="7" s="1"/>
  <c r="P15" i="7"/>
  <c r="M15" i="7"/>
  <c r="I15" i="7"/>
  <c r="J15" i="7" s="1"/>
  <c r="P14" i="7"/>
  <c r="M14" i="7"/>
  <c r="I14" i="7"/>
  <c r="J14" i="7" s="1"/>
  <c r="P13" i="7"/>
  <c r="M13" i="7"/>
  <c r="I13" i="7"/>
  <c r="J13" i="7" s="1"/>
  <c r="P12" i="7"/>
  <c r="M12" i="7"/>
  <c r="I12" i="7"/>
  <c r="J12" i="7" s="1"/>
  <c r="P11" i="7"/>
  <c r="M11" i="7"/>
  <c r="I11" i="7"/>
  <c r="J11" i="7" s="1"/>
  <c r="P10" i="7"/>
  <c r="AL10" i="7" s="1"/>
  <c r="M10" i="7"/>
  <c r="AG10" i="7" s="1"/>
  <c r="I10" i="7"/>
  <c r="J10" i="7" s="1"/>
  <c r="P9" i="7"/>
  <c r="M9" i="7"/>
  <c r="I9" i="7"/>
  <c r="J9" i="7" s="1"/>
  <c r="P8" i="7"/>
  <c r="M8" i="7"/>
  <c r="I8" i="7"/>
  <c r="J8" i="7" s="1"/>
  <c r="P7" i="7"/>
  <c r="M7" i="7"/>
  <c r="I7" i="7"/>
  <c r="J7" i="7" s="1"/>
  <c r="P6" i="7"/>
  <c r="M6" i="7"/>
  <c r="I6" i="7"/>
  <c r="J6" i="7" s="1"/>
  <c r="P5" i="7"/>
  <c r="M5" i="7"/>
  <c r="I5" i="7"/>
  <c r="J5" i="7" s="1"/>
  <c r="P4" i="7"/>
  <c r="M4" i="7"/>
  <c r="I4" i="7"/>
  <c r="J4" i="7" s="1"/>
  <c r="P3" i="7"/>
  <c r="M3" i="7"/>
  <c r="I3" i="7"/>
  <c r="J3" i="7" s="1"/>
  <c r="I4" i="6"/>
  <c r="J4" i="6" s="1"/>
  <c r="I5" i="6"/>
  <c r="J5" i="6" s="1"/>
  <c r="I6" i="6"/>
  <c r="J6" i="6" s="1"/>
  <c r="I7" i="6"/>
  <c r="J7" i="6" s="1"/>
  <c r="I8" i="6"/>
  <c r="J8" i="6" s="1"/>
  <c r="I9" i="6"/>
  <c r="J9" i="6" s="1"/>
  <c r="I10" i="6"/>
  <c r="J10" i="6" s="1"/>
  <c r="I11" i="6"/>
  <c r="J11" i="6" s="1"/>
  <c r="I12" i="6"/>
  <c r="J12" i="6" s="1"/>
  <c r="I13" i="6"/>
  <c r="J13" i="6" s="1"/>
  <c r="I14" i="6"/>
  <c r="J14" i="6" s="1"/>
  <c r="I15" i="6"/>
  <c r="J15" i="6" s="1"/>
  <c r="I16" i="6"/>
  <c r="J16" i="6" s="1"/>
  <c r="I17" i="6"/>
  <c r="J17" i="6" s="1"/>
  <c r="I18" i="6"/>
  <c r="J18" i="6" s="1"/>
  <c r="I19" i="6"/>
  <c r="J19" i="6" s="1"/>
  <c r="I20" i="6"/>
  <c r="J20" i="6" s="1"/>
  <c r="I21" i="6"/>
  <c r="J21" i="6" s="1"/>
  <c r="I22" i="6"/>
  <c r="J22" i="6" s="1"/>
  <c r="I23" i="6"/>
  <c r="J23" i="6" s="1"/>
  <c r="I24" i="6"/>
  <c r="J24" i="6" s="1"/>
  <c r="I25" i="6"/>
  <c r="J25" i="6" s="1"/>
  <c r="I26" i="6"/>
  <c r="J26" i="6" s="1"/>
  <c r="I27" i="6"/>
  <c r="J27" i="6" s="1"/>
  <c r="I28" i="6"/>
  <c r="J28" i="6" s="1"/>
  <c r="I29" i="6"/>
  <c r="J29" i="6" s="1"/>
  <c r="I30" i="6"/>
  <c r="J30" i="6" s="1"/>
  <c r="I31" i="6"/>
  <c r="J31" i="6" s="1"/>
  <c r="I32" i="6"/>
  <c r="J32" i="6" s="1"/>
  <c r="I33" i="6"/>
  <c r="J33" i="6" s="1"/>
  <c r="I34" i="6"/>
  <c r="J34" i="6" s="1"/>
  <c r="I35" i="6"/>
  <c r="J35" i="6" s="1"/>
  <c r="I36" i="6"/>
  <c r="J36" i="6" s="1"/>
  <c r="I37" i="6"/>
  <c r="J37" i="6" s="1"/>
  <c r="I38" i="6"/>
  <c r="J38" i="6" s="1"/>
  <c r="I39" i="6"/>
  <c r="J39" i="6" s="1"/>
  <c r="I40" i="6"/>
  <c r="J40" i="6" s="1"/>
  <c r="I41" i="6"/>
  <c r="J41" i="6" s="1"/>
  <c r="I42" i="6"/>
  <c r="J42" i="6" s="1"/>
  <c r="I43" i="6"/>
  <c r="J43" i="6" s="1"/>
  <c r="I44" i="6"/>
  <c r="J44" i="6" s="1"/>
  <c r="I45" i="6"/>
  <c r="J45" i="6" s="1"/>
  <c r="I46" i="6"/>
  <c r="J46" i="6" s="1"/>
  <c r="I47" i="6"/>
  <c r="J47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3" i="6"/>
  <c r="J3" i="6" s="1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3" i="6"/>
  <c r="P4" i="4"/>
  <c r="P5" i="4"/>
  <c r="P6" i="4"/>
  <c r="P7" i="4"/>
  <c r="P8" i="4"/>
  <c r="P9" i="4"/>
  <c r="P10" i="4"/>
  <c r="P11" i="4"/>
  <c r="P12" i="4"/>
  <c r="P13" i="4"/>
  <c r="C2" i="3" s="1"/>
  <c r="P14" i="4"/>
  <c r="P15" i="4"/>
  <c r="P16" i="4"/>
  <c r="P17" i="4"/>
  <c r="P18" i="4"/>
  <c r="G2" i="3" s="1"/>
  <c r="H14" i="3" s="1"/>
  <c r="P19" i="4"/>
  <c r="P20" i="4"/>
  <c r="P21" i="4"/>
  <c r="P22" i="4"/>
  <c r="P23" i="4"/>
  <c r="K2" i="3" s="1"/>
  <c r="P24" i="4"/>
  <c r="P25" i="4"/>
  <c r="P26" i="4"/>
  <c r="P27" i="4"/>
  <c r="O2" i="3"/>
  <c r="P29" i="4"/>
  <c r="P30" i="4"/>
  <c r="P31" i="4"/>
  <c r="P32" i="4"/>
  <c r="P33" i="4"/>
  <c r="S2" i="3" s="1"/>
  <c r="P34" i="4"/>
  <c r="P35" i="4"/>
  <c r="P36" i="4"/>
  <c r="P37" i="4"/>
  <c r="P38" i="4"/>
  <c r="W2" i="3" s="1"/>
  <c r="X18" i="3" s="1"/>
  <c r="P39" i="4"/>
  <c r="P40" i="4"/>
  <c r="P41" i="4"/>
  <c r="P42" i="4"/>
  <c r="P43" i="4"/>
  <c r="AA2" i="3" s="1"/>
  <c r="P44" i="4"/>
  <c r="P45" i="4"/>
  <c r="P46" i="4"/>
  <c r="P47" i="4"/>
  <c r="P48" i="4"/>
  <c r="AE2" i="3" s="1"/>
  <c r="P49" i="4"/>
  <c r="P50" i="4"/>
  <c r="P51" i="4"/>
  <c r="P52" i="4"/>
  <c r="P53" i="4"/>
  <c r="AI2" i="3" s="1"/>
  <c r="P54" i="4"/>
  <c r="P55" i="4"/>
  <c r="P56" i="4"/>
  <c r="P57" i="4"/>
  <c r="P58" i="4"/>
  <c r="AM2" i="3" s="1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3" i="4"/>
  <c r="M4" i="4"/>
  <c r="M5" i="4"/>
  <c r="M6" i="4"/>
  <c r="M7" i="4"/>
  <c r="M8" i="4"/>
  <c r="M9" i="4"/>
  <c r="M10" i="4"/>
  <c r="M11" i="4"/>
  <c r="M12" i="4"/>
  <c r="M13" i="4"/>
  <c r="C2" i="2" s="1"/>
  <c r="D13" i="2" s="1"/>
  <c r="M14" i="4"/>
  <c r="M15" i="4"/>
  <c r="M16" i="4"/>
  <c r="M17" i="4"/>
  <c r="M18" i="4"/>
  <c r="G2" i="2" s="1"/>
  <c r="M19" i="4"/>
  <c r="M20" i="4"/>
  <c r="M21" i="4"/>
  <c r="M22" i="4"/>
  <c r="M23" i="4"/>
  <c r="K2" i="2" s="1"/>
  <c r="L14" i="2" s="1"/>
  <c r="M24" i="4"/>
  <c r="M25" i="4"/>
  <c r="M26" i="4"/>
  <c r="O2" i="2"/>
  <c r="M31" i="4"/>
  <c r="M32" i="4"/>
  <c r="M33" i="4"/>
  <c r="S2" i="2" s="1"/>
  <c r="M34" i="4"/>
  <c r="M35" i="4"/>
  <c r="M36" i="4"/>
  <c r="M37" i="4"/>
  <c r="M38" i="4"/>
  <c r="W2" i="2" s="1"/>
  <c r="M39" i="4"/>
  <c r="M40" i="4"/>
  <c r="M41" i="4"/>
  <c r="M42" i="4"/>
  <c r="M43" i="4"/>
  <c r="AA2" i="2" s="1"/>
  <c r="M44" i="4"/>
  <c r="M45" i="4"/>
  <c r="M46" i="4"/>
  <c r="M47" i="4"/>
  <c r="M48" i="4"/>
  <c r="AE2" i="2" s="1"/>
  <c r="M49" i="4"/>
  <c r="M50" i="4"/>
  <c r="M51" i="4"/>
  <c r="M52" i="4"/>
  <c r="M53" i="4"/>
  <c r="AI2" i="2" s="1"/>
  <c r="AJ12" i="2" s="1"/>
  <c r="M54" i="4"/>
  <c r="M55" i="4"/>
  <c r="M56" i="4"/>
  <c r="M57" i="4"/>
  <c r="M58" i="4"/>
  <c r="AM2" i="2" s="1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3" i="4"/>
  <c r="I4" i="4"/>
  <c r="J4" i="4" s="1"/>
  <c r="I5" i="4"/>
  <c r="J5" i="4" s="1"/>
  <c r="I6" i="4"/>
  <c r="J6" i="4" s="1"/>
  <c r="I7" i="4"/>
  <c r="J7" i="4" s="1"/>
  <c r="I8" i="4"/>
  <c r="J8" i="4" s="1"/>
  <c r="I9" i="4"/>
  <c r="J9" i="4" s="1"/>
  <c r="I10" i="4"/>
  <c r="J1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 s="1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30" i="4"/>
  <c r="J30" i="4" s="1"/>
  <c r="I31" i="4"/>
  <c r="J31" i="4" s="1"/>
  <c r="I32" i="4"/>
  <c r="J32" i="4" s="1"/>
  <c r="I33" i="4"/>
  <c r="I34" i="4"/>
  <c r="J34" i="4" s="1"/>
  <c r="I35" i="4"/>
  <c r="J35" i="4" s="1"/>
  <c r="I36" i="4"/>
  <c r="J36" i="4" s="1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 s="1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  <c r="I50" i="4"/>
  <c r="J50" i="4" s="1"/>
  <c r="I51" i="4"/>
  <c r="J51" i="4" s="1"/>
  <c r="I52" i="4"/>
  <c r="J52" i="4" s="1"/>
  <c r="I53" i="4"/>
  <c r="J53" i="4" s="1"/>
  <c r="I54" i="4"/>
  <c r="J54" i="4" s="1"/>
  <c r="I55" i="4"/>
  <c r="J55" i="4" s="1"/>
  <c r="I56" i="4"/>
  <c r="J56" i="4" s="1"/>
  <c r="I57" i="4"/>
  <c r="J57" i="4" s="1"/>
  <c r="I58" i="4"/>
  <c r="J58" i="4" s="1"/>
  <c r="I59" i="4"/>
  <c r="J59" i="4" s="1"/>
  <c r="I60" i="4"/>
  <c r="J60" i="4" s="1"/>
  <c r="I61" i="4"/>
  <c r="J61" i="4" s="1"/>
  <c r="I62" i="4"/>
  <c r="J62" i="4" s="1"/>
  <c r="I63" i="4"/>
  <c r="J63" i="4" s="1"/>
  <c r="I64" i="4"/>
  <c r="J64" i="4" s="1"/>
  <c r="I65" i="4"/>
  <c r="J65" i="4" s="1"/>
  <c r="I66" i="4"/>
  <c r="J66" i="4" s="1"/>
  <c r="I67" i="4"/>
  <c r="J67" i="4" s="1"/>
  <c r="I68" i="4"/>
  <c r="J68" i="4" s="1"/>
  <c r="I69" i="4"/>
  <c r="J69" i="4" s="1"/>
  <c r="I70" i="4"/>
  <c r="J70" i="4" s="1"/>
  <c r="I71" i="4"/>
  <c r="J71" i="4" s="1"/>
  <c r="I72" i="4"/>
  <c r="J72" i="4" s="1"/>
  <c r="I73" i="4"/>
  <c r="J73" i="4" s="1"/>
  <c r="I74" i="4"/>
  <c r="J74" i="4" s="1"/>
  <c r="I75" i="4"/>
  <c r="J75" i="4" s="1"/>
  <c r="I76" i="4"/>
  <c r="J76" i="4" s="1"/>
  <c r="I77" i="4"/>
  <c r="J77" i="4" s="1"/>
  <c r="I78" i="4"/>
  <c r="J78" i="4" s="1"/>
  <c r="I79" i="4"/>
  <c r="J79" i="4" s="1"/>
  <c r="I80" i="4"/>
  <c r="J80" i="4" s="1"/>
  <c r="I81" i="4"/>
  <c r="J81" i="4" s="1"/>
  <c r="I82" i="4"/>
  <c r="J82" i="4" s="1"/>
  <c r="I83" i="4"/>
  <c r="J83" i="4" s="1"/>
  <c r="I3" i="4"/>
  <c r="J3" i="4" s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3" i="4"/>
  <c r="AH61" i="4" l="1"/>
  <c r="AB45" i="8"/>
  <c r="AL46" i="8"/>
  <c r="W41" i="8"/>
  <c r="Y42" i="8" s="1"/>
  <c r="Z42" i="8" s="1"/>
  <c r="W44" i="8"/>
  <c r="Y45" i="8" s="1"/>
  <c r="Z45" i="8" s="1"/>
  <c r="AL43" i="8"/>
  <c r="AM43" i="8" s="1"/>
  <c r="AL41" i="8"/>
  <c r="AB51" i="8"/>
  <c r="AD52" i="8" s="1"/>
  <c r="AE52" i="8" s="1"/>
  <c r="AL51" i="8"/>
  <c r="AM51" i="8" s="1"/>
  <c r="AL48" i="8"/>
  <c r="AM48" i="8" s="1"/>
  <c r="AB41" i="8"/>
  <c r="AD62" i="4"/>
  <c r="AE62" i="4" s="1"/>
  <c r="AD49" i="8"/>
  <c r="AE49" i="8" s="1"/>
  <c r="AC48" i="8"/>
  <c r="AL45" i="8"/>
  <c r="AG46" i="8"/>
  <c r="AH46" i="8" s="1"/>
  <c r="AL44" i="8"/>
  <c r="AM44" i="8" s="1"/>
  <c r="W40" i="8"/>
  <c r="X40" i="8" s="1"/>
  <c r="AG40" i="8"/>
  <c r="AG43" i="8"/>
  <c r="AH43" i="8" s="1"/>
  <c r="AB47" i="8"/>
  <c r="AC47" i="8" s="1"/>
  <c r="AB40" i="8"/>
  <c r="AC40" i="8" s="1"/>
  <c r="W43" i="8"/>
  <c r="AG47" i="8"/>
  <c r="AH47" i="8" s="1"/>
  <c r="AG38" i="8"/>
  <c r="AH38" i="8" s="1"/>
  <c r="W48" i="8"/>
  <c r="Y49" i="8" s="1"/>
  <c r="Z49" i="8" s="1"/>
  <c r="W38" i="8"/>
  <c r="Y39" i="8" s="1"/>
  <c r="Z39" i="8" s="1"/>
  <c r="W45" i="8"/>
  <c r="X45" i="8" s="1"/>
  <c r="AB46" i="8"/>
  <c r="AC46" i="8" s="1"/>
  <c r="AB44" i="8"/>
  <c r="AC44" i="8" s="1"/>
  <c r="W39" i="8"/>
  <c r="AG48" i="8"/>
  <c r="AH48" i="8" s="1"/>
  <c r="AB11" i="7"/>
  <c r="AL11" i="7"/>
  <c r="AM11" i="7" s="1"/>
  <c r="AG11" i="7"/>
  <c r="AL53" i="4"/>
  <c r="AM53" i="4" s="1"/>
  <c r="W52" i="4"/>
  <c r="Y53" i="4" s="1"/>
  <c r="Z53" i="4" s="1"/>
  <c r="AG51" i="4"/>
  <c r="AH51" i="4" s="1"/>
  <c r="W51" i="4"/>
  <c r="X51" i="4" s="1"/>
  <c r="CG77" i="1"/>
  <c r="CS77" i="1"/>
  <c r="AH27" i="4"/>
  <c r="AI28" i="4"/>
  <c r="AJ28" i="4" s="1"/>
  <c r="X11" i="7"/>
  <c r="AL42" i="4"/>
  <c r="AN43" i="4" s="1"/>
  <c r="AO43" i="4" s="1"/>
  <c r="AL47" i="6"/>
  <c r="AN48" i="6" s="1"/>
  <c r="AO48" i="6" s="1"/>
  <c r="AB47" i="4"/>
  <c r="AC47" i="4" s="1"/>
  <c r="AB14" i="8"/>
  <c r="AD15" i="8" s="1"/>
  <c r="AE15" i="8" s="1"/>
  <c r="BG12" i="1"/>
  <c r="Y36" i="4"/>
  <c r="Z36" i="4" s="1"/>
  <c r="AM19" i="7"/>
  <c r="AG53" i="4"/>
  <c r="AI54" i="4" s="1"/>
  <c r="AJ54" i="4" s="1"/>
  <c r="AG52" i="4"/>
  <c r="AH52" i="4" s="1"/>
  <c r="AL51" i="4"/>
  <c r="AN52" i="4" s="1"/>
  <c r="AO52" i="4" s="1"/>
  <c r="Y52" i="4"/>
  <c r="Z52" i="4" s="1"/>
  <c r="W55" i="4"/>
  <c r="W53" i="4"/>
  <c r="X53" i="4" s="1"/>
  <c r="AL52" i="4"/>
  <c r="AN53" i="4" s="1"/>
  <c r="AO53" i="4" s="1"/>
  <c r="AL55" i="4"/>
  <c r="AN56" i="4" s="1"/>
  <c r="AO56" i="4" s="1"/>
  <c r="AB12" i="3"/>
  <c r="AB21" i="3"/>
  <c r="AB52" i="3"/>
  <c r="AB28" i="3"/>
  <c r="AB63" i="3"/>
  <c r="AB31" i="3"/>
  <c r="AB69" i="3"/>
  <c r="AB11" i="3"/>
  <c r="AB48" i="3"/>
  <c r="AF15" i="2"/>
  <c r="AF62" i="2"/>
  <c r="AF37" i="2"/>
  <c r="AN14" i="3"/>
  <c r="AN45" i="3"/>
  <c r="AN59" i="3"/>
  <c r="AN63" i="3"/>
  <c r="AN40" i="3"/>
  <c r="C2" i="1"/>
  <c r="D51" i="1" s="1"/>
  <c r="E51" i="1" s="1"/>
  <c r="AV2" i="1"/>
  <c r="AW47" i="1" s="1"/>
  <c r="AX47" i="1" s="1"/>
  <c r="W50" i="4"/>
  <c r="Y51" i="4" s="1"/>
  <c r="Z51" i="4" s="1"/>
  <c r="AB38" i="4"/>
  <c r="AD39" i="4" s="1"/>
  <c r="AE39" i="4" s="1"/>
  <c r="AL36" i="4"/>
  <c r="AN37" i="4" s="1"/>
  <c r="AO37" i="4" s="1"/>
  <c r="W49" i="4"/>
  <c r="Y50" i="4" s="1"/>
  <c r="Z50" i="4" s="1"/>
  <c r="W49" i="6"/>
  <c r="Y50" i="6" s="1"/>
  <c r="Z50" i="6" s="1"/>
  <c r="AB10" i="7"/>
  <c r="AC10" i="7" s="1"/>
  <c r="W44" i="4"/>
  <c r="X44" i="4" s="1"/>
  <c r="AB49" i="6"/>
  <c r="AC49" i="6" s="1"/>
  <c r="AG47" i="4"/>
  <c r="AI48" i="4" s="1"/>
  <c r="AJ48" i="4" s="1"/>
  <c r="AL47" i="4"/>
  <c r="AN48" i="4" s="1"/>
  <c r="AO48" i="4" s="1"/>
  <c r="AL50" i="4"/>
  <c r="AM50" i="4" s="1"/>
  <c r="AG49" i="6"/>
  <c r="AI50" i="6" s="1"/>
  <c r="AJ50" i="6" s="1"/>
  <c r="AG49" i="4"/>
  <c r="AI50" i="4" s="1"/>
  <c r="AJ50" i="4" s="1"/>
  <c r="AQ2" i="1"/>
  <c r="AR44" i="1" s="1"/>
  <c r="AS44" i="1" s="1"/>
  <c r="W47" i="4"/>
  <c r="Y48" i="4" s="1"/>
  <c r="Z48" i="4" s="1"/>
  <c r="AG48" i="4"/>
  <c r="AH48" i="4" s="1"/>
  <c r="Y13" i="7"/>
  <c r="Z13" i="7" s="1"/>
  <c r="AL49" i="6"/>
  <c r="AN50" i="6" s="1"/>
  <c r="AO50" i="6" s="1"/>
  <c r="AI13" i="7"/>
  <c r="AJ13" i="7" s="1"/>
  <c r="AN50" i="4"/>
  <c r="AO50" i="4" s="1"/>
  <c r="AM49" i="4"/>
  <c r="AB40" i="4"/>
  <c r="AC40" i="4" s="1"/>
  <c r="AB44" i="4"/>
  <c r="AD45" i="4" s="1"/>
  <c r="AE45" i="4" s="1"/>
  <c r="AG50" i="4"/>
  <c r="AI51" i="4" s="1"/>
  <c r="AJ51" i="4" s="1"/>
  <c r="AD73" i="4"/>
  <c r="AE73" i="4" s="1"/>
  <c r="AL40" i="4"/>
  <c r="AM40" i="4" s="1"/>
  <c r="W40" i="4"/>
  <c r="X40" i="4" s="1"/>
  <c r="AL39" i="4"/>
  <c r="AN40" i="4" s="1"/>
  <c r="AO40" i="4" s="1"/>
  <c r="Y44" i="4"/>
  <c r="Z44" i="4" s="1"/>
  <c r="AB50" i="4"/>
  <c r="AC50" i="4" s="1"/>
  <c r="AG36" i="4"/>
  <c r="AH36" i="4" s="1"/>
  <c r="AG39" i="4"/>
  <c r="AI40" i="4" s="1"/>
  <c r="AJ40" i="4" s="1"/>
  <c r="W39" i="4"/>
  <c r="Y40" i="4" s="1"/>
  <c r="Z40" i="4" s="1"/>
  <c r="AB48" i="4"/>
  <c r="AD44" i="4"/>
  <c r="AE44" i="4" s="1"/>
  <c r="AL44" i="4"/>
  <c r="AN45" i="4" s="1"/>
  <c r="AO45" i="4" s="1"/>
  <c r="AL48" i="4"/>
  <c r="AN49" i="4" s="1"/>
  <c r="AO49" i="4" s="1"/>
  <c r="AB49" i="4"/>
  <c r="AD50" i="4" s="1"/>
  <c r="AE50" i="4" s="1"/>
  <c r="AC39" i="4"/>
  <c r="AD40" i="4"/>
  <c r="AE40" i="4" s="1"/>
  <c r="AH40" i="4"/>
  <c r="AI41" i="4"/>
  <c r="AJ41" i="4" s="1"/>
  <c r="AB42" i="4"/>
  <c r="AD43" i="4" s="1"/>
  <c r="AE43" i="4" s="1"/>
  <c r="AG41" i="4"/>
  <c r="AI42" i="4" s="1"/>
  <c r="AJ42" i="4" s="1"/>
  <c r="AL45" i="4"/>
  <c r="AN46" i="4" s="1"/>
  <c r="AO46" i="4" s="1"/>
  <c r="BG87" i="1"/>
  <c r="AB45" i="4"/>
  <c r="AC45" i="4" s="1"/>
  <c r="AB41" i="4"/>
  <c r="AD42" i="4" s="1"/>
  <c r="AE42" i="4" s="1"/>
  <c r="AB37" i="4"/>
  <c r="AD38" i="4" s="1"/>
  <c r="AE38" i="4" s="1"/>
  <c r="AL37" i="4"/>
  <c r="AN38" i="4" s="1"/>
  <c r="AO38" i="4" s="1"/>
  <c r="W37" i="4"/>
  <c r="Y38" i="4" s="1"/>
  <c r="Z38" i="4" s="1"/>
  <c r="AL38" i="4"/>
  <c r="AM38" i="4" s="1"/>
  <c r="AG42" i="4"/>
  <c r="AI43" i="4" s="1"/>
  <c r="AJ43" i="4" s="1"/>
  <c r="W34" i="4"/>
  <c r="X34" i="4" s="1"/>
  <c r="AG45" i="4"/>
  <c r="W41" i="4"/>
  <c r="AG38" i="4"/>
  <c r="AI39" i="4" s="1"/>
  <c r="AJ39" i="4" s="1"/>
  <c r="W42" i="4"/>
  <c r="X42" i="4" s="1"/>
  <c r="AL34" i="4"/>
  <c r="AM34" i="4" s="1"/>
  <c r="AH36" i="8"/>
  <c r="AI37" i="8"/>
  <c r="AJ37" i="8" s="1"/>
  <c r="AB39" i="8"/>
  <c r="AC39" i="8" s="1"/>
  <c r="W36" i="8"/>
  <c r="Y37" i="8" s="1"/>
  <c r="Z37" i="8" s="1"/>
  <c r="AB36" i="8"/>
  <c r="AC36" i="8" s="1"/>
  <c r="AL36" i="8"/>
  <c r="AM36" i="8" s="1"/>
  <c r="AL38" i="8"/>
  <c r="AM38" i="8" s="1"/>
  <c r="AL39" i="8"/>
  <c r="AM39" i="8" s="1"/>
  <c r="Y34" i="4"/>
  <c r="Z34" i="4" s="1"/>
  <c r="X33" i="4"/>
  <c r="AN41" i="4"/>
  <c r="AO41" i="4" s="1"/>
  <c r="AG34" i="4"/>
  <c r="AI35" i="4" s="1"/>
  <c r="AJ35" i="4" s="1"/>
  <c r="AG33" i="4"/>
  <c r="AB33" i="4"/>
  <c r="AL33" i="4"/>
  <c r="W36" i="4"/>
  <c r="X36" i="4" s="1"/>
  <c r="Y73" i="4"/>
  <c r="Z73" i="4" s="1"/>
  <c r="X5" i="7"/>
  <c r="AH43" i="4"/>
  <c r="AN73" i="4"/>
  <c r="AO73" i="4" s="1"/>
  <c r="AD15" i="4"/>
  <c r="AE15" i="4" s="1"/>
  <c r="X33" i="8"/>
  <c r="AN13" i="7"/>
  <c r="AO13" i="7" s="1"/>
  <c r="AM27" i="4"/>
  <c r="X33" i="6"/>
  <c r="AH57" i="4"/>
  <c r="Y33" i="8"/>
  <c r="Z33" i="8" s="1"/>
  <c r="BH84" i="1"/>
  <c r="AI38" i="4"/>
  <c r="AJ38" i="4" s="1"/>
  <c r="X64" i="4"/>
  <c r="AI24" i="4"/>
  <c r="AJ24" i="4" s="1"/>
  <c r="AD60" i="4"/>
  <c r="AE60" i="4" s="1"/>
  <c r="X23" i="4"/>
  <c r="AD72" i="4"/>
  <c r="AE72" i="4" s="1"/>
  <c r="AD65" i="4"/>
  <c r="AE65" i="4" s="1"/>
  <c r="AM4" i="4"/>
  <c r="AC34" i="8"/>
  <c r="AD81" i="4"/>
  <c r="AE81" i="4" s="1"/>
  <c r="AI36" i="4"/>
  <c r="AJ36" i="4" s="1"/>
  <c r="AH72" i="4"/>
  <c r="AM41" i="4"/>
  <c r="AC27" i="4"/>
  <c r="AI5" i="4"/>
  <c r="AJ5" i="4" s="1"/>
  <c r="AC12" i="8"/>
  <c r="W26" i="4"/>
  <c r="Y27" i="4" s="1"/>
  <c r="Z27" i="4" s="1"/>
  <c r="AC55" i="4"/>
  <c r="AC77" i="4"/>
  <c r="AN24" i="4"/>
  <c r="AO24" i="4" s="1"/>
  <c r="AM64" i="4"/>
  <c r="AM24" i="7"/>
  <c r="BH83" i="1"/>
  <c r="AI20" i="7"/>
  <c r="AJ20" i="7" s="1"/>
  <c r="AN12" i="7"/>
  <c r="AO12" i="7" s="1"/>
  <c r="W48" i="6"/>
  <c r="X48" i="6" s="1"/>
  <c r="X52" i="6"/>
  <c r="X27" i="4"/>
  <c r="W36" i="6"/>
  <c r="Y37" i="6" s="1"/>
  <c r="Z37" i="6" s="1"/>
  <c r="AL21" i="4"/>
  <c r="AN22" i="4" s="1"/>
  <c r="AO22" i="4" s="1"/>
  <c r="AD7" i="4"/>
  <c r="AE7" i="4" s="1"/>
  <c r="AH20" i="7"/>
  <c r="W26" i="6"/>
  <c r="X26" i="6" s="1"/>
  <c r="AG43" i="6"/>
  <c r="AI44" i="6" s="1"/>
  <c r="AJ44" i="6" s="1"/>
  <c r="AM80" i="4"/>
  <c r="AN44" i="4"/>
  <c r="AO44" i="4" s="1"/>
  <c r="AB9" i="6"/>
  <c r="AD10" i="6" s="1"/>
  <c r="AE10" i="6" s="1"/>
  <c r="BL50" i="2"/>
  <c r="BM49" i="2" s="1"/>
  <c r="BL57" i="2"/>
  <c r="BM56" i="2" s="1"/>
  <c r="BX47" i="2"/>
  <c r="BY46" i="2" s="1"/>
  <c r="BX61" i="2"/>
  <c r="BY60" i="2" s="1"/>
  <c r="CD66" i="2"/>
  <c r="BR55" i="2"/>
  <c r="BS54" i="2" s="1"/>
  <c r="CV12" i="2"/>
  <c r="CW11" i="2" s="1"/>
  <c r="CV27" i="2"/>
  <c r="CW26" i="2" s="1"/>
  <c r="CV43" i="2"/>
  <c r="CW42" i="2" s="1"/>
  <c r="BR24" i="2"/>
  <c r="BS23" i="2" s="1"/>
  <c r="AZ14" i="2"/>
  <c r="CV63" i="2"/>
  <c r="CP69" i="2"/>
  <c r="CQ68" i="2" s="1"/>
  <c r="CJ57" i="2"/>
  <c r="CK56" i="2" s="1"/>
  <c r="CD50" i="2"/>
  <c r="BX54" i="2"/>
  <c r="BR52" i="2"/>
  <c r="CV10" i="2"/>
  <c r="CW9" i="2" s="1"/>
  <c r="CV71" i="2"/>
  <c r="CW70" i="2" s="1"/>
  <c r="CV53" i="2"/>
  <c r="CW52" i="2" s="1"/>
  <c r="CP33" i="2"/>
  <c r="CJ15" i="2"/>
  <c r="CK14" i="2" s="1"/>
  <c r="CV36" i="2"/>
  <c r="CP22" i="2"/>
  <c r="CJ28" i="2"/>
  <c r="CK27" i="2" s="1"/>
  <c r="CV56" i="2"/>
  <c r="CJ30" i="2"/>
  <c r="CK29" i="2" s="1"/>
  <c r="CD73" i="2"/>
  <c r="CE72" i="2" s="1"/>
  <c r="BR28" i="2"/>
  <c r="BS27" i="2" s="1"/>
  <c r="BL23" i="2"/>
  <c r="BM22" i="2" s="1"/>
  <c r="BL72" i="2"/>
  <c r="BF72" i="2"/>
  <c r="CP31" i="2"/>
  <c r="CP71" i="2"/>
  <c r="CQ70" i="2" s="1"/>
  <c r="BF32" i="2"/>
  <c r="BG31" i="2" s="1"/>
  <c r="BL32" i="2"/>
  <c r="BR19" i="2"/>
  <c r="BX8" i="2"/>
  <c r="CJ65" i="2"/>
  <c r="CV18" i="2"/>
  <c r="BF50" i="2"/>
  <c r="BL69" i="2"/>
  <c r="BR64" i="2"/>
  <c r="BS63" i="2" s="1"/>
  <c r="BX49" i="2"/>
  <c r="BY48" i="2" s="1"/>
  <c r="CD56" i="2"/>
  <c r="CJ34" i="2"/>
  <c r="CK33" i="2" s="1"/>
  <c r="AZ8" i="2"/>
  <c r="BA7" i="2" s="1"/>
  <c r="BL44" i="2"/>
  <c r="BR50" i="2"/>
  <c r="BX48" i="2"/>
  <c r="CD41" i="2"/>
  <c r="CE40" i="2" s="1"/>
  <c r="CP48" i="2"/>
  <c r="BF74" i="2"/>
  <c r="CD69" i="2"/>
  <c r="AT44" i="2"/>
  <c r="AU43" i="2" s="1"/>
  <c r="BL62" i="2"/>
  <c r="BM61" i="2" s="1"/>
  <c r="BR54" i="2"/>
  <c r="BX45" i="2"/>
  <c r="CJ61" i="2"/>
  <c r="CV39" i="2"/>
  <c r="BR61" i="2"/>
  <c r="CJ55" i="2"/>
  <c r="BF73" i="2"/>
  <c r="BF21" i="2"/>
  <c r="BG20" i="2" s="1"/>
  <c r="BL20" i="2"/>
  <c r="BX51" i="2"/>
  <c r="CD45" i="2"/>
  <c r="CJ38" i="2"/>
  <c r="CK37" i="2" s="1"/>
  <c r="CV21" i="2"/>
  <c r="BF23" i="2"/>
  <c r="CJ69" i="2"/>
  <c r="BF57" i="2"/>
  <c r="BG56" i="2" s="1"/>
  <c r="BL39" i="2"/>
  <c r="BX69" i="2"/>
  <c r="CD51" i="2"/>
  <c r="CE50" i="2" s="1"/>
  <c r="CJ35" i="2"/>
  <c r="CK34" i="2" s="1"/>
  <c r="CJ56" i="2"/>
  <c r="CK55" i="2" s="1"/>
  <c r="BL8" i="2"/>
  <c r="BM7" i="2" s="1"/>
  <c r="BL15" i="2"/>
  <c r="BX40" i="2"/>
  <c r="CJ32" i="2"/>
  <c r="CK31" i="2" s="1"/>
  <c r="CV67" i="2"/>
  <c r="CW66" i="2" s="1"/>
  <c r="CJ9" i="2"/>
  <c r="CK8" i="2" s="1"/>
  <c r="CD19" i="2"/>
  <c r="CE18" i="2" s="1"/>
  <c r="BF42" i="2"/>
  <c r="BF48" i="2"/>
  <c r="BL43" i="2"/>
  <c r="BM42" i="2" s="1"/>
  <c r="CV14" i="2"/>
  <c r="CP14" i="2"/>
  <c r="CJ20" i="2"/>
  <c r="CP13" i="2"/>
  <c r="CQ12" i="2" s="1"/>
  <c r="BL68" i="2"/>
  <c r="AZ71" i="2"/>
  <c r="CD54" i="2"/>
  <c r="CE53" i="2" s="1"/>
  <c r="BF12" i="2"/>
  <c r="BF18" i="2"/>
  <c r="CV19" i="2"/>
  <c r="CW18" i="2" s="1"/>
  <c r="CP19" i="2"/>
  <c r="CQ18" i="2" s="1"/>
  <c r="CJ25" i="2"/>
  <c r="CK24" i="2" s="1"/>
  <c r="BL63" i="2"/>
  <c r="BM62" i="2" s="1"/>
  <c r="CJ63" i="2"/>
  <c r="CD47" i="2"/>
  <c r="CE46" i="2" s="1"/>
  <c r="BL22" i="2"/>
  <c r="CV46" i="2"/>
  <c r="CW45" i="2" s="1"/>
  <c r="CP46" i="2"/>
  <c r="CJ52" i="2"/>
  <c r="CK51" i="2" s="1"/>
  <c r="CD55" i="2"/>
  <c r="CE54" i="2" s="1"/>
  <c r="BX71" i="2"/>
  <c r="BL19" i="2"/>
  <c r="BM18" i="2" s="1"/>
  <c r="CV34" i="2"/>
  <c r="CJ14" i="2"/>
  <c r="CK13" i="2" s="1"/>
  <c r="CP21" i="2"/>
  <c r="CQ20" i="2" s="1"/>
  <c r="CP73" i="2"/>
  <c r="CQ72" i="2" s="1"/>
  <c r="CV42" i="2"/>
  <c r="CP34" i="2"/>
  <c r="CV26" i="2"/>
  <c r="CP24" i="2"/>
  <c r="CD32" i="2"/>
  <c r="BR13" i="2"/>
  <c r="BS12" i="2" s="1"/>
  <c r="BL17" i="2"/>
  <c r="BM16" i="2" s="1"/>
  <c r="BF11" i="2"/>
  <c r="AT27" i="2"/>
  <c r="AU26" i="2" s="1"/>
  <c r="CP49" i="2"/>
  <c r="CQ48" i="2" s="1"/>
  <c r="CJ49" i="2"/>
  <c r="BL66" i="2"/>
  <c r="BR32" i="2"/>
  <c r="BS31" i="2" s="1"/>
  <c r="BX21" i="2"/>
  <c r="BY20" i="2" s="1"/>
  <c r="CJ51" i="2"/>
  <c r="CK50" i="2" s="1"/>
  <c r="BF31" i="2"/>
  <c r="BG30" i="2" s="1"/>
  <c r="BL24" i="2"/>
  <c r="BM23" i="2" s="1"/>
  <c r="BR14" i="2"/>
  <c r="CD71" i="2"/>
  <c r="CJ42" i="2"/>
  <c r="CK41" i="2" s="1"/>
  <c r="BF7" i="2"/>
  <c r="BL16" i="2"/>
  <c r="BM15" i="2" s="1"/>
  <c r="BR25" i="2"/>
  <c r="BS24" i="2" s="1"/>
  <c r="BX13" i="2"/>
  <c r="CJ17" i="2"/>
  <c r="CK16" i="2" s="1"/>
  <c r="BX46" i="2"/>
  <c r="AZ49" i="2"/>
  <c r="BL41" i="2"/>
  <c r="BR16" i="2"/>
  <c r="BS15" i="2" s="1"/>
  <c r="CD59" i="2"/>
  <c r="CE58" i="2" s="1"/>
  <c r="CP26" i="2"/>
  <c r="BL28" i="2"/>
  <c r="BM27" i="2" s="1"/>
  <c r="CD40" i="2"/>
  <c r="CE39" i="2" s="1"/>
  <c r="BF64" i="2"/>
  <c r="BF9" i="2"/>
  <c r="BG8" i="2" s="1"/>
  <c r="BR41" i="2"/>
  <c r="BS40" i="2" s="1"/>
  <c r="BX9" i="2"/>
  <c r="BY8" i="2" s="1"/>
  <c r="CJ60" i="2"/>
  <c r="CV7" i="2"/>
  <c r="BF41" i="2"/>
  <c r="BG40" i="2" s="1"/>
  <c r="CJ47" i="2"/>
  <c r="BF45" i="2"/>
  <c r="BG44" i="2" s="1"/>
  <c r="BR70" i="2"/>
  <c r="BX30" i="2"/>
  <c r="CJ74" i="2"/>
  <c r="CD33" i="2"/>
  <c r="CE32" i="2" s="1"/>
  <c r="BF70" i="2"/>
  <c r="BF24" i="2"/>
  <c r="CV51" i="2"/>
  <c r="CW50" i="2" s="1"/>
  <c r="CJ68" i="2"/>
  <c r="BX11" i="2"/>
  <c r="BY10" i="2" s="1"/>
  <c r="BR27" i="2"/>
  <c r="BL51" i="2"/>
  <c r="BM50" i="2" s="1"/>
  <c r="CP57" i="2"/>
  <c r="CQ56" i="2" s="1"/>
  <c r="CP9" i="2"/>
  <c r="CP67" i="2"/>
  <c r="CQ66" i="2" s="1"/>
  <c r="CV48" i="2"/>
  <c r="CP68" i="2"/>
  <c r="CV44" i="2"/>
  <c r="CD8" i="2"/>
  <c r="BX65" i="2"/>
  <c r="BR67" i="2"/>
  <c r="BL65" i="2"/>
  <c r="BM64" i="2" s="1"/>
  <c r="CV8" i="2"/>
  <c r="CP60" i="2"/>
  <c r="AZ18" i="2"/>
  <c r="BL18" i="2"/>
  <c r="BX50" i="2"/>
  <c r="CD15" i="2"/>
  <c r="BF25" i="2"/>
  <c r="BG24" i="2" s="1"/>
  <c r="BR73" i="2"/>
  <c r="BX42" i="2"/>
  <c r="CD28" i="2"/>
  <c r="CV31" i="2"/>
  <c r="CW30" i="2" s="1"/>
  <c r="BL58" i="2"/>
  <c r="BR37" i="2"/>
  <c r="CD67" i="2"/>
  <c r="CP62" i="2"/>
  <c r="BF35" i="2"/>
  <c r="BG34" i="2" s="1"/>
  <c r="CJ39" i="2"/>
  <c r="BL74" i="2"/>
  <c r="BR48" i="2"/>
  <c r="BS47" i="2" s="1"/>
  <c r="CD65" i="2"/>
  <c r="CV68" i="2"/>
  <c r="BR42" i="2"/>
  <c r="CP11" i="2"/>
  <c r="BF40" i="2"/>
  <c r="BL33" i="2"/>
  <c r="BM32" i="2" s="1"/>
  <c r="BX24" i="2"/>
  <c r="CJ67" i="2"/>
  <c r="CV37" i="2"/>
  <c r="CW36" i="2" s="1"/>
  <c r="BR35" i="2"/>
  <c r="BS34" i="2" s="1"/>
  <c r="AT23" i="2"/>
  <c r="AU22" i="2" s="1"/>
  <c r="BL70" i="2"/>
  <c r="BX64" i="2"/>
  <c r="CD16" i="2"/>
  <c r="CV52" i="2"/>
  <c r="CJ48" i="2"/>
  <c r="CK47" i="2" s="1"/>
  <c r="CP70" i="2"/>
  <c r="AT56" i="2"/>
  <c r="AU55" i="2" s="1"/>
  <c r="BR30" i="2"/>
  <c r="CP30" i="2"/>
  <c r="CJ7" i="2"/>
  <c r="BX27" i="2"/>
  <c r="BY26" i="2" s="1"/>
  <c r="BR47" i="2"/>
  <c r="CV22" i="2"/>
  <c r="CJ8" i="2"/>
  <c r="CK7" i="2" s="1"/>
  <c r="CP27" i="2"/>
  <c r="CQ26" i="2" s="1"/>
  <c r="CJ27" i="2"/>
  <c r="CK26" i="2" s="1"/>
  <c r="CV59" i="2"/>
  <c r="CJ16" i="2"/>
  <c r="CV69" i="2"/>
  <c r="CW68" i="2" s="1"/>
  <c r="CD20" i="2"/>
  <c r="BX7" i="2"/>
  <c r="BL29" i="2"/>
  <c r="BM28" i="2" s="1"/>
  <c r="BF27" i="2"/>
  <c r="CV64" i="2"/>
  <c r="CP66" i="2"/>
  <c r="BF20" i="2"/>
  <c r="BR65" i="2"/>
  <c r="BS64" i="2" s="1"/>
  <c r="BX29" i="2"/>
  <c r="BY28" i="2" s="1"/>
  <c r="CJ44" i="2"/>
  <c r="CK43" i="2" s="1"/>
  <c r="AZ15" i="2"/>
  <c r="BA14" i="2" s="1"/>
  <c r="BF13" i="2"/>
  <c r="BR58" i="2"/>
  <c r="BX28" i="2"/>
  <c r="BY27" i="2" s="1"/>
  <c r="CJ71" i="2"/>
  <c r="CK70" i="2" s="1"/>
  <c r="AT60" i="2"/>
  <c r="BL9" i="2"/>
  <c r="BM8" i="2" s="1"/>
  <c r="BX67" i="2"/>
  <c r="CD48" i="2"/>
  <c r="CE47" i="2" s="1"/>
  <c r="CV74" i="2"/>
  <c r="BL56" i="2"/>
  <c r="CV9" i="2"/>
  <c r="BL55" i="2"/>
  <c r="BX70" i="2"/>
  <c r="CD31" i="2"/>
  <c r="CV24" i="2"/>
  <c r="BX39" i="2"/>
  <c r="BY38" i="2" s="1"/>
  <c r="BF28" i="2"/>
  <c r="BR59" i="2"/>
  <c r="CD72" i="2"/>
  <c r="CJ45" i="2"/>
  <c r="BX53" i="2"/>
  <c r="BY52" i="2" s="1"/>
  <c r="BF68" i="2"/>
  <c r="BL26" i="2"/>
  <c r="BX44" i="2"/>
  <c r="CJ66" i="2"/>
  <c r="CJ70" i="2"/>
  <c r="CK69" i="2" s="1"/>
  <c r="CD70" i="2"/>
  <c r="CP74" i="2"/>
  <c r="CD68" i="2"/>
  <c r="BR62" i="2"/>
  <c r="CV58" i="2"/>
  <c r="CV72" i="2"/>
  <c r="CJ33" i="2"/>
  <c r="CK32" i="2" s="1"/>
  <c r="CP16" i="2"/>
  <c r="CV38" i="2"/>
  <c r="CD26" i="2"/>
  <c r="BR39" i="2"/>
  <c r="BS38" i="2" s="1"/>
  <c r="BL60" i="2"/>
  <c r="CV70" i="2"/>
  <c r="CJ43" i="2"/>
  <c r="CK42" i="2" s="1"/>
  <c r="BL25" i="2"/>
  <c r="BM24" i="2" s="1"/>
  <c r="CD57" i="2"/>
  <c r="CP20" i="2"/>
  <c r="CQ19" i="2" s="1"/>
  <c r="BF37" i="2"/>
  <c r="BG36" i="2" s="1"/>
  <c r="BR44" i="2"/>
  <c r="BS43" i="2" s="1"/>
  <c r="CD63" i="2"/>
  <c r="CV61" i="2"/>
  <c r="BR72" i="2"/>
  <c r="BX41" i="2"/>
  <c r="BY40" i="2" s="1"/>
  <c r="CP72" i="2"/>
  <c r="CQ71" i="2" s="1"/>
  <c r="BR49" i="2"/>
  <c r="BS48" i="2" s="1"/>
  <c r="BF65" i="2"/>
  <c r="BG64" i="2" s="1"/>
  <c r="BR60" i="2"/>
  <c r="BS59" i="2" s="1"/>
  <c r="CD17" i="2"/>
  <c r="CE16" i="2" s="1"/>
  <c r="BF29" i="2"/>
  <c r="BG28" i="2" s="1"/>
  <c r="CP59" i="2"/>
  <c r="BF15" i="2"/>
  <c r="BX73" i="2"/>
  <c r="CD10" i="2"/>
  <c r="CD25" i="2"/>
  <c r="CE24" i="2" s="1"/>
  <c r="BL73" i="2"/>
  <c r="BX23" i="2"/>
  <c r="CP7" i="2"/>
  <c r="BX26" i="2"/>
  <c r="CJ36" i="2"/>
  <c r="CK35" i="2" s="1"/>
  <c r="BX22" i="2"/>
  <c r="BL14" i="2"/>
  <c r="CV65" i="2"/>
  <c r="CW64" i="2" s="1"/>
  <c r="CP15" i="2"/>
  <c r="CQ14" i="2" s="1"/>
  <c r="CV11" i="2"/>
  <c r="CW10" i="2" s="1"/>
  <c r="CP28" i="2"/>
  <c r="CV50" i="2"/>
  <c r="CD38" i="2"/>
  <c r="BR45" i="2"/>
  <c r="BF22" i="2"/>
  <c r="CP25" i="2"/>
  <c r="CQ24" i="2" s="1"/>
  <c r="AT72" i="2"/>
  <c r="BR74" i="2"/>
  <c r="CD49" i="2"/>
  <c r="CE48" i="2" s="1"/>
  <c r="CV49" i="2"/>
  <c r="CW48" i="2" s="1"/>
  <c r="BF19" i="2"/>
  <c r="BR38" i="2"/>
  <c r="CD42" i="2"/>
  <c r="CV15" i="2"/>
  <c r="CW14" i="2" s="1"/>
  <c r="BR68" i="2"/>
  <c r="BX34" i="2"/>
  <c r="CP32" i="2"/>
  <c r="BR11" i="2"/>
  <c r="BF16" i="2"/>
  <c r="BR29" i="2"/>
  <c r="CJ54" i="2"/>
  <c r="CK53" i="2" s="1"/>
  <c r="BL49" i="2"/>
  <c r="BM48" i="2" s="1"/>
  <c r="BL67" i="2"/>
  <c r="BX58" i="2"/>
  <c r="CJ53" i="2"/>
  <c r="CK52" i="2" s="1"/>
  <c r="CJ13" i="2"/>
  <c r="CK12" i="2" s="1"/>
  <c r="BL53" i="2"/>
  <c r="BM52" i="2" s="1"/>
  <c r="BX15" i="2"/>
  <c r="BY14" i="2" s="1"/>
  <c r="CP54" i="2"/>
  <c r="CD12" i="2"/>
  <c r="BR12" i="2"/>
  <c r="BS11" i="2" s="1"/>
  <c r="CJ41" i="2"/>
  <c r="CK40" i="2" s="1"/>
  <c r="BX38" i="2"/>
  <c r="BL30" i="2"/>
  <c r="CP8" i="2"/>
  <c r="CP39" i="2"/>
  <c r="CV17" i="2"/>
  <c r="CW16" i="2" s="1"/>
  <c r="CP40" i="2"/>
  <c r="CP12" i="2"/>
  <c r="CD44" i="2"/>
  <c r="BR56" i="2"/>
  <c r="BS55" i="2" s="1"/>
  <c r="BF38" i="2"/>
  <c r="CP37" i="2"/>
  <c r="AT12" i="2"/>
  <c r="BR51" i="2"/>
  <c r="CD36" i="2"/>
  <c r="CV33" i="2"/>
  <c r="CW32" i="2" s="1"/>
  <c r="BL7" i="2"/>
  <c r="BR31" i="2"/>
  <c r="BS30" i="2" s="1"/>
  <c r="CD35" i="2"/>
  <c r="CE34" i="2" s="1"/>
  <c r="BF67" i="2"/>
  <c r="BR63" i="2"/>
  <c r="BS62" i="2" s="1"/>
  <c r="BX20" i="2"/>
  <c r="CV45" i="2"/>
  <c r="CW44" i="2" s="1"/>
  <c r="CD53" i="2"/>
  <c r="CE52" i="2" s="1"/>
  <c r="BF10" i="2"/>
  <c r="BX66" i="2"/>
  <c r="CJ46" i="2"/>
  <c r="BR7" i="2"/>
  <c r="AT33" i="2"/>
  <c r="AU32" i="2" s="1"/>
  <c r="BL61" i="2"/>
  <c r="BX37" i="2"/>
  <c r="BY36" i="2" s="1"/>
  <c r="CJ26" i="2"/>
  <c r="CK25" i="2" s="1"/>
  <c r="AT49" i="2"/>
  <c r="AU48" i="2" s="1"/>
  <c r="CP44" i="2"/>
  <c r="CQ43" i="2" s="1"/>
  <c r="BL12" i="2"/>
  <c r="BM11" i="2" s="1"/>
  <c r="CD58" i="2"/>
  <c r="CP38" i="2"/>
  <c r="BF36" i="2"/>
  <c r="CD61" i="2"/>
  <c r="CE60" i="2" s="1"/>
  <c r="CV60" i="2"/>
  <c r="CD23" i="2"/>
  <c r="CE22" i="2" s="1"/>
  <c r="BX74" i="2"/>
  <c r="CV16" i="2"/>
  <c r="CV47" i="2"/>
  <c r="CW46" i="2" s="1"/>
  <c r="CP58" i="2"/>
  <c r="CV54" i="2"/>
  <c r="CV13" i="2"/>
  <c r="CW12" i="2" s="1"/>
  <c r="CJ18" i="2"/>
  <c r="BX72" i="2"/>
  <c r="BL42" i="2"/>
  <c r="BM41" i="2" s="1"/>
  <c r="BF59" i="2"/>
  <c r="BG58" i="2" s="1"/>
  <c r="CP63" i="2"/>
  <c r="BF8" i="2"/>
  <c r="BX68" i="2"/>
  <c r="CJ72" i="2"/>
  <c r="CK71" i="2" s="1"/>
  <c r="CL71" i="2" s="1"/>
  <c r="BF62" i="2"/>
  <c r="BL31" i="2"/>
  <c r="BX35" i="2"/>
  <c r="BY34" i="2" s="1"/>
  <c r="CJ19" i="2"/>
  <c r="CK18" i="2" s="1"/>
  <c r="BF49" i="2"/>
  <c r="CD13" i="2"/>
  <c r="CE12" i="2" s="1"/>
  <c r="AZ60" i="2"/>
  <c r="BA59" i="2" s="1"/>
  <c r="CV25" i="2"/>
  <c r="BL27" i="2"/>
  <c r="BM26" i="2" s="1"/>
  <c r="BX31" i="2"/>
  <c r="BY30" i="2" s="1"/>
  <c r="CV55" i="2"/>
  <c r="CW54" i="2" s="1"/>
  <c r="CD74" i="2"/>
  <c r="BF52" i="2"/>
  <c r="BR66" i="2"/>
  <c r="CD52" i="2"/>
  <c r="CP41" i="2"/>
  <c r="BR17" i="2"/>
  <c r="BF51" i="2"/>
  <c r="BG50" i="2" s="1"/>
  <c r="BR40" i="2"/>
  <c r="CD9" i="2"/>
  <c r="CE8" i="2" s="1"/>
  <c r="AZ74" i="2"/>
  <c r="AT34" i="2"/>
  <c r="AU33" i="2" s="1"/>
  <c r="AT55" i="2"/>
  <c r="AT10" i="2"/>
  <c r="AT43" i="2"/>
  <c r="AU42" i="2" s="1"/>
  <c r="AT18" i="2"/>
  <c r="AU17" i="2" s="1"/>
  <c r="AT74" i="2"/>
  <c r="AZ55" i="2"/>
  <c r="BA54" i="2" s="1"/>
  <c r="AT53" i="2"/>
  <c r="AU52" i="2" s="1"/>
  <c r="AZ53" i="2"/>
  <c r="BA52" i="2" s="1"/>
  <c r="AT68" i="2"/>
  <c r="AZ73" i="2"/>
  <c r="AZ9" i="2"/>
  <c r="AT14" i="2"/>
  <c r="CJ40" i="2"/>
  <c r="CK39" i="2" s="1"/>
  <c r="CD34" i="2"/>
  <c r="CV28" i="2"/>
  <c r="CP64" i="2"/>
  <c r="CV20" i="2"/>
  <c r="BR22" i="2"/>
  <c r="AZ42" i="2"/>
  <c r="BA41" i="2" s="1"/>
  <c r="BL59" i="2"/>
  <c r="BM58" i="2" s="1"/>
  <c r="CP53" i="2"/>
  <c r="CQ52" i="2" s="1"/>
  <c r="BL10" i="2"/>
  <c r="CP50" i="2"/>
  <c r="BX62" i="2"/>
  <c r="BF53" i="2"/>
  <c r="BL13" i="2"/>
  <c r="BM12" i="2" s="1"/>
  <c r="BF66" i="2"/>
  <c r="BG65" i="2" s="1"/>
  <c r="BF46" i="2"/>
  <c r="CD37" i="2"/>
  <c r="BX32" i="2"/>
  <c r="BR20" i="2"/>
  <c r="AT59" i="2"/>
  <c r="AZ28" i="2"/>
  <c r="BA27" i="2" s="1"/>
  <c r="AZ50" i="2"/>
  <c r="BA49" i="2" s="1"/>
  <c r="AT31" i="2"/>
  <c r="AU30" i="2" s="1"/>
  <c r="AT66" i="2"/>
  <c r="AT8" i="2"/>
  <c r="BR36" i="2"/>
  <c r="BS35" i="2" s="1"/>
  <c r="CD39" i="2"/>
  <c r="CE38" i="2" s="1"/>
  <c r="CV40" i="2"/>
  <c r="CJ21" i="2"/>
  <c r="CK20" i="2" s="1"/>
  <c r="CV32" i="2"/>
  <c r="BR34" i="2"/>
  <c r="CV57" i="2"/>
  <c r="BL45" i="2"/>
  <c r="BM44" i="2" s="1"/>
  <c r="CP36" i="2"/>
  <c r="BR69" i="2"/>
  <c r="CP17" i="2"/>
  <c r="CQ16" i="2" s="1"/>
  <c r="BX55" i="2"/>
  <c r="BF17" i="2"/>
  <c r="BG16" i="2" s="1"/>
  <c r="BR71" i="2"/>
  <c r="BF47" i="2"/>
  <c r="BF34" i="2"/>
  <c r="CD24" i="2"/>
  <c r="BX12" i="2"/>
  <c r="BX57" i="2"/>
  <c r="BY56" i="2" s="1"/>
  <c r="AT47" i="2"/>
  <c r="AZ17" i="2"/>
  <c r="BA16" i="2" s="1"/>
  <c r="AZ39" i="2"/>
  <c r="BA38" i="2" s="1"/>
  <c r="AT22" i="2"/>
  <c r="AU21" i="2" s="1"/>
  <c r="AT11" i="2"/>
  <c r="AU10" i="2" s="1"/>
  <c r="BF30" i="2"/>
  <c r="CV30" i="2"/>
  <c r="BX43" i="2"/>
  <c r="BY42" i="2" s="1"/>
  <c r="CP61" i="2"/>
  <c r="CV23" i="2"/>
  <c r="CW22" i="2" s="1"/>
  <c r="CP18" i="2"/>
  <c r="BL11" i="2"/>
  <c r="CP43" i="2"/>
  <c r="BR26" i="2"/>
  <c r="AT70" i="2"/>
  <c r="BR8" i="2"/>
  <c r="BS7" i="2" s="1"/>
  <c r="BF61" i="2"/>
  <c r="BG60" i="2" s="1"/>
  <c r="CD62" i="2"/>
  <c r="CD11" i="2"/>
  <c r="CE10" i="2" s="1"/>
  <c r="BX60" i="2"/>
  <c r="BR23" i="2"/>
  <c r="BS22" i="2" s="1"/>
  <c r="BL47" i="2"/>
  <c r="BM46" i="2" s="1"/>
  <c r="CP65" i="2"/>
  <c r="AZ26" i="2"/>
  <c r="CD43" i="2"/>
  <c r="CE42" i="2" s="1"/>
  <c r="AT38" i="2"/>
  <c r="AU37" i="2" s="1"/>
  <c r="AT58" i="2"/>
  <c r="AU57" i="2" s="1"/>
  <c r="AZ27" i="2"/>
  <c r="BA26" i="2" s="1"/>
  <c r="AZ70" i="2"/>
  <c r="AZ59" i="2"/>
  <c r="BA58" i="2" s="1"/>
  <c r="BX19" i="2"/>
  <c r="BY18" i="2" s="1"/>
  <c r="CP51" i="2"/>
  <c r="CQ50" i="2" s="1"/>
  <c r="BR33" i="2"/>
  <c r="BS32" i="2" s="1"/>
  <c r="CV66" i="2"/>
  <c r="CP10" i="2"/>
  <c r="CQ9" i="2" s="1"/>
  <c r="CD14" i="2"/>
  <c r="BL54" i="2"/>
  <c r="CJ37" i="2"/>
  <c r="CK36" i="2" s="1"/>
  <c r="BX36" i="2"/>
  <c r="BF44" i="2"/>
  <c r="CD7" i="2"/>
  <c r="BL37" i="2"/>
  <c r="BM36" i="2" s="1"/>
  <c r="CJ50" i="2"/>
  <c r="BF69" i="2"/>
  <c r="CD46" i="2"/>
  <c r="CJ29" i="2"/>
  <c r="CK28" i="2" s="1"/>
  <c r="BR15" i="2"/>
  <c r="BS14" i="2" s="1"/>
  <c r="BF33" i="2"/>
  <c r="BG32" i="2" s="1"/>
  <c r="CJ23" i="2"/>
  <c r="CK22" i="2" s="1"/>
  <c r="AZ63" i="2"/>
  <c r="AT13" i="2"/>
  <c r="AU12" i="2" s="1"/>
  <c r="AT7" i="2"/>
  <c r="AZ34" i="2"/>
  <c r="BA33" i="2" s="1"/>
  <c r="AT54" i="2"/>
  <c r="AU53" i="2" s="1"/>
  <c r="AZ11" i="2"/>
  <c r="BA10" i="2" s="1"/>
  <c r="AZ65" i="2"/>
  <c r="BA64" i="2" s="1"/>
  <c r="AT48" i="2"/>
  <c r="AU47" i="2" s="1"/>
  <c r="AZ37" i="2"/>
  <c r="BA36" i="2" s="1"/>
  <c r="AT41" i="2"/>
  <c r="AZ41" i="2"/>
  <c r="BA40" i="2" s="1"/>
  <c r="AT35" i="2"/>
  <c r="AU34" i="2" s="1"/>
  <c r="AZ30" i="2"/>
  <c r="BA29" i="2" s="1"/>
  <c r="BL35" i="2"/>
  <c r="BM34" i="2" s="1"/>
  <c r="CJ10" i="2"/>
  <c r="CK9" i="2" s="1"/>
  <c r="BF43" i="2"/>
  <c r="BG42" i="2" s="1"/>
  <c r="CD29" i="2"/>
  <c r="CE28" i="2" s="1"/>
  <c r="CD21" i="2"/>
  <c r="CE20" i="2" s="1"/>
  <c r="CJ11" i="2"/>
  <c r="CK10" i="2" s="1"/>
  <c r="BX17" i="2"/>
  <c r="BR53" i="2"/>
  <c r="AT71" i="2"/>
  <c r="AZ61" i="2"/>
  <c r="BA60" i="2" s="1"/>
  <c r="AZ12" i="2"/>
  <c r="BA11" i="2" s="1"/>
  <c r="AZ33" i="2"/>
  <c r="BA32" i="2" s="1"/>
  <c r="AZ43" i="2"/>
  <c r="BA42" i="2" s="1"/>
  <c r="AT32" i="2"/>
  <c r="AZ16" i="2"/>
  <c r="AT9" i="2"/>
  <c r="AU8" i="2" s="1"/>
  <c r="AT62" i="2"/>
  <c r="AU61" i="2" s="1"/>
  <c r="AZ46" i="2"/>
  <c r="BX33" i="2"/>
  <c r="AT39" i="2"/>
  <c r="AT19" i="2"/>
  <c r="AU18" i="2" s="1"/>
  <c r="BL46" i="2"/>
  <c r="CJ22" i="2"/>
  <c r="CK21" i="2" s="1"/>
  <c r="BF54" i="2"/>
  <c r="CD22" i="2"/>
  <c r="CJ58" i="2"/>
  <c r="CK57" i="2" s="1"/>
  <c r="CL57" i="2" s="1"/>
  <c r="CP42" i="2"/>
  <c r="CQ41" i="2" s="1"/>
  <c r="CD64" i="2"/>
  <c r="BR46" i="2"/>
  <c r="AT26" i="2"/>
  <c r="AZ47" i="2"/>
  <c r="BA46" i="2" s="1"/>
  <c r="AZ24" i="2"/>
  <c r="BA23" i="2" s="1"/>
  <c r="AZ13" i="2"/>
  <c r="BA12" i="2" s="1"/>
  <c r="AZ31" i="2"/>
  <c r="BA30" i="2" s="1"/>
  <c r="AT21" i="2"/>
  <c r="AZ68" i="2"/>
  <c r="AT51" i="2"/>
  <c r="AU50" i="2" s="1"/>
  <c r="AZ35" i="2"/>
  <c r="BA34" i="2" s="1"/>
  <c r="CP47" i="2"/>
  <c r="CQ46" i="2" s="1"/>
  <c r="CV62" i="2"/>
  <c r="CJ24" i="2"/>
  <c r="CK23" i="2" s="1"/>
  <c r="CJ31" i="2"/>
  <c r="BF56" i="2"/>
  <c r="BG55" i="2" s="1"/>
  <c r="BL64" i="2"/>
  <c r="CD60" i="2"/>
  <c r="CP23" i="2"/>
  <c r="CQ22" i="2" s="1"/>
  <c r="CJ59" i="2"/>
  <c r="CK58" i="2" s="1"/>
  <c r="AZ54" i="2"/>
  <c r="BA53" i="2" s="1"/>
  <c r="AT65" i="2"/>
  <c r="AT40" i="2"/>
  <c r="AU39" i="2" s="1"/>
  <c r="AT50" i="2"/>
  <c r="AU49" i="2" s="1"/>
  <c r="AZ10" i="2"/>
  <c r="BA9" i="2" s="1"/>
  <c r="AZ69" i="2"/>
  <c r="AT57" i="2"/>
  <c r="AU56" i="2" s="1"/>
  <c r="AZ52" i="2"/>
  <c r="BA51" i="2" s="1"/>
  <c r="AT30" i="2"/>
  <c r="CP45" i="2"/>
  <c r="BF60" i="2"/>
  <c r="AZ40" i="2"/>
  <c r="AT42" i="2"/>
  <c r="AU41" i="2" s="1"/>
  <c r="AT52" i="2"/>
  <c r="AU51" i="2" s="1"/>
  <c r="AV51" i="2" s="1"/>
  <c r="CP29" i="2"/>
  <c r="CQ28" i="2" s="1"/>
  <c r="CV35" i="2"/>
  <c r="CV41" i="2"/>
  <c r="CW40" i="2" s="1"/>
  <c r="CJ12" i="2"/>
  <c r="CK11" i="2" s="1"/>
  <c r="CP55" i="2"/>
  <c r="CQ54" i="2" s="1"/>
  <c r="BF71" i="2"/>
  <c r="BF55" i="2"/>
  <c r="CJ62" i="2"/>
  <c r="BX25" i="2"/>
  <c r="BY24" i="2" s="1"/>
  <c r="CP56" i="2"/>
  <c r="CD30" i="2"/>
  <c r="CE29" i="2" s="1"/>
  <c r="AT15" i="2"/>
  <c r="AU14" i="2" s="1"/>
  <c r="AZ38" i="2"/>
  <c r="BA37" i="2" s="1"/>
  <c r="AT63" i="2"/>
  <c r="AU62" i="2" s="1"/>
  <c r="AT61" i="2"/>
  <c r="AU60" i="2" s="1"/>
  <c r="AZ22" i="2"/>
  <c r="BA21" i="2" s="1"/>
  <c r="AT16" i="2"/>
  <c r="AU15" i="2" s="1"/>
  <c r="AT73" i="2"/>
  <c r="AZ57" i="2"/>
  <c r="BA56" i="2" s="1"/>
  <c r="AT46" i="2"/>
  <c r="AZ19" i="2"/>
  <c r="BA18" i="2" s="1"/>
  <c r="CP35" i="2"/>
  <c r="CQ34" i="2" s="1"/>
  <c r="CJ73" i="2"/>
  <c r="CK72" i="2" s="1"/>
  <c r="CL72" i="2" s="1"/>
  <c r="BX10" i="2"/>
  <c r="BF26" i="2"/>
  <c r="BL52" i="2"/>
  <c r="BR57" i="2"/>
  <c r="BS56" i="2" s="1"/>
  <c r="BL71" i="2"/>
  <c r="AZ29" i="2"/>
  <c r="AT29" i="2"/>
  <c r="AU28" i="2" s="1"/>
  <c r="AZ64" i="2"/>
  <c r="BA63" i="2" s="1"/>
  <c r="AZ36" i="2"/>
  <c r="BR18" i="2"/>
  <c r="CD18" i="2"/>
  <c r="CP52" i="2"/>
  <c r="BX16" i="2"/>
  <c r="BF14" i="2"/>
  <c r="BL38" i="2"/>
  <c r="BR43" i="2"/>
  <c r="BS42" i="2" s="1"/>
  <c r="BL34" i="2"/>
  <c r="BF58" i="2"/>
  <c r="BL21" i="2"/>
  <c r="BM20" i="2" s="1"/>
  <c r="AT45" i="2"/>
  <c r="AU44" i="2" s="1"/>
  <c r="AZ58" i="2"/>
  <c r="BA57" i="2" s="1"/>
  <c r="AZ66" i="2"/>
  <c r="AT28" i="2"/>
  <c r="AT69" i="2"/>
  <c r="AZ48" i="2"/>
  <c r="BA47" i="2" s="1"/>
  <c r="AT36" i="2"/>
  <c r="AU35" i="2" s="1"/>
  <c r="AZ25" i="2"/>
  <c r="BA24" i="2" s="1"/>
  <c r="AZ67" i="2"/>
  <c r="BX59" i="2"/>
  <c r="BY58" i="2" s="1"/>
  <c r="CV29" i="2"/>
  <c r="BL36" i="2"/>
  <c r="BR9" i="2"/>
  <c r="BS8" i="2" s="1"/>
  <c r="BX56" i="2"/>
  <c r="BY55" i="2" s="1"/>
  <c r="CD27" i="2"/>
  <c r="CE26" i="2" s="1"/>
  <c r="BX52" i="2"/>
  <c r="BY51" i="2" s="1"/>
  <c r="BL40" i="2"/>
  <c r="BF63" i="2"/>
  <c r="AT24" i="2"/>
  <c r="AU23" i="2" s="1"/>
  <c r="AV23" i="2" s="1"/>
  <c r="AZ45" i="2"/>
  <c r="BA44" i="2" s="1"/>
  <c r="AZ56" i="2"/>
  <c r="BA55" i="2" s="1"/>
  <c r="AT17" i="2"/>
  <c r="AU16" i="2" s="1"/>
  <c r="AT64" i="2"/>
  <c r="AU63" i="2" s="1"/>
  <c r="AZ32" i="2"/>
  <c r="BA31" i="2" s="1"/>
  <c r="AT25" i="2"/>
  <c r="AU24" i="2" s="1"/>
  <c r="AZ20" i="2"/>
  <c r="AZ62" i="2"/>
  <c r="BA61" i="2" s="1"/>
  <c r="BR10" i="2"/>
  <c r="CV73" i="2"/>
  <c r="CW72" i="2" s="1"/>
  <c r="BL48" i="2"/>
  <c r="BX63" i="2"/>
  <c r="BX14" i="2"/>
  <c r="CJ64" i="2"/>
  <c r="BX18" i="2"/>
  <c r="BR21" i="2"/>
  <c r="BF39" i="2"/>
  <c r="AZ72" i="2"/>
  <c r="AZ23" i="2"/>
  <c r="BA22" i="2" s="1"/>
  <c r="AZ44" i="2"/>
  <c r="AZ7" i="2"/>
  <c r="AT37" i="2"/>
  <c r="AU36" i="2" s="1"/>
  <c r="AZ21" i="2"/>
  <c r="BA20" i="2" s="1"/>
  <c r="AT20" i="2"/>
  <c r="AU19" i="2" s="1"/>
  <c r="AT67" i="2"/>
  <c r="AZ51" i="2"/>
  <c r="BA50" i="2" s="1"/>
  <c r="BB50" i="2" s="1"/>
  <c r="BQ77" i="2"/>
  <c r="DA77" i="2"/>
  <c r="AX88" i="2" s="1"/>
  <c r="BK77" i="2"/>
  <c r="BE77" i="2"/>
  <c r="AY77" i="2"/>
  <c r="AJ15" i="7"/>
  <c r="Y12" i="8"/>
  <c r="Z12" i="8" s="1"/>
  <c r="AI74" i="4"/>
  <c r="AJ74" i="4" s="1"/>
  <c r="AB26" i="4"/>
  <c r="AD27" i="4" s="1"/>
  <c r="AE27" i="4" s="1"/>
  <c r="AL36" i="6"/>
  <c r="AM36" i="6" s="1"/>
  <c r="AM33" i="8"/>
  <c r="AC33" i="8"/>
  <c r="CP30" i="3"/>
  <c r="CQ29" i="3" s="1"/>
  <c r="CD29" i="3"/>
  <c r="CE28" i="3" s="1"/>
  <c r="BF24" i="3"/>
  <c r="BG23" i="3" s="1"/>
  <c r="BR23" i="3"/>
  <c r="BS22" i="3" s="1"/>
  <c r="CD18" i="3"/>
  <c r="CE17" i="3" s="1"/>
  <c r="CV8" i="3"/>
  <c r="CW7" i="3" s="1"/>
  <c r="CD8" i="3"/>
  <c r="CE7" i="3" s="1"/>
  <c r="BX7" i="3"/>
  <c r="CP35" i="3"/>
  <c r="CQ34" i="3" s="1"/>
  <c r="BF28" i="3"/>
  <c r="BR21" i="3"/>
  <c r="BS20" i="3" s="1"/>
  <c r="CP12" i="3"/>
  <c r="CQ11" i="3" s="1"/>
  <c r="BL9" i="3"/>
  <c r="AZ9" i="3"/>
  <c r="BA8" i="3" s="1"/>
  <c r="AT37" i="3"/>
  <c r="AU36" i="3" s="1"/>
  <c r="BF12" i="3"/>
  <c r="AT40" i="3"/>
  <c r="BR12" i="3"/>
  <c r="BS11" i="3" s="1"/>
  <c r="AT26" i="3"/>
  <c r="BL71" i="3"/>
  <c r="BR11" i="3"/>
  <c r="CJ36" i="3"/>
  <c r="CK35" i="3" s="1"/>
  <c r="CD28" i="3"/>
  <c r="CE27" i="3" s="1"/>
  <c r="CP15" i="3"/>
  <c r="CQ14" i="3" s="1"/>
  <c r="CJ58" i="3"/>
  <c r="BR32" i="3"/>
  <c r="BS31" i="3" s="1"/>
  <c r="CP24" i="3"/>
  <c r="CQ23" i="3" s="1"/>
  <c r="BF23" i="3"/>
  <c r="BF10" i="3"/>
  <c r="BG9" i="3" s="1"/>
  <c r="BF41" i="3"/>
  <c r="BG40" i="3" s="1"/>
  <c r="AT25" i="3"/>
  <c r="CP18" i="3"/>
  <c r="CQ17" i="3" s="1"/>
  <c r="AT11" i="3"/>
  <c r="AT16" i="3"/>
  <c r="AU15" i="3" s="1"/>
  <c r="CJ59" i="3"/>
  <c r="CK58" i="3" s="1"/>
  <c r="AZ33" i="3"/>
  <c r="BA32" i="3" s="1"/>
  <c r="BR20" i="3"/>
  <c r="BF11" i="3"/>
  <c r="AT60" i="3"/>
  <c r="AU59" i="3" s="1"/>
  <c r="AZ43" i="3"/>
  <c r="BA42" i="3" s="1"/>
  <c r="CD26" i="3"/>
  <c r="CE25" i="3" s="1"/>
  <c r="CP9" i="3"/>
  <c r="CQ8" i="3" s="1"/>
  <c r="CJ50" i="3"/>
  <c r="CK49" i="3" s="1"/>
  <c r="BL36" i="3"/>
  <c r="BM35" i="3" s="1"/>
  <c r="CP16" i="3"/>
  <c r="CQ15" i="3" s="1"/>
  <c r="AT38" i="3"/>
  <c r="AU37" i="3" s="1"/>
  <c r="BR15" i="3"/>
  <c r="BS14" i="3" s="1"/>
  <c r="CD32" i="3"/>
  <c r="BL7" i="3"/>
  <c r="BF25" i="3"/>
  <c r="BR56" i="3"/>
  <c r="BS55" i="3" s="1"/>
  <c r="BR36" i="3"/>
  <c r="BS35" i="3" s="1"/>
  <c r="BX60" i="3"/>
  <c r="BY59" i="3" s="1"/>
  <c r="CD35" i="3"/>
  <c r="CE34" i="3" s="1"/>
  <c r="CD19" i="3"/>
  <c r="CE18" i="3" s="1"/>
  <c r="AT54" i="3"/>
  <c r="AU53" i="3" s="1"/>
  <c r="AT27" i="3"/>
  <c r="AU26" i="3" s="1"/>
  <c r="BF14" i="3"/>
  <c r="BG13" i="3" s="1"/>
  <c r="BL40" i="3"/>
  <c r="BM39" i="3" s="1"/>
  <c r="BR26" i="3"/>
  <c r="CJ9" i="3"/>
  <c r="CK8" i="3" s="1"/>
  <c r="BF16" i="3"/>
  <c r="BG15" i="3" s="1"/>
  <c r="BF30" i="3"/>
  <c r="BR7" i="3"/>
  <c r="BF32" i="3"/>
  <c r="CD72" i="3"/>
  <c r="BR69" i="3"/>
  <c r="BF66" i="3"/>
  <c r="BG65" i="3" s="1"/>
  <c r="CD67" i="3"/>
  <c r="CV73" i="3"/>
  <c r="CW72" i="3" s="1"/>
  <c r="CV66" i="3"/>
  <c r="CW65" i="3" s="1"/>
  <c r="BL66" i="3"/>
  <c r="BM65" i="3" s="1"/>
  <c r="CV64" i="3"/>
  <c r="BL72" i="3"/>
  <c r="CV61" i="3"/>
  <c r="BF71" i="3"/>
  <c r="BL58" i="3"/>
  <c r="BM57" i="3" s="1"/>
  <c r="AZ55" i="3"/>
  <c r="BA54" i="3" s="1"/>
  <c r="CV51" i="3"/>
  <c r="CW50" i="3" s="1"/>
  <c r="CJ69" i="3"/>
  <c r="CK68" i="3" s="1"/>
  <c r="AT66" i="3"/>
  <c r="BF48" i="3"/>
  <c r="BG47" i="3" s="1"/>
  <c r="CD43" i="3"/>
  <c r="CE42" i="3" s="1"/>
  <c r="CP66" i="3"/>
  <c r="CQ65" i="3" s="1"/>
  <c r="CP58" i="3"/>
  <c r="BX54" i="3"/>
  <c r="BY53" i="3" s="1"/>
  <c r="AT50" i="3"/>
  <c r="BL68" i="3"/>
  <c r="CP57" i="3"/>
  <c r="CQ56" i="3" s="1"/>
  <c r="CJ53" i="3"/>
  <c r="CK52" i="3" s="1"/>
  <c r="AZ48" i="3"/>
  <c r="BA47" i="3" s="1"/>
  <c r="CP51" i="3"/>
  <c r="CQ50" i="3" s="1"/>
  <c r="BL42" i="3"/>
  <c r="BM41" i="3" s="1"/>
  <c r="BX38" i="3"/>
  <c r="BL35" i="3"/>
  <c r="AZ64" i="3"/>
  <c r="BA63" i="3" s="1"/>
  <c r="CV50" i="3"/>
  <c r="CW49" i="3" s="1"/>
  <c r="CV40" i="3"/>
  <c r="CW39" i="3" s="1"/>
  <c r="CD55" i="3"/>
  <c r="CE54" i="3" s="1"/>
  <c r="CV44" i="3"/>
  <c r="CW43" i="3" s="1"/>
  <c r="BX13" i="3"/>
  <c r="BY12" i="3" s="1"/>
  <c r="CJ16" i="3"/>
  <c r="CK15" i="3" s="1"/>
  <c r="CV19" i="3"/>
  <c r="CW18" i="3" s="1"/>
  <c r="AZ23" i="3"/>
  <c r="BA22" i="3" s="1"/>
  <c r="BL26" i="3"/>
  <c r="BM25" i="3" s="1"/>
  <c r="BX29" i="3"/>
  <c r="BY28" i="3" s="1"/>
  <c r="CP32" i="3"/>
  <c r="CQ31" i="3" s="1"/>
  <c r="CJ40" i="3"/>
  <c r="CP50" i="3"/>
  <c r="CQ49" i="3" s="1"/>
  <c r="CJ13" i="3"/>
  <c r="CK12" i="3" s="1"/>
  <c r="CV16" i="3"/>
  <c r="CW15" i="3" s="1"/>
  <c r="AZ20" i="3"/>
  <c r="BA19" i="3" s="1"/>
  <c r="BL23" i="3"/>
  <c r="BM22" i="3" s="1"/>
  <c r="BX26" i="3"/>
  <c r="BY25" i="3" s="1"/>
  <c r="CJ29" i="3"/>
  <c r="BR34" i="3"/>
  <c r="BL44" i="3"/>
  <c r="CD7" i="3"/>
  <c r="CP10" i="3"/>
  <c r="CQ9" i="3" s="1"/>
  <c r="CD40" i="3"/>
  <c r="CE39" i="3" s="1"/>
  <c r="CV47" i="3"/>
  <c r="AZ35" i="3"/>
  <c r="BA34" i="3" s="1"/>
  <c r="AT55" i="3"/>
  <c r="AU54" i="3" s="1"/>
  <c r="BX43" i="3"/>
  <c r="BF18" i="3"/>
  <c r="BG17" i="3" s="1"/>
  <c r="CV43" i="3"/>
  <c r="CW42" i="3" s="1"/>
  <c r="BX10" i="3"/>
  <c r="BY9" i="3" s="1"/>
  <c r="BX42" i="3"/>
  <c r="AT39" i="3"/>
  <c r="BR24" i="3"/>
  <c r="CP33" i="3"/>
  <c r="CD15" i="3"/>
  <c r="CP41" i="3"/>
  <c r="CQ40" i="3" s="1"/>
  <c r="CP19" i="3"/>
  <c r="AZ54" i="3"/>
  <c r="BA53" i="3" s="1"/>
  <c r="AT29" i="3"/>
  <c r="CD11" i="3"/>
  <c r="BF19" i="3"/>
  <c r="CJ34" i="3"/>
  <c r="CK33" i="3" s="1"/>
  <c r="CD13" i="3"/>
  <c r="CE12" i="3" s="1"/>
  <c r="BR47" i="3"/>
  <c r="BS46" i="3" s="1"/>
  <c r="BF74" i="3"/>
  <c r="CD70" i="3"/>
  <c r="AT67" i="3"/>
  <c r="CV67" i="3"/>
  <c r="CW66" i="3" s="1"/>
  <c r="CD73" i="3"/>
  <c r="CE72" i="3" s="1"/>
  <c r="BX41" i="3"/>
  <c r="BY40" i="3" s="1"/>
  <c r="AT12" i="3"/>
  <c r="AT14" i="3"/>
  <c r="CJ55" i="3"/>
  <c r="CK54" i="3" s="1"/>
  <c r="BF21" i="3"/>
  <c r="BF58" i="3"/>
  <c r="BG57" i="3" s="1"/>
  <c r="AT19" i="3"/>
  <c r="CP63" i="3"/>
  <c r="AT35" i="3"/>
  <c r="AU34" i="3" s="1"/>
  <c r="AZ50" i="3"/>
  <c r="BA49" i="3" s="1"/>
  <c r="AT30" i="3"/>
  <c r="AU29" i="3" s="1"/>
  <c r="CP13" i="3"/>
  <c r="BR35" i="3"/>
  <c r="BR17" i="3"/>
  <c r="CJ43" i="3"/>
  <c r="CK42" i="3" s="1"/>
  <c r="CD23" i="3"/>
  <c r="CE22" i="3" s="1"/>
  <c r="BL8" i="3"/>
  <c r="BF22" i="3"/>
  <c r="BG21" i="3" s="1"/>
  <c r="BX39" i="3"/>
  <c r="BY38" i="3" s="1"/>
  <c r="BR22" i="3"/>
  <c r="AZ45" i="3"/>
  <c r="BA44" i="3" s="1"/>
  <c r="AT21" i="3"/>
  <c r="BF35" i="3"/>
  <c r="BG34" i="3" s="1"/>
  <c r="AT23" i="3"/>
  <c r="AU22" i="3" s="1"/>
  <c r="CJ7" i="3"/>
  <c r="CD38" i="3"/>
  <c r="CE37" i="3" s="1"/>
  <c r="BF33" i="3"/>
  <c r="BG32" i="3" s="1"/>
  <c r="AT41" i="3"/>
  <c r="AU40" i="3" s="1"/>
  <c r="CD16" i="3"/>
  <c r="CE15" i="3" s="1"/>
  <c r="BX33" i="3"/>
  <c r="BY32" i="3" s="1"/>
  <c r="BF8" i="3"/>
  <c r="BG7" i="3" s="1"/>
  <c r="CD30" i="3"/>
  <c r="CE29" i="3" s="1"/>
  <c r="BX9" i="3"/>
  <c r="BF27" i="3"/>
  <c r="BX8" i="3"/>
  <c r="BR64" i="3"/>
  <c r="BS63" i="3" s="1"/>
  <c r="BR73" i="3"/>
  <c r="AT69" i="3"/>
  <c r="CJ73" i="3"/>
  <c r="CK72" i="3" s="1"/>
  <c r="CD64" i="3"/>
  <c r="BF67" i="3"/>
  <c r="AZ66" i="3"/>
  <c r="BL63" i="3"/>
  <c r="BM62" i="3" s="1"/>
  <c r="BX68" i="3"/>
  <c r="CV58" i="3"/>
  <c r="BR60" i="3"/>
  <c r="BS59" i="3" s="1"/>
  <c r="CV55" i="3"/>
  <c r="CW54" i="3" s="1"/>
  <c r="BL52" i="3"/>
  <c r="BM51" i="3" s="1"/>
  <c r="CV68" i="3"/>
  <c r="CW67" i="3" s="1"/>
  <c r="CD63" i="3"/>
  <c r="CD45" i="3"/>
  <c r="AT42" i="3"/>
  <c r="AU41" i="3" s="1"/>
  <c r="AV41" i="3" s="1"/>
  <c r="BF62" i="3"/>
  <c r="BR55" i="3"/>
  <c r="BL50" i="3"/>
  <c r="BM49" i="3" s="1"/>
  <c r="BL64" i="3"/>
  <c r="BM63" i="3" s="1"/>
  <c r="CV56" i="3"/>
  <c r="AZ52" i="3"/>
  <c r="BA51" i="3" s="1"/>
  <c r="CD60" i="3"/>
  <c r="CE59" i="3" s="1"/>
  <c r="CV45" i="3"/>
  <c r="CW44" i="3" s="1"/>
  <c r="BL39" i="3"/>
  <c r="BL10" i="3"/>
  <c r="BM9" i="3" s="1"/>
  <c r="CV39" i="3"/>
  <c r="CW38" i="3" s="1"/>
  <c r="CP45" i="3"/>
  <c r="CQ44" i="3" s="1"/>
  <c r="AT49" i="3"/>
  <c r="AU48" i="3" s="1"/>
  <c r="CD24" i="3"/>
  <c r="AZ8" i="3"/>
  <c r="AT51" i="3"/>
  <c r="AU50" i="3" s="1"/>
  <c r="CP31" i="3"/>
  <c r="CQ30" i="3" s="1"/>
  <c r="CP38" i="3"/>
  <c r="CD14" i="3"/>
  <c r="CE13" i="3" s="1"/>
  <c r="BF29" i="3"/>
  <c r="AT7" i="3"/>
  <c r="CD27" i="3"/>
  <c r="CD10" i="3"/>
  <c r="BR28" i="3"/>
  <c r="CP17" i="3"/>
  <c r="CJ65" i="3"/>
  <c r="AZ7" i="3"/>
  <c r="AZ69" i="3"/>
  <c r="BR29" i="3"/>
  <c r="BS28" i="3" s="1"/>
  <c r="BR9" i="3"/>
  <c r="BS8" i="3" s="1"/>
  <c r="BX52" i="3"/>
  <c r="BY51" i="3" s="1"/>
  <c r="AT31" i="3"/>
  <c r="AZ37" i="3"/>
  <c r="BA36" i="3" s="1"/>
  <c r="CD12" i="3"/>
  <c r="CD25" i="3"/>
  <c r="CE24" i="3" s="1"/>
  <c r="AT64" i="3"/>
  <c r="AU63" i="3" s="1"/>
  <c r="AT22" i="3"/>
  <c r="CP11" i="3"/>
  <c r="CD31" i="3"/>
  <c r="BR27" i="3"/>
  <c r="BF72" i="3"/>
  <c r="BF68" i="3"/>
  <c r="CP70" i="3"/>
  <c r="CQ69" i="3" s="1"/>
  <c r="CV74" i="3"/>
  <c r="BF73" i="3"/>
  <c r="BF65" i="3"/>
  <c r="BG64" i="3" s="1"/>
  <c r="BX62" i="3"/>
  <c r="BY61" i="3" s="1"/>
  <c r="CD65" i="3"/>
  <c r="AZ73" i="3"/>
  <c r="CP59" i="3"/>
  <c r="CJ54" i="3"/>
  <c r="CK53" i="3" s="1"/>
  <c r="AZ51" i="3"/>
  <c r="BA50" i="3" s="1"/>
  <c r="CP74" i="3"/>
  <c r="BX61" i="3"/>
  <c r="CP44" i="3"/>
  <c r="CV72" i="3"/>
  <c r="CW71" i="3" s="1"/>
  <c r="AT59" i="3"/>
  <c r="CP53" i="3"/>
  <c r="BR49" i="3"/>
  <c r="BS48" i="3" s="1"/>
  <c r="BR61" i="3"/>
  <c r="AT56" i="3"/>
  <c r="AU55" i="3" s="1"/>
  <c r="AV55" i="3" s="1"/>
  <c r="BF51" i="3"/>
  <c r="CP55" i="3"/>
  <c r="CQ54" i="3" s="1"/>
  <c r="AT43" i="3"/>
  <c r="AU42" i="3" s="1"/>
  <c r="AV42" i="3" s="1"/>
  <c r="AT15" i="3"/>
  <c r="BX50" i="3"/>
  <c r="BY49" i="3" s="1"/>
  <c r="AT17" i="3"/>
  <c r="AU16" i="3" s="1"/>
  <c r="AZ10" i="3"/>
  <c r="BA9" i="3" s="1"/>
  <c r="BX49" i="3"/>
  <c r="BY48" i="3" s="1"/>
  <c r="CP26" i="3"/>
  <c r="CV42" i="3"/>
  <c r="CP54" i="3"/>
  <c r="CQ53" i="3" s="1"/>
  <c r="CP27" i="3"/>
  <c r="CV48" i="3"/>
  <c r="CW47" i="3" s="1"/>
  <c r="BR18" i="3"/>
  <c r="CD36" i="3"/>
  <c r="CE35" i="3" s="1"/>
  <c r="BR14" i="3"/>
  <c r="CD20" i="3"/>
  <c r="BF47" i="3"/>
  <c r="BG46" i="3" s="1"/>
  <c r="CP39" i="3"/>
  <c r="CQ38" i="3" s="1"/>
  <c r="AT71" i="3"/>
  <c r="CD66" i="3"/>
  <c r="CP65" i="3"/>
  <c r="BR70" i="3"/>
  <c r="AZ67" i="3"/>
  <c r="BR68" i="3"/>
  <c r="BL61" i="3"/>
  <c r="BM60" i="3" s="1"/>
  <c r="BF61" i="3"/>
  <c r="BG60" i="3" s="1"/>
  <c r="AZ65" i="3"/>
  <c r="AZ57" i="3"/>
  <c r="BA56" i="3" s="1"/>
  <c r="BX53" i="3"/>
  <c r="BY52" i="3" s="1"/>
  <c r="BX73" i="3"/>
  <c r="BL70" i="3"/>
  <c r="BX48" i="3"/>
  <c r="BF43" i="3"/>
  <c r="BG42" i="3" s="1"/>
  <c r="CP64" i="3"/>
  <c r="AT57" i="3"/>
  <c r="AU56" i="3" s="1"/>
  <c r="BF52" i="3"/>
  <c r="BG51" i="3" s="1"/>
  <c r="CV70" i="3"/>
  <c r="AZ59" i="3"/>
  <c r="BA58" i="3" s="1"/>
  <c r="BR54" i="3"/>
  <c r="BS53" i="3" s="1"/>
  <c r="CP47" i="3"/>
  <c r="CQ46" i="3" s="1"/>
  <c r="BF49" i="3"/>
  <c r="BX40" i="3"/>
  <c r="CV36" i="3"/>
  <c r="BL33" i="3"/>
  <c r="BM32" i="3" s="1"/>
  <c r="CD56" i="3"/>
  <c r="CE55" i="3" s="1"/>
  <c r="CD44" i="3"/>
  <c r="CE43" i="3" s="1"/>
  <c r="BF54" i="3"/>
  <c r="AZ11" i="3"/>
  <c r="BA10" i="3" s="1"/>
  <c r="CJ14" i="3"/>
  <c r="CK13" i="3" s="1"/>
  <c r="BL18" i="3"/>
  <c r="BM17" i="3" s="1"/>
  <c r="CV21" i="3"/>
  <c r="BX25" i="3"/>
  <c r="BY24" i="3" s="1"/>
  <c r="AZ29" i="3"/>
  <c r="BA28" i="3" s="1"/>
  <c r="AT33" i="3"/>
  <c r="AU32" i="3" s="1"/>
  <c r="CP43" i="3"/>
  <c r="CQ42" i="3" s="1"/>
  <c r="AZ58" i="3"/>
  <c r="BA57" i="3" s="1"/>
  <c r="AZ12" i="3"/>
  <c r="CJ15" i="3"/>
  <c r="CK14" i="3" s="1"/>
  <c r="BL19" i="3"/>
  <c r="BM18" i="3" s="1"/>
  <c r="CV22" i="3"/>
  <c r="CW21" i="3" s="1"/>
  <c r="CV26" i="3"/>
  <c r="CW25" i="3" s="1"/>
  <c r="BX30" i="3"/>
  <c r="BY29" i="3" s="1"/>
  <c r="BZ29" i="3" s="1"/>
  <c r="CV35" i="3"/>
  <c r="BX56" i="3"/>
  <c r="BY55" i="3" s="1"/>
  <c r="CD9" i="3"/>
  <c r="CE8" i="3" s="1"/>
  <c r="CJ38" i="3"/>
  <c r="CK37" i="3" s="1"/>
  <c r="CJ46" i="3"/>
  <c r="CV10" i="3"/>
  <c r="CW9" i="3" s="1"/>
  <c r="AT20" i="3"/>
  <c r="AU19" i="3" s="1"/>
  <c r="CP40" i="3"/>
  <c r="CP23" i="3"/>
  <c r="BR16" i="3"/>
  <c r="BF13" i="3"/>
  <c r="BG12" i="3" s="1"/>
  <c r="BR62" i="3"/>
  <c r="BS61" i="3" s="1"/>
  <c r="CP69" i="3"/>
  <c r="BL67" i="3"/>
  <c r="BR74" i="3"/>
  <c r="AT68" i="3"/>
  <c r="BX63" i="3"/>
  <c r="BY62" i="3" s="1"/>
  <c r="CJ60" i="3"/>
  <c r="CV53" i="3"/>
  <c r="CW52" i="3" s="1"/>
  <c r="BR63" i="3"/>
  <c r="BR46" i="3"/>
  <c r="AZ68" i="3"/>
  <c r="AZ56" i="3"/>
  <c r="BA55" i="3" s="1"/>
  <c r="CP46" i="3"/>
  <c r="CQ45" i="3" s="1"/>
  <c r="BF56" i="3"/>
  <c r="BG55" i="3" s="1"/>
  <c r="BL65" i="3"/>
  <c r="BM64" i="3" s="1"/>
  <c r="AZ42" i="3"/>
  <c r="BX36" i="3"/>
  <c r="BY35" i="3" s="1"/>
  <c r="AT70" i="3"/>
  <c r="CV49" i="3"/>
  <c r="CW48" i="3" s="1"/>
  <c r="CP61" i="3"/>
  <c r="CD47" i="3"/>
  <c r="CV13" i="3"/>
  <c r="CW12" i="3" s="1"/>
  <c r="CV17" i="3"/>
  <c r="BL22" i="3"/>
  <c r="CJ26" i="3"/>
  <c r="CJ30" i="3"/>
  <c r="CK29" i="3" s="1"/>
  <c r="BX37" i="3"/>
  <c r="BY36" i="3" s="1"/>
  <c r="CD49" i="3"/>
  <c r="CE48" i="3" s="1"/>
  <c r="BL11" i="3"/>
  <c r="BL15" i="3"/>
  <c r="BM14" i="3" s="1"/>
  <c r="CJ19" i="3"/>
  <c r="CK18" i="3" s="1"/>
  <c r="AZ24" i="3"/>
  <c r="BA23" i="3" s="1"/>
  <c r="AZ28" i="3"/>
  <c r="BA27" i="3" s="1"/>
  <c r="AZ32" i="3"/>
  <c r="BL45" i="3"/>
  <c r="BM44" i="3" s="1"/>
  <c r="CP8" i="3"/>
  <c r="BR37" i="3"/>
  <c r="CD50" i="3"/>
  <c r="CE49" i="3" s="1"/>
  <c r="CV71" i="3"/>
  <c r="CW70" i="3" s="1"/>
  <c r="BX32" i="3"/>
  <c r="BY31" i="3" s="1"/>
  <c r="CV37" i="3"/>
  <c r="CW36" i="3" s="1"/>
  <c r="CD22" i="3"/>
  <c r="AT13" i="3"/>
  <c r="CJ8" i="3"/>
  <c r="CP7" i="3"/>
  <c r="CD68" i="3"/>
  <c r="BR65" i="3"/>
  <c r="CP72" i="3"/>
  <c r="CQ71" i="3" s="1"/>
  <c r="CJ63" i="3"/>
  <c r="CP62" i="3"/>
  <c r="AZ60" i="3"/>
  <c r="BA59" i="3" s="1"/>
  <c r="AZ53" i="3"/>
  <c r="BX72" i="3"/>
  <c r="AT46" i="3"/>
  <c r="AU45" i="3" s="1"/>
  <c r="BR66" i="3"/>
  <c r="BF55" i="3"/>
  <c r="BG54" i="3" s="1"/>
  <c r="BF69" i="3"/>
  <c r="BL55" i="3"/>
  <c r="BM54" i="3" s="1"/>
  <c r="CJ64" i="3"/>
  <c r="BR41" i="3"/>
  <c r="BS40" i="3" s="1"/>
  <c r="AZ36" i="3"/>
  <c r="BF63" i="3"/>
  <c r="BG62" i="3" s="1"/>
  <c r="CJ47" i="3"/>
  <c r="CK46" i="3" s="1"/>
  <c r="AT61" i="3"/>
  <c r="AU60" i="3" s="1"/>
  <c r="BF46" i="3"/>
  <c r="BL14" i="3"/>
  <c r="BM13" i="3" s="1"/>
  <c r="CJ18" i="3"/>
  <c r="CK17" i="3" s="1"/>
  <c r="CJ22" i="3"/>
  <c r="CK21" i="3" s="1"/>
  <c r="AZ27" i="3"/>
  <c r="BA26" i="3" s="1"/>
  <c r="AZ31" i="3"/>
  <c r="BA30" i="3" s="1"/>
  <c r="BF39" i="3"/>
  <c r="CJ51" i="3"/>
  <c r="CK50" i="3" s="1"/>
  <c r="CJ11" i="3"/>
  <c r="CK10" i="3" s="1"/>
  <c r="AZ16" i="3"/>
  <c r="BA15" i="3" s="1"/>
  <c r="BX20" i="3"/>
  <c r="BY19" i="3" s="1"/>
  <c r="BX24" i="3"/>
  <c r="BY23" i="3" s="1"/>
  <c r="BX28" i="3"/>
  <c r="BY27" i="3" s="1"/>
  <c r="CJ32" i="3"/>
  <c r="CK31" i="3" s="1"/>
  <c r="BR52" i="3"/>
  <c r="BF9" i="3"/>
  <c r="BR40" i="3"/>
  <c r="BX69" i="3"/>
  <c r="CP22" i="3"/>
  <c r="CQ21" i="3" s="1"/>
  <c r="CV7" i="3"/>
  <c r="CD17" i="3"/>
  <c r="AT28" i="3"/>
  <c r="CJ10" i="3"/>
  <c r="CK9" i="3" s="1"/>
  <c r="AT48" i="3"/>
  <c r="BR13" i="3"/>
  <c r="BS12" i="3" s="1"/>
  <c r="BR30" i="3"/>
  <c r="CD74" i="3"/>
  <c r="CP67" i="3"/>
  <c r="CQ66" i="3" s="1"/>
  <c r="AT65" i="3"/>
  <c r="BR72" i="3"/>
  <c r="CV62" i="3"/>
  <c r="BX59" i="3"/>
  <c r="CV57" i="3"/>
  <c r="CJ52" i="3"/>
  <c r="CK51" i="3" s="1"/>
  <c r="AZ72" i="3"/>
  <c r="BF45" i="3"/>
  <c r="BG44" i="3" s="1"/>
  <c r="AT63" i="3"/>
  <c r="CD53" i="3"/>
  <c r="CE52" i="3" s="1"/>
  <c r="CJ68" i="3"/>
  <c r="CD54" i="3"/>
  <c r="CE53" i="3" s="1"/>
  <c r="BF57" i="3"/>
  <c r="AZ40" i="3"/>
  <c r="BA39" i="3" s="1"/>
  <c r="CJ35" i="3"/>
  <c r="CD61" i="3"/>
  <c r="CE60" i="3" s="1"/>
  <c r="AT47" i="3"/>
  <c r="BR59" i="3"/>
  <c r="BS58" i="3" s="1"/>
  <c r="CJ44" i="3"/>
  <c r="CK43" i="3" s="1"/>
  <c r="AZ15" i="3"/>
  <c r="BA14" i="3" s="1"/>
  <c r="AZ19" i="3"/>
  <c r="BX23" i="3"/>
  <c r="BY22" i="3" s="1"/>
  <c r="BX27" i="3"/>
  <c r="BY26" i="3" s="1"/>
  <c r="BX31" i="3"/>
  <c r="BR39" i="3"/>
  <c r="BS38" i="3" s="1"/>
  <c r="CD52" i="3"/>
  <c r="CE51" i="3" s="1"/>
  <c r="BX12" i="3"/>
  <c r="BY11" i="3" s="1"/>
  <c r="BX16" i="3"/>
  <c r="BY15" i="3" s="1"/>
  <c r="CV20" i="3"/>
  <c r="CW19" i="3" s="1"/>
  <c r="CV24" i="3"/>
  <c r="CW23" i="3" s="1"/>
  <c r="CV28" i="3"/>
  <c r="CW27" i="3" s="1"/>
  <c r="CD34" i="3"/>
  <c r="BL53" i="3"/>
  <c r="BM52" i="3" s="1"/>
  <c r="BN52" i="3" s="1"/>
  <c r="BO52" i="3" s="1"/>
  <c r="AT10" i="3"/>
  <c r="AU9" i="3" s="1"/>
  <c r="AZ41" i="3"/>
  <c r="BA40" i="3" s="1"/>
  <c r="CP25" i="3"/>
  <c r="BF20" i="3"/>
  <c r="CD33" i="3"/>
  <c r="CE32" i="3" s="1"/>
  <c r="BR43" i="3"/>
  <c r="BS42" i="3" s="1"/>
  <c r="CD39" i="3"/>
  <c r="CE38" i="3" s="1"/>
  <c r="AT32" i="3"/>
  <c r="AU31" i="3" s="1"/>
  <c r="BR25" i="3"/>
  <c r="BS24" i="3" s="1"/>
  <c r="BR53" i="3"/>
  <c r="BS52" i="3" s="1"/>
  <c r="CP71" i="3"/>
  <c r="CQ70" i="3" s="1"/>
  <c r="AT74" i="3"/>
  <c r="CJ70" i="3"/>
  <c r="CV65" i="3"/>
  <c r="CW64" i="3" s="1"/>
  <c r="BX71" i="3"/>
  <c r="AT72" i="3"/>
  <c r="BL56" i="3"/>
  <c r="BX74" i="3"/>
  <c r="AT62" i="3"/>
  <c r="AU61" i="3" s="1"/>
  <c r="CP42" i="3"/>
  <c r="CQ41" i="3" s="1"/>
  <c r="BR58" i="3"/>
  <c r="BS57" i="3" s="1"/>
  <c r="BL51" i="3"/>
  <c r="BM50" i="3" s="1"/>
  <c r="BL59" i="3"/>
  <c r="BR51" i="3"/>
  <c r="BS50" i="3" s="1"/>
  <c r="BX47" i="3"/>
  <c r="BY46" i="3" s="1"/>
  <c r="AZ38" i="3"/>
  <c r="BA37" i="3" s="1"/>
  <c r="AZ34" i="3"/>
  <c r="AT58" i="3"/>
  <c r="CJ71" i="3"/>
  <c r="CK70" i="3" s="1"/>
  <c r="CP49" i="3"/>
  <c r="CQ48" i="3" s="1"/>
  <c r="BL12" i="3"/>
  <c r="BM11" i="3" s="1"/>
  <c r="BL16" i="3"/>
  <c r="BM15" i="3" s="1"/>
  <c r="CJ20" i="3"/>
  <c r="CJ24" i="3"/>
  <c r="CJ28" i="3"/>
  <c r="CK27" i="3" s="1"/>
  <c r="BL34" i="3"/>
  <c r="BM33" i="3" s="1"/>
  <c r="BX45" i="3"/>
  <c r="BY44" i="3" s="1"/>
  <c r="AZ14" i="3"/>
  <c r="BA13" i="3" s="1"/>
  <c r="AZ18" i="3"/>
  <c r="BA17" i="3" s="1"/>
  <c r="AZ22" i="3"/>
  <c r="AZ26" i="3"/>
  <c r="BA25" i="3" s="1"/>
  <c r="CV30" i="3"/>
  <c r="CW29" i="3" s="1"/>
  <c r="CP37" i="3"/>
  <c r="BF7" i="3"/>
  <c r="BF34" i="3"/>
  <c r="BL43" i="3"/>
  <c r="BM42" i="3" s="1"/>
  <c r="BL38" i="3"/>
  <c r="BM37" i="3" s="1"/>
  <c r="BF38" i="3"/>
  <c r="BG37" i="3" s="1"/>
  <c r="BF26" i="3"/>
  <c r="BG25" i="3" s="1"/>
  <c r="BR38" i="3"/>
  <c r="BS37" i="3" s="1"/>
  <c r="CP34" i="3"/>
  <c r="BF70" i="3"/>
  <c r="BX67" i="3"/>
  <c r="CJ67" i="3"/>
  <c r="BL54" i="3"/>
  <c r="BM53" i="3" s="1"/>
  <c r="CP48" i="3"/>
  <c r="CQ47" i="3" s="1"/>
  <c r="CP56" i="3"/>
  <c r="CQ55" i="3" s="1"/>
  <c r="CD57" i="3"/>
  <c r="CE56" i="3" s="1"/>
  <c r="BF44" i="3"/>
  <c r="BG43" i="3" s="1"/>
  <c r="BH43" i="3" s="1"/>
  <c r="CV32" i="3"/>
  <c r="CV63" i="3"/>
  <c r="AZ13" i="3"/>
  <c r="BA12" i="3" s="1"/>
  <c r="BX21" i="3"/>
  <c r="BY20" i="3" s="1"/>
  <c r="BL30" i="3"/>
  <c r="BM29" i="3" s="1"/>
  <c r="BL47" i="3"/>
  <c r="BM46" i="3" s="1"/>
  <c r="CV14" i="3"/>
  <c r="CW13" i="3" s="1"/>
  <c r="CJ23" i="3"/>
  <c r="CK22" i="3" s="1"/>
  <c r="CJ31" i="3"/>
  <c r="CK30" i="3" s="1"/>
  <c r="BR8" i="3"/>
  <c r="CJ45" i="3"/>
  <c r="CK44" i="3" s="1"/>
  <c r="CV18" i="3"/>
  <c r="BR31" i="3"/>
  <c r="BF40" i="3"/>
  <c r="CD46" i="3"/>
  <c r="CE45" i="3" s="1"/>
  <c r="CV33" i="3"/>
  <c r="CW32" i="3" s="1"/>
  <c r="CJ42" i="3"/>
  <c r="CK41" i="3" s="1"/>
  <c r="BR67" i="3"/>
  <c r="CJ66" i="3"/>
  <c r="BF59" i="3"/>
  <c r="BG58" i="3" s="1"/>
  <c r="BX51" i="3"/>
  <c r="BR44" i="3"/>
  <c r="CV52" i="3"/>
  <c r="CW51" i="3" s="1"/>
  <c r="AT53" i="3"/>
  <c r="CJ39" i="3"/>
  <c r="CK38" i="3" s="1"/>
  <c r="CV60" i="3"/>
  <c r="BL57" i="3"/>
  <c r="BM56" i="3" s="1"/>
  <c r="BX15" i="3"/>
  <c r="BY14" i="3" s="1"/>
  <c r="CV23" i="3"/>
  <c r="CW22" i="3" s="1"/>
  <c r="CV31" i="3"/>
  <c r="CW30" i="3" s="1"/>
  <c r="AZ61" i="3"/>
  <c r="BA60" i="3" s="1"/>
  <c r="BL17" i="3"/>
  <c r="BM16" i="3" s="1"/>
  <c r="BL25" i="3"/>
  <c r="BM24" i="3" s="1"/>
  <c r="BR10" i="3"/>
  <c r="CP28" i="3"/>
  <c r="AT18" i="3"/>
  <c r="AU17" i="3" s="1"/>
  <c r="AZ71" i="3"/>
  <c r="AZ74" i="3"/>
  <c r="BL69" i="3"/>
  <c r="CJ72" i="3"/>
  <c r="BR42" i="3"/>
  <c r="CJ49" i="3"/>
  <c r="CJ48" i="3"/>
  <c r="CK47" i="3" s="1"/>
  <c r="CJ37" i="3"/>
  <c r="CK36" i="3" s="1"/>
  <c r="CV54" i="3"/>
  <c r="CW53" i="3" s="1"/>
  <c r="BL49" i="3"/>
  <c r="AZ17" i="3"/>
  <c r="BA16" i="3" s="1"/>
  <c r="AZ25" i="3"/>
  <c r="BA24" i="3" s="1"/>
  <c r="BB24" i="3" s="1"/>
  <c r="AT36" i="3"/>
  <c r="BX18" i="3"/>
  <c r="BY17" i="3" s="1"/>
  <c r="BL27" i="3"/>
  <c r="AZ39" i="3"/>
  <c r="BA38" i="3" s="1"/>
  <c r="BX35" i="3"/>
  <c r="BY34" i="3" s="1"/>
  <c r="CD21" i="3"/>
  <c r="CP14" i="3"/>
  <c r="BX70" i="3"/>
  <c r="CD62" i="3"/>
  <c r="CD41" i="3"/>
  <c r="BR48" i="3"/>
  <c r="BS47" i="3" s="1"/>
  <c r="BL37" i="3"/>
  <c r="BL48" i="3"/>
  <c r="BM47" i="3" s="1"/>
  <c r="CV25" i="3"/>
  <c r="CW24" i="3" s="1"/>
  <c r="BF36" i="3"/>
  <c r="BG35" i="3" s="1"/>
  <c r="CJ27" i="3"/>
  <c r="BL41" i="3"/>
  <c r="BM40" i="3" s="1"/>
  <c r="BF31" i="3"/>
  <c r="BR19" i="3"/>
  <c r="BS18" i="3" s="1"/>
  <c r="BL74" i="3"/>
  <c r="BX66" i="3"/>
  <c r="CD58" i="3"/>
  <c r="CE57" i="3" s="1"/>
  <c r="CJ74" i="3"/>
  <c r="AT44" i="3"/>
  <c r="AU43" i="3" s="1"/>
  <c r="AT52" i="3"/>
  <c r="AU51" i="3" s="1"/>
  <c r="AV51" i="3" s="1"/>
  <c r="CP52" i="3"/>
  <c r="CV38" i="3"/>
  <c r="BF60" i="3"/>
  <c r="BG59" i="3" s="1"/>
  <c r="CD51" i="3"/>
  <c r="CE50" i="3" s="1"/>
  <c r="CV15" i="3"/>
  <c r="BL24" i="3"/>
  <c r="BM23" i="3" s="1"/>
  <c r="BL32" i="3"/>
  <c r="BM31" i="3" s="1"/>
  <c r="BL62" i="3"/>
  <c r="CJ17" i="3"/>
  <c r="CK16" i="3" s="1"/>
  <c r="CJ25" i="3"/>
  <c r="CK24" i="3" s="1"/>
  <c r="CD37" i="3"/>
  <c r="AT34" i="3"/>
  <c r="BL60" i="3"/>
  <c r="BM59" i="3" s="1"/>
  <c r="CP68" i="3"/>
  <c r="CQ67" i="3" s="1"/>
  <c r="CD71" i="3"/>
  <c r="AZ47" i="3"/>
  <c r="BA46" i="3" s="1"/>
  <c r="BR50" i="3"/>
  <c r="BS49" i="3" s="1"/>
  <c r="BX17" i="3"/>
  <c r="BY16" i="3" s="1"/>
  <c r="BF37" i="3"/>
  <c r="BF15" i="3"/>
  <c r="CP29" i="3"/>
  <c r="BX44" i="3"/>
  <c r="BY43" i="3" s="1"/>
  <c r="AT24" i="3"/>
  <c r="CP73" i="3"/>
  <c r="CQ72" i="3" s="1"/>
  <c r="BF64" i="3"/>
  <c r="BG63" i="3" s="1"/>
  <c r="AZ62" i="3"/>
  <c r="BA61" i="3" s="1"/>
  <c r="BX57" i="3"/>
  <c r="BY56" i="3" s="1"/>
  <c r="CV69" i="3"/>
  <c r="CW68" i="3" s="1"/>
  <c r="CJ62" i="3"/>
  <c r="AZ63" i="3"/>
  <c r="BF53" i="3"/>
  <c r="BG52" i="3" s="1"/>
  <c r="CV34" i="3"/>
  <c r="CW33" i="3" s="1"/>
  <c r="BX46" i="3"/>
  <c r="BY45" i="3" s="1"/>
  <c r="BZ45" i="3" s="1"/>
  <c r="BX11" i="3"/>
  <c r="BY10" i="3" s="1"/>
  <c r="BX19" i="3"/>
  <c r="BY18" i="3" s="1"/>
  <c r="CV27" i="3"/>
  <c r="CJ41" i="3"/>
  <c r="CK40" i="3" s="1"/>
  <c r="CV12" i="3"/>
  <c r="CW11" i="3" s="1"/>
  <c r="BL21" i="3"/>
  <c r="BM20" i="3" s="1"/>
  <c r="BL29" i="3"/>
  <c r="BM28" i="3" s="1"/>
  <c r="BR57" i="3"/>
  <c r="BS56" i="3" s="1"/>
  <c r="CV41" i="3"/>
  <c r="CW40" i="3" s="1"/>
  <c r="BR33" i="3"/>
  <c r="BS32" i="3" s="1"/>
  <c r="AT9" i="3"/>
  <c r="AU8" i="3" s="1"/>
  <c r="CD48" i="3"/>
  <c r="CE47" i="3" s="1"/>
  <c r="CP21" i="3"/>
  <c r="CQ20" i="3" s="1"/>
  <c r="CP36" i="3"/>
  <c r="CQ35" i="3" s="1"/>
  <c r="AT73" i="3"/>
  <c r="BL73" i="3"/>
  <c r="CJ61" i="3"/>
  <c r="CJ56" i="3"/>
  <c r="CK55" i="3" s="1"/>
  <c r="BX64" i="3"/>
  <c r="CD59" i="3"/>
  <c r="CE58" i="3" s="1"/>
  <c r="CV59" i="3"/>
  <c r="BF50" i="3"/>
  <c r="BG49" i="3" s="1"/>
  <c r="BX34" i="3"/>
  <c r="BY33" i="3" s="1"/>
  <c r="BL46" i="3"/>
  <c r="BM45" i="3" s="1"/>
  <c r="CV11" i="3"/>
  <c r="CW10" i="3" s="1"/>
  <c r="CX10" i="3" s="1"/>
  <c r="BL20" i="3"/>
  <c r="BL28" i="3"/>
  <c r="BM27" i="3" s="1"/>
  <c r="AZ44" i="3"/>
  <c r="BL13" i="3"/>
  <c r="BM12" i="3" s="1"/>
  <c r="CJ21" i="3"/>
  <c r="CK20" i="3" s="1"/>
  <c r="AZ30" i="3"/>
  <c r="BA29" i="3" s="1"/>
  <c r="CP60" i="3"/>
  <c r="BF42" i="3"/>
  <c r="BG41" i="3" s="1"/>
  <c r="CV9" i="3"/>
  <c r="CW8" i="3" s="1"/>
  <c r="BF17" i="3"/>
  <c r="BR45" i="3"/>
  <c r="BS44" i="3" s="1"/>
  <c r="CP20" i="3"/>
  <c r="CD42" i="3"/>
  <c r="CE41" i="3" s="1"/>
  <c r="BR71" i="3"/>
  <c r="AZ70" i="3"/>
  <c r="CD69" i="3"/>
  <c r="BX55" i="3"/>
  <c r="AZ49" i="3"/>
  <c r="CJ57" i="3"/>
  <c r="BX58" i="3"/>
  <c r="BY57" i="3" s="1"/>
  <c r="AZ46" i="3"/>
  <c r="BA45" i="3" s="1"/>
  <c r="CJ33" i="3"/>
  <c r="CK32" i="3" s="1"/>
  <c r="BX65" i="3"/>
  <c r="CJ12" i="3"/>
  <c r="CK11" i="3" s="1"/>
  <c r="AZ21" i="3"/>
  <c r="BA20" i="3" s="1"/>
  <c r="CV29" i="3"/>
  <c r="CW28" i="3" s="1"/>
  <c r="CV46" i="3"/>
  <c r="CW45" i="3" s="1"/>
  <c r="BX14" i="3"/>
  <c r="BY13" i="3" s="1"/>
  <c r="BX22" i="3"/>
  <c r="BL31" i="3"/>
  <c r="BM30" i="3" s="1"/>
  <c r="AT8" i="3"/>
  <c r="AT45" i="3"/>
  <c r="AU44" i="3" s="1"/>
  <c r="DA77" i="3"/>
  <c r="AX88" i="3" s="1"/>
  <c r="BK77" i="3"/>
  <c r="BQ77" i="3"/>
  <c r="BE77" i="3"/>
  <c r="AD36" i="4"/>
  <c r="AE36" i="4" s="1"/>
  <c r="Y63" i="8"/>
  <c r="Z63" i="8" s="1"/>
  <c r="AM67" i="4"/>
  <c r="AI65" i="4"/>
  <c r="AJ65" i="4" s="1"/>
  <c r="X45" i="4"/>
  <c r="AB24" i="6"/>
  <c r="AD25" i="6" s="1"/>
  <c r="AE25" i="6" s="1"/>
  <c r="AM20" i="7"/>
  <c r="W47" i="6"/>
  <c r="Y48" i="6" s="1"/>
  <c r="Z48" i="6" s="1"/>
  <c r="AB32" i="6"/>
  <c r="AC32" i="6" s="1"/>
  <c r="AI33" i="8"/>
  <c r="AJ33" i="8" s="1"/>
  <c r="AL37" i="6"/>
  <c r="AM37" i="6" s="1"/>
  <c r="AI56" i="4"/>
  <c r="AJ56" i="4" s="1"/>
  <c r="AC73" i="4"/>
  <c r="AG36" i="6"/>
  <c r="AI37" i="6" s="1"/>
  <c r="AJ37" i="6" s="1"/>
  <c r="AL24" i="6"/>
  <c r="AM24" i="6" s="1"/>
  <c r="AC19" i="7"/>
  <c r="AM73" i="4"/>
  <c r="AN58" i="4"/>
  <c r="AO58" i="4" s="1"/>
  <c r="AL7" i="4"/>
  <c r="AN8" i="4" s="1"/>
  <c r="AO8" i="4" s="1"/>
  <c r="AN60" i="4"/>
  <c r="AO60" i="4" s="1"/>
  <c r="AI81" i="4"/>
  <c r="AJ81" i="4" s="1"/>
  <c r="AL38" i="6"/>
  <c r="AN39" i="6" s="1"/>
  <c r="AO39" i="6" s="1"/>
  <c r="AD12" i="8"/>
  <c r="AE12" i="8" s="1"/>
  <c r="AB37" i="6"/>
  <c r="AD38" i="6" s="1"/>
  <c r="AE38" i="6" s="1"/>
  <c r="X59" i="4"/>
  <c r="AB8" i="6"/>
  <c r="AD9" i="6" s="1"/>
  <c r="AE9" i="6" s="1"/>
  <c r="AL26" i="6"/>
  <c r="AM26" i="6" s="1"/>
  <c r="AI18" i="7"/>
  <c r="AJ18" i="7" s="1"/>
  <c r="AB23" i="6"/>
  <c r="AD24" i="6" s="1"/>
  <c r="AE24" i="6" s="1"/>
  <c r="X48" i="4"/>
  <c r="AH67" i="4"/>
  <c r="AB22" i="6"/>
  <c r="AC22" i="6" s="1"/>
  <c r="AG4" i="6"/>
  <c r="AI5" i="6" s="1"/>
  <c r="AJ5" i="6" s="1"/>
  <c r="AM71" i="4"/>
  <c r="AG26" i="4"/>
  <c r="AH26" i="4" s="1"/>
  <c r="AB28" i="6"/>
  <c r="AD29" i="6" s="1"/>
  <c r="AE29" i="6" s="1"/>
  <c r="AG23" i="6"/>
  <c r="AH23" i="6" s="1"/>
  <c r="X32" i="4"/>
  <c r="Y33" i="4"/>
  <c r="Z33" i="4" s="1"/>
  <c r="AG3" i="7"/>
  <c r="AI4" i="7" s="1"/>
  <c r="AI78" i="4"/>
  <c r="AJ78" i="4" s="1"/>
  <c r="AM35" i="4"/>
  <c r="Y21" i="7"/>
  <c r="Z21" i="7" s="1"/>
  <c r="X20" i="7"/>
  <c r="Y58" i="4"/>
  <c r="Z58" i="4" s="1"/>
  <c r="AL45" i="6"/>
  <c r="AM45" i="6" s="1"/>
  <c r="AL44" i="6"/>
  <c r="AM44" i="6" s="1"/>
  <c r="AG35" i="6"/>
  <c r="AI36" i="6" s="1"/>
  <c r="AJ36" i="6" s="1"/>
  <c r="AL23" i="6"/>
  <c r="AM23" i="6" s="1"/>
  <c r="AI12" i="8"/>
  <c r="AJ12" i="8" s="1"/>
  <c r="AM11" i="8"/>
  <c r="BH64" i="1"/>
  <c r="BI64" i="1" s="1"/>
  <c r="BG81" i="1"/>
  <c r="W9" i="6"/>
  <c r="X9" i="6" s="1"/>
  <c r="AH6" i="4"/>
  <c r="AB12" i="6"/>
  <c r="AD13" i="6" s="1"/>
  <c r="AE13" i="6" s="1"/>
  <c r="BH87" i="1"/>
  <c r="AB7" i="4"/>
  <c r="AD8" i="4" s="1"/>
  <c r="AE8" i="4" s="1"/>
  <c r="AB21" i="4"/>
  <c r="AD22" i="4" s="1"/>
  <c r="AE22" i="4" s="1"/>
  <c r="Y5" i="4"/>
  <c r="Z5" i="4" s="1"/>
  <c r="AI15" i="4"/>
  <c r="AJ15" i="4" s="1"/>
  <c r="AB16" i="4"/>
  <c r="AD17" i="4" s="1"/>
  <c r="AE17" i="4" s="1"/>
  <c r="Y72" i="4"/>
  <c r="Z72" i="4" s="1"/>
  <c r="AG47" i="6"/>
  <c r="AH47" i="6" s="1"/>
  <c r="AB20" i="6"/>
  <c r="AC20" i="6" s="1"/>
  <c r="AG15" i="6"/>
  <c r="AH15" i="6" s="1"/>
  <c r="AG16" i="6"/>
  <c r="AI17" i="6" s="1"/>
  <c r="AJ17" i="6" s="1"/>
  <c r="AG12" i="6"/>
  <c r="AI13" i="6" s="1"/>
  <c r="AJ13" i="6" s="1"/>
  <c r="AN33" i="8"/>
  <c r="AO33" i="8" s="1"/>
  <c r="BG42" i="1"/>
  <c r="AG45" i="6"/>
  <c r="AI46" i="6" s="1"/>
  <c r="AJ46" i="6" s="1"/>
  <c r="AG20" i="6"/>
  <c r="AI21" i="6" s="1"/>
  <c r="AJ21" i="6" s="1"/>
  <c r="Y25" i="8"/>
  <c r="Z25" i="8" s="1"/>
  <c r="AD24" i="4"/>
  <c r="AE24" i="4" s="1"/>
  <c r="AG21" i="4"/>
  <c r="AH21" i="4" s="1"/>
  <c r="W16" i="4"/>
  <c r="X16" i="4" s="1"/>
  <c r="AB47" i="6"/>
  <c r="AC47" i="6" s="1"/>
  <c r="AB29" i="6"/>
  <c r="AC29" i="6" s="1"/>
  <c r="AL22" i="6"/>
  <c r="AM22" i="6" s="1"/>
  <c r="AB16" i="6"/>
  <c r="AD17" i="6" s="1"/>
  <c r="AE17" i="6" s="1"/>
  <c r="AL12" i="6"/>
  <c r="AN13" i="6" s="1"/>
  <c r="AO13" i="6" s="1"/>
  <c r="AL21" i="6"/>
  <c r="AM21" i="6" s="1"/>
  <c r="AL15" i="6"/>
  <c r="AN16" i="6" s="1"/>
  <c r="AO16" i="6" s="1"/>
  <c r="W3" i="6"/>
  <c r="X3" i="6" s="1"/>
  <c r="W9" i="7"/>
  <c r="X9" i="7" s="1"/>
  <c r="AC31" i="4"/>
  <c r="AL9" i="6"/>
  <c r="AN10" i="6" s="1"/>
  <c r="AL29" i="6"/>
  <c r="AN30" i="6" s="1"/>
  <c r="AO30" i="6" s="1"/>
  <c r="AG22" i="6"/>
  <c r="AI23" i="6" s="1"/>
  <c r="AJ23" i="6" s="1"/>
  <c r="AG24" i="6"/>
  <c r="AH24" i="6" s="1"/>
  <c r="AG26" i="6"/>
  <c r="AH26" i="6" s="1"/>
  <c r="AF14" i="2"/>
  <c r="AF50" i="2"/>
  <c r="AF24" i="2"/>
  <c r="AF46" i="2"/>
  <c r="AF23" i="2"/>
  <c r="AF45" i="2"/>
  <c r="AF22" i="2"/>
  <c r="AF61" i="2"/>
  <c r="AF60" i="2"/>
  <c r="AF35" i="2"/>
  <c r="AF10" i="2"/>
  <c r="AF13" i="2"/>
  <c r="AF59" i="2"/>
  <c r="AF34" i="2"/>
  <c r="AF8" i="2"/>
  <c r="AF36" i="2"/>
  <c r="AF51" i="2"/>
  <c r="AF26" i="2"/>
  <c r="AN48" i="3"/>
  <c r="AB59" i="3"/>
  <c r="AB17" i="3"/>
  <c r="H59" i="3"/>
  <c r="AN30" i="3"/>
  <c r="AB41" i="3"/>
  <c r="H39" i="3"/>
  <c r="AN26" i="3"/>
  <c r="AB38" i="3"/>
  <c r="H22" i="3"/>
  <c r="AN21" i="3"/>
  <c r="BH80" i="1"/>
  <c r="BG80" i="1"/>
  <c r="BG88" i="1"/>
  <c r="BH88" i="1"/>
  <c r="BG85" i="1"/>
  <c r="BG82" i="1"/>
  <c r="BH82" i="1"/>
  <c r="BG60" i="1"/>
  <c r="BG22" i="1"/>
  <c r="BH22" i="1"/>
  <c r="BI22" i="1" s="1"/>
  <c r="BH53" i="1"/>
  <c r="BI53" i="1" s="1"/>
  <c r="BH48" i="1"/>
  <c r="BI48" i="1" s="1"/>
  <c r="BH52" i="1"/>
  <c r="BI52" i="1" s="1"/>
  <c r="BH54" i="1"/>
  <c r="BI54" i="1" s="1"/>
  <c r="BH18" i="1"/>
  <c r="BI18" i="1" s="1"/>
  <c r="BH30" i="1"/>
  <c r="BI30" i="1" s="1"/>
  <c r="BG84" i="1"/>
  <c r="BH16" i="1"/>
  <c r="BI16" i="1" s="1"/>
  <c r="BH8" i="1"/>
  <c r="BF75" i="1"/>
  <c r="BG37" i="1"/>
  <c r="BH14" i="1"/>
  <c r="BI14" i="1" s="1"/>
  <c r="BH55" i="1"/>
  <c r="BI55" i="1" s="1"/>
  <c r="BG8" i="1"/>
  <c r="BH10" i="1"/>
  <c r="BI10" i="1" s="1"/>
  <c r="BH31" i="1"/>
  <c r="BI31" i="1" s="1"/>
  <c r="BH12" i="1"/>
  <c r="BI12" i="1" s="1"/>
  <c r="BH39" i="1"/>
  <c r="BI39" i="1" s="1"/>
  <c r="AB28" i="8"/>
  <c r="AD29" i="8" s="1"/>
  <c r="AE29" i="8" s="1"/>
  <c r="X34" i="8"/>
  <c r="AD33" i="8"/>
  <c r="AE33" i="8" s="1"/>
  <c r="AB30" i="8"/>
  <c r="AC30" i="8" s="1"/>
  <c r="AD18" i="8"/>
  <c r="AE18" i="8" s="1"/>
  <c r="W30" i="8"/>
  <c r="X30" i="8" s="1"/>
  <c r="AG30" i="8"/>
  <c r="AI31" i="8" s="1"/>
  <c r="AJ31" i="8" s="1"/>
  <c r="X21" i="8"/>
  <c r="AH3" i="8"/>
  <c r="AI38" i="8"/>
  <c r="AJ38" i="8" s="1"/>
  <c r="AN23" i="8"/>
  <c r="AO23" i="8" s="1"/>
  <c r="AD22" i="8"/>
  <c r="AE22" i="8" s="1"/>
  <c r="X37" i="8"/>
  <c r="AD60" i="8"/>
  <c r="AE60" i="8" s="1"/>
  <c r="AD24" i="8"/>
  <c r="AE24" i="8" s="1"/>
  <c r="AD38" i="8"/>
  <c r="AE38" i="8" s="1"/>
  <c r="AG29" i="8"/>
  <c r="AI30" i="8" s="1"/>
  <c r="AJ30" i="8" s="1"/>
  <c r="AL27" i="8"/>
  <c r="AM27" i="8" s="1"/>
  <c r="W29" i="8"/>
  <c r="X29" i="8" s="1"/>
  <c r="AG35" i="8"/>
  <c r="W35" i="8"/>
  <c r="AB35" i="8"/>
  <c r="AL35" i="8"/>
  <c r="AL29" i="8"/>
  <c r="AM29" i="8" s="1"/>
  <c r="AN35" i="8"/>
  <c r="AO35" i="8" s="1"/>
  <c r="AD39" i="8"/>
  <c r="AE39" i="8" s="1"/>
  <c r="X38" i="8"/>
  <c r="AG28" i="8"/>
  <c r="AI29" i="8" s="1"/>
  <c r="AJ29" i="8" s="1"/>
  <c r="AM59" i="8"/>
  <c r="AN63" i="8"/>
  <c r="AO63" i="8" s="1"/>
  <c r="AL28" i="8"/>
  <c r="AN29" i="8" s="1"/>
  <c r="AO29" i="8" s="1"/>
  <c r="AH34" i="8"/>
  <c r="AI35" i="8"/>
  <c r="AJ35" i="8" s="1"/>
  <c r="Y27" i="8"/>
  <c r="Z27" i="8" s="1"/>
  <c r="AN25" i="8"/>
  <c r="AO25" i="8" s="1"/>
  <c r="AM22" i="4"/>
  <c r="AN23" i="4"/>
  <c r="AO23" i="4" s="1"/>
  <c r="AL17" i="4"/>
  <c r="AN18" i="4" s="1"/>
  <c r="AO18" i="4" s="1"/>
  <c r="AD5" i="4"/>
  <c r="AE5" i="4" s="1"/>
  <c r="AL20" i="4"/>
  <c r="AG20" i="4"/>
  <c r="AB20" i="4"/>
  <c r="AL25" i="4"/>
  <c r="AM25" i="4" s="1"/>
  <c r="Y15" i="4"/>
  <c r="Z15" i="4" s="1"/>
  <c r="AI52" i="4"/>
  <c r="AJ52" i="4" s="1"/>
  <c r="AN7" i="4"/>
  <c r="AO7" i="4" s="1"/>
  <c r="X67" i="4"/>
  <c r="Y68" i="4"/>
  <c r="Z68" i="4" s="1"/>
  <c r="AC51" i="4"/>
  <c r="AL18" i="4"/>
  <c r="AG18" i="4"/>
  <c r="W25" i="4"/>
  <c r="Y26" i="4" s="1"/>
  <c r="Z26" i="4" s="1"/>
  <c r="Y21" i="4"/>
  <c r="Z21" i="4" s="1"/>
  <c r="AB24" i="4"/>
  <c r="AL24" i="4"/>
  <c r="W24" i="4"/>
  <c r="AG24" i="4"/>
  <c r="AB32" i="4"/>
  <c r="AL32" i="4"/>
  <c r="AG25" i="4"/>
  <c r="AI26" i="4" s="1"/>
  <c r="AJ26" i="4" s="1"/>
  <c r="W18" i="4"/>
  <c r="AB22" i="4"/>
  <c r="AG22" i="4"/>
  <c r="W22" i="4"/>
  <c r="AB18" i="4"/>
  <c r="AL31" i="4"/>
  <c r="W31" i="4"/>
  <c r="AG31" i="4"/>
  <c r="X29" i="4"/>
  <c r="Y30" i="4"/>
  <c r="Z30" i="4" s="1"/>
  <c r="AL29" i="4"/>
  <c r="AB29" i="4"/>
  <c r="AG29" i="4"/>
  <c r="AG7" i="4"/>
  <c r="AI8" i="4" s="1"/>
  <c r="AJ8" i="4" s="1"/>
  <c r="AG16" i="4"/>
  <c r="AH16" i="4" s="1"/>
  <c r="AD68" i="4"/>
  <c r="AE68" i="4" s="1"/>
  <c r="AC67" i="4"/>
  <c r="AG32" i="4"/>
  <c r="AG27" i="8"/>
  <c r="AI28" i="8" s="1"/>
  <c r="AJ28" i="8" s="1"/>
  <c r="AB26" i="8"/>
  <c r="AC26" i="8" s="1"/>
  <c r="Y60" i="8"/>
  <c r="Z60" i="8" s="1"/>
  <c r="AM6" i="8"/>
  <c r="Y23" i="8"/>
  <c r="Z23" i="8" s="1"/>
  <c r="AB9" i="8"/>
  <c r="AC9" i="8" s="1"/>
  <c r="AC27" i="8"/>
  <c r="AD28" i="8"/>
  <c r="AE28" i="8" s="1"/>
  <c r="AC16" i="8"/>
  <c r="AD17" i="8"/>
  <c r="AE17" i="8" s="1"/>
  <c r="AD41" i="8"/>
  <c r="AE41" i="8" s="1"/>
  <c r="AC18" i="8"/>
  <c r="AD19" i="8"/>
  <c r="AE19" i="8" s="1"/>
  <c r="AM14" i="8"/>
  <c r="AN15" i="8"/>
  <c r="AO15" i="8" s="1"/>
  <c r="AC56" i="8"/>
  <c r="AD57" i="8"/>
  <c r="AE57" i="8" s="1"/>
  <c r="AH57" i="8"/>
  <c r="AI58" i="8"/>
  <c r="AJ58" i="8" s="1"/>
  <c r="AM12" i="8"/>
  <c r="AN13" i="8"/>
  <c r="AO13" i="8" s="1"/>
  <c r="AC50" i="8"/>
  <c r="AD51" i="8"/>
  <c r="AE51" i="8" s="1"/>
  <c r="AH18" i="8"/>
  <c r="AI19" i="8"/>
  <c r="AJ19" i="8" s="1"/>
  <c r="AH39" i="8"/>
  <c r="AI40" i="8"/>
  <c r="AJ40" i="8" s="1"/>
  <c r="AC58" i="8"/>
  <c r="AD59" i="8"/>
  <c r="AE59" i="8" s="1"/>
  <c r="AC4" i="8"/>
  <c r="AD5" i="8"/>
  <c r="AE5" i="8" s="1"/>
  <c r="AC62" i="8"/>
  <c r="AD63" i="8"/>
  <c r="AE63" i="8" s="1"/>
  <c r="AH42" i="8"/>
  <c r="AI43" i="8"/>
  <c r="AJ43" i="8" s="1"/>
  <c r="AH53" i="8"/>
  <c r="AI54" i="8"/>
  <c r="AJ54" i="8" s="1"/>
  <c r="AM50" i="8"/>
  <c r="AN51" i="8"/>
  <c r="AO51" i="8" s="1"/>
  <c r="AH54" i="8"/>
  <c r="AI55" i="8"/>
  <c r="AJ55" i="8" s="1"/>
  <c r="AH60" i="8"/>
  <c r="AI61" i="8"/>
  <c r="AJ61" i="8" s="1"/>
  <c r="AH51" i="8"/>
  <c r="AI52" i="8"/>
  <c r="AJ52" i="8" s="1"/>
  <c r="AM58" i="8"/>
  <c r="AN59" i="8"/>
  <c r="AO59" i="8" s="1"/>
  <c r="AH6" i="8"/>
  <c r="AI7" i="8"/>
  <c r="AJ7" i="8" s="1"/>
  <c r="AM18" i="8"/>
  <c r="AN19" i="8"/>
  <c r="AO19" i="8" s="1"/>
  <c r="AM21" i="8"/>
  <c r="AN22" i="8"/>
  <c r="AO22" i="8" s="1"/>
  <c r="AH22" i="8"/>
  <c r="AI23" i="8"/>
  <c r="AJ23" i="8" s="1"/>
  <c r="AM49" i="8"/>
  <c r="AN50" i="8"/>
  <c r="AO50" i="8" s="1"/>
  <c r="AH41" i="8"/>
  <c r="AI42" i="8"/>
  <c r="AJ42" i="8" s="1"/>
  <c r="AH44" i="8"/>
  <c r="AI45" i="8"/>
  <c r="AJ45" i="8" s="1"/>
  <c r="AM55" i="8"/>
  <c r="AN56" i="8"/>
  <c r="AO56" i="8" s="1"/>
  <c r="AH10" i="8"/>
  <c r="AI11" i="8"/>
  <c r="AJ11" i="8" s="1"/>
  <c r="AC54" i="8"/>
  <c r="AD55" i="8"/>
  <c r="AE55" i="8" s="1"/>
  <c r="AH40" i="8"/>
  <c r="AI41" i="8"/>
  <c r="AJ41" i="8" s="1"/>
  <c r="AM31" i="8"/>
  <c r="AN32" i="8"/>
  <c r="AO32" i="8" s="1"/>
  <c r="W27" i="8"/>
  <c r="Y28" i="8" s="1"/>
  <c r="Z28" i="8" s="1"/>
  <c r="AM20" i="8"/>
  <c r="AN21" i="8"/>
  <c r="AO21" i="8" s="1"/>
  <c r="AC61" i="8"/>
  <c r="AD62" i="8"/>
  <c r="AE62" i="8" s="1"/>
  <c r="AH12" i="8"/>
  <c r="AI13" i="8"/>
  <c r="AJ13" i="8" s="1"/>
  <c r="AC24" i="8"/>
  <c r="AD25" i="8"/>
  <c r="AE25" i="8" s="1"/>
  <c r="Y24" i="8"/>
  <c r="Z24" i="8" s="1"/>
  <c r="X23" i="8"/>
  <c r="AG26" i="8"/>
  <c r="AC6" i="8"/>
  <c r="AD7" i="8"/>
  <c r="AE7" i="8" s="1"/>
  <c r="AC60" i="8"/>
  <c r="AD61" i="8"/>
  <c r="AE61" i="8" s="1"/>
  <c r="AH49" i="8"/>
  <c r="AI50" i="8"/>
  <c r="AJ50" i="8" s="1"/>
  <c r="AC53" i="8"/>
  <c r="AD54" i="8"/>
  <c r="AE54" i="8" s="1"/>
  <c r="AC55" i="8"/>
  <c r="AD56" i="8"/>
  <c r="AE56" i="8" s="1"/>
  <c r="AM40" i="8"/>
  <c r="AN41" i="8"/>
  <c r="AO41" i="8" s="1"/>
  <c r="AC51" i="8"/>
  <c r="AC45" i="8"/>
  <c r="AD46" i="8"/>
  <c r="AE46" i="8" s="1"/>
  <c r="AM46" i="8"/>
  <c r="AN47" i="8"/>
  <c r="AO47" i="8" s="1"/>
  <c r="AC29" i="8"/>
  <c r="AD30" i="8"/>
  <c r="AE30" i="8" s="1"/>
  <c r="AM52" i="8"/>
  <c r="AN53" i="8"/>
  <c r="AO53" i="8" s="1"/>
  <c r="AH20" i="8"/>
  <c r="AI21" i="8"/>
  <c r="AJ21" i="8" s="1"/>
  <c r="AM61" i="8"/>
  <c r="AN62" i="8"/>
  <c r="AO62" i="8" s="1"/>
  <c r="AH25" i="8"/>
  <c r="AI26" i="8"/>
  <c r="AJ26" i="8" s="1"/>
  <c r="AC22" i="8"/>
  <c r="AD23" i="8"/>
  <c r="AE23" i="8" s="1"/>
  <c r="AC49" i="8"/>
  <c r="AD50" i="8"/>
  <c r="AE50" i="8" s="1"/>
  <c r="AM45" i="8"/>
  <c r="AN46" i="8"/>
  <c r="AO46" i="8" s="1"/>
  <c r="AH17" i="8"/>
  <c r="AI18" i="8"/>
  <c r="AJ18" i="8" s="1"/>
  <c r="AM8" i="8"/>
  <c r="AN9" i="8"/>
  <c r="AH55" i="8"/>
  <c r="AI56" i="8"/>
  <c r="AJ56" i="8" s="1"/>
  <c r="AM9" i="8"/>
  <c r="AN10" i="8"/>
  <c r="AC43" i="8"/>
  <c r="AD44" i="8"/>
  <c r="AE44" i="8" s="1"/>
  <c r="AC52" i="8"/>
  <c r="AD53" i="8"/>
  <c r="AE53" i="8" s="1"/>
  <c r="AH31" i="8"/>
  <c r="AI32" i="8"/>
  <c r="AJ32" i="8" s="1"/>
  <c r="AH24" i="8"/>
  <c r="AI25" i="8"/>
  <c r="AJ25" i="8" s="1"/>
  <c r="AC5" i="8"/>
  <c r="AD6" i="8"/>
  <c r="AE6" i="8" s="1"/>
  <c r="AB25" i="8"/>
  <c r="W25" i="8"/>
  <c r="AL25" i="8"/>
  <c r="AC42" i="8"/>
  <c r="AD43" i="8"/>
  <c r="AE43" i="8" s="1"/>
  <c r="AM57" i="8"/>
  <c r="AN58" i="8"/>
  <c r="AO58" i="8" s="1"/>
  <c r="AH50" i="8"/>
  <c r="AI51" i="8"/>
  <c r="AJ51" i="8" s="1"/>
  <c r="AH21" i="8"/>
  <c r="AI22" i="8"/>
  <c r="AJ22" i="8" s="1"/>
  <c r="AM16" i="8"/>
  <c r="AN17" i="8"/>
  <c r="AO17" i="8" s="1"/>
  <c r="AC20" i="8"/>
  <c r="AD21" i="8"/>
  <c r="AE21" i="8" s="1"/>
  <c r="AH56" i="8"/>
  <c r="AI57" i="8"/>
  <c r="AJ57" i="8" s="1"/>
  <c r="AM54" i="8"/>
  <c r="AN55" i="8"/>
  <c r="AO55" i="8" s="1"/>
  <c r="AC31" i="8"/>
  <c r="AD32" i="8"/>
  <c r="AE32" i="8" s="1"/>
  <c r="AM17" i="8"/>
  <c r="AN18" i="8"/>
  <c r="AO18" i="8" s="1"/>
  <c r="AH16" i="8"/>
  <c r="AI17" i="8"/>
  <c r="AJ17" i="8" s="1"/>
  <c r="AC41" i="8"/>
  <c r="AD42" i="8"/>
  <c r="AE42" i="8" s="1"/>
  <c r="AM30" i="8"/>
  <c r="AN31" i="8"/>
  <c r="AO31" i="8" s="1"/>
  <c r="AC10" i="8"/>
  <c r="AD11" i="8"/>
  <c r="AE11" i="8" s="1"/>
  <c r="AH61" i="8"/>
  <c r="AI62" i="8"/>
  <c r="AJ62" i="8" s="1"/>
  <c r="AM23" i="8"/>
  <c r="AN24" i="8"/>
  <c r="AO24" i="8" s="1"/>
  <c r="AL26" i="8"/>
  <c r="AM56" i="8"/>
  <c r="AN57" i="8"/>
  <c r="AO57" i="8" s="1"/>
  <c r="AM4" i="8"/>
  <c r="AN5" i="8"/>
  <c r="AO5" i="8" s="1"/>
  <c r="AM42" i="8"/>
  <c r="AN43" i="8"/>
  <c r="AO43" i="8" s="1"/>
  <c r="AH23" i="8"/>
  <c r="AI24" i="8"/>
  <c r="AJ24" i="8" s="1"/>
  <c r="AM41" i="8"/>
  <c r="AN42" i="8"/>
  <c r="AO42" i="8" s="1"/>
  <c r="AH5" i="8"/>
  <c r="AI6" i="8"/>
  <c r="AJ6" i="8" s="1"/>
  <c r="AH14" i="8"/>
  <c r="AI15" i="8"/>
  <c r="AJ15" i="8" s="1"/>
  <c r="AH45" i="8"/>
  <c r="AI46" i="8"/>
  <c r="AJ46" i="8" s="1"/>
  <c r="AC57" i="8"/>
  <c r="AD58" i="8"/>
  <c r="AE58" i="8" s="1"/>
  <c r="AM53" i="8"/>
  <c r="AN54" i="8"/>
  <c r="AO54" i="8" s="1"/>
  <c r="AM10" i="8"/>
  <c r="AN11" i="8"/>
  <c r="AO11" i="8" s="1"/>
  <c r="AM60" i="8"/>
  <c r="AN61" i="8"/>
  <c r="AO61" i="8" s="1"/>
  <c r="AH52" i="8"/>
  <c r="AI53" i="8"/>
  <c r="AJ53" i="8" s="1"/>
  <c r="AH58" i="8"/>
  <c r="AI59" i="8"/>
  <c r="AJ59" i="8" s="1"/>
  <c r="AM47" i="8"/>
  <c r="AN48" i="8"/>
  <c r="AO48" i="8" s="1"/>
  <c r="AM5" i="8"/>
  <c r="AN6" i="8"/>
  <c r="AO6" i="8" s="1"/>
  <c r="AC8" i="7"/>
  <c r="AD9" i="7"/>
  <c r="AE9" i="7" s="1"/>
  <c r="AM29" i="7"/>
  <c r="AN30" i="7"/>
  <c r="AO30" i="7" s="1"/>
  <c r="AM22" i="7"/>
  <c r="AN23" i="7"/>
  <c r="AO23" i="7" s="1"/>
  <c r="AH36" i="7"/>
  <c r="AI37" i="7"/>
  <c r="AJ37" i="7" s="1"/>
  <c r="AC36" i="7"/>
  <c r="AD37" i="7"/>
  <c r="AE37" i="7" s="1"/>
  <c r="AM38" i="7"/>
  <c r="AN39" i="7"/>
  <c r="AO39" i="7" s="1"/>
  <c r="AC32" i="7"/>
  <c r="AD33" i="7"/>
  <c r="AE33" i="7" s="1"/>
  <c r="AH5" i="7"/>
  <c r="AI6" i="7"/>
  <c r="AJ6" i="7" s="1"/>
  <c r="AH25" i="7"/>
  <c r="AI26" i="7"/>
  <c r="AJ26" i="7" s="1"/>
  <c r="AM28" i="7"/>
  <c r="AN29" i="7"/>
  <c r="AO29" i="7" s="1"/>
  <c r="AH9" i="7"/>
  <c r="AI10" i="7"/>
  <c r="AJ10" i="7" s="1"/>
  <c r="AC18" i="7"/>
  <c r="AD19" i="7"/>
  <c r="AE19" i="7" s="1"/>
  <c r="AM10" i="7"/>
  <c r="AN11" i="7"/>
  <c r="AO11" i="7" s="1"/>
  <c r="AL7" i="7"/>
  <c r="AC29" i="7"/>
  <c r="AD30" i="7"/>
  <c r="AE30" i="7" s="1"/>
  <c r="AM40" i="7"/>
  <c r="AN41" i="7"/>
  <c r="AO41" i="7" s="1"/>
  <c r="AM31" i="7"/>
  <c r="AN32" i="7"/>
  <c r="AO32" i="7" s="1"/>
  <c r="AM16" i="7"/>
  <c r="AN17" i="7"/>
  <c r="AO17" i="7" s="1"/>
  <c r="AH13" i="7"/>
  <c r="AI14" i="7"/>
  <c r="AJ14" i="7" s="1"/>
  <c r="AC5" i="7"/>
  <c r="AD6" i="7"/>
  <c r="AE6" i="7" s="1"/>
  <c r="AC27" i="7"/>
  <c r="AD28" i="7"/>
  <c r="AE28" i="7" s="1"/>
  <c r="AC16" i="7"/>
  <c r="AD17" i="7"/>
  <c r="AE17" i="7" s="1"/>
  <c r="AC13" i="7"/>
  <c r="AD14" i="7"/>
  <c r="AE14" i="7" s="1"/>
  <c r="AC23" i="7"/>
  <c r="AD24" i="7"/>
  <c r="AE24" i="7" s="1"/>
  <c r="AM3" i="7"/>
  <c r="AN4" i="7"/>
  <c r="AM25" i="7"/>
  <c r="AN26" i="7"/>
  <c r="AO26" i="7" s="1"/>
  <c r="AM35" i="7"/>
  <c r="AN36" i="7"/>
  <c r="AO36" i="7" s="1"/>
  <c r="AM14" i="7"/>
  <c r="AN15" i="7"/>
  <c r="AO15" i="7" s="1"/>
  <c r="AM32" i="7"/>
  <c r="AN33" i="7"/>
  <c r="AO33" i="7" s="1"/>
  <c r="AM5" i="7"/>
  <c r="AN6" i="7"/>
  <c r="AO6" i="7" s="1"/>
  <c r="AH34" i="7"/>
  <c r="AI35" i="7"/>
  <c r="AJ35" i="7" s="1"/>
  <c r="AH16" i="7"/>
  <c r="AI17" i="7"/>
  <c r="AJ17" i="7" s="1"/>
  <c r="AH4" i="7"/>
  <c r="AI5" i="7"/>
  <c r="AJ5" i="7" s="1"/>
  <c r="AC4" i="7"/>
  <c r="AD5" i="7"/>
  <c r="AE5" i="7" s="1"/>
  <c r="AH31" i="7"/>
  <c r="AI32" i="7"/>
  <c r="AJ32" i="7" s="1"/>
  <c r="AM27" i="7"/>
  <c r="AN28" i="7"/>
  <c r="AO28" i="7" s="1"/>
  <c r="AH32" i="7"/>
  <c r="AI33" i="7"/>
  <c r="AJ33" i="7" s="1"/>
  <c r="AM4" i="7"/>
  <c r="AN5" i="7"/>
  <c r="AO5" i="7" s="1"/>
  <c r="AC22" i="7"/>
  <c r="AD23" i="7"/>
  <c r="AE23" i="7" s="1"/>
  <c r="AM30" i="7"/>
  <c r="AN31" i="7"/>
  <c r="AO31" i="7" s="1"/>
  <c r="AH39" i="7"/>
  <c r="AI40" i="7"/>
  <c r="AJ40" i="7" s="1"/>
  <c r="AC17" i="7"/>
  <c r="AD18" i="7"/>
  <c r="AE18" i="7" s="1"/>
  <c r="W8" i="7"/>
  <c r="X8" i="7" s="1"/>
  <c r="AH23" i="7"/>
  <c r="AI24" i="7"/>
  <c r="AJ24" i="7" s="1"/>
  <c r="AC34" i="7"/>
  <c r="AD35" i="7"/>
  <c r="AE35" i="7" s="1"/>
  <c r="AC31" i="7"/>
  <c r="AD32" i="7"/>
  <c r="AE32" i="7" s="1"/>
  <c r="AC15" i="7"/>
  <c r="AD16" i="7"/>
  <c r="AE16" i="7" s="1"/>
  <c r="AC35" i="7"/>
  <c r="AD36" i="7"/>
  <c r="AE36" i="7" s="1"/>
  <c r="AH33" i="7"/>
  <c r="AI34" i="7"/>
  <c r="AJ34" i="7" s="1"/>
  <c r="AM34" i="7"/>
  <c r="AN35" i="7"/>
  <c r="AO35" i="7" s="1"/>
  <c r="AH27" i="7"/>
  <c r="AI28" i="7"/>
  <c r="AJ28" i="7" s="1"/>
  <c r="AM18" i="7"/>
  <c r="AN19" i="7"/>
  <c r="AO19" i="7" s="1"/>
  <c r="AO25" i="7"/>
  <c r="AC30" i="7"/>
  <c r="AD31" i="7"/>
  <c r="AE31" i="7" s="1"/>
  <c r="AC24" i="7"/>
  <c r="AD25" i="7"/>
  <c r="AE25" i="7" s="1"/>
  <c r="AC11" i="7"/>
  <c r="AD12" i="7"/>
  <c r="AE12" i="7" s="1"/>
  <c r="AH40" i="7"/>
  <c r="AI41" i="7"/>
  <c r="AJ41" i="7" s="1"/>
  <c r="AM37" i="7"/>
  <c r="AN38" i="7"/>
  <c r="AO38" i="7" s="1"/>
  <c r="AH30" i="7"/>
  <c r="AI31" i="7"/>
  <c r="AJ31" i="7" s="1"/>
  <c r="AH26" i="7"/>
  <c r="AI27" i="7"/>
  <c r="AJ27" i="7" s="1"/>
  <c r="AH22" i="7"/>
  <c r="AI23" i="7"/>
  <c r="AJ23" i="7" s="1"/>
  <c r="AM39" i="7"/>
  <c r="AN40" i="7"/>
  <c r="AO40" i="7" s="1"/>
  <c r="AM15" i="7"/>
  <c r="AN16" i="7"/>
  <c r="AO16" i="7" s="1"/>
  <c r="AM13" i="7"/>
  <c r="AN14" i="7"/>
  <c r="AO14" i="7" s="1"/>
  <c r="AC39" i="7"/>
  <c r="AD40" i="7"/>
  <c r="AE40" i="7" s="1"/>
  <c r="AH11" i="7"/>
  <c r="AI12" i="7"/>
  <c r="AJ12" i="7" s="1"/>
  <c r="AH37" i="7"/>
  <c r="AI38" i="7"/>
  <c r="AJ38" i="7" s="1"/>
  <c r="AM26" i="7"/>
  <c r="AN27" i="7"/>
  <c r="AO27" i="7" s="1"/>
  <c r="AM42" i="7"/>
  <c r="AN43" i="7"/>
  <c r="AO43" i="7" s="1"/>
  <c r="AM17" i="7"/>
  <c r="AN18" i="7"/>
  <c r="AO18" i="7" s="1"/>
  <c r="AH29" i="7"/>
  <c r="AI30" i="7"/>
  <c r="AJ30" i="7" s="1"/>
  <c r="AC40" i="7"/>
  <c r="AD41" i="7"/>
  <c r="AE41" i="7" s="1"/>
  <c r="AC33" i="7"/>
  <c r="AD34" i="7"/>
  <c r="AE34" i="7" s="1"/>
  <c r="AH24" i="7"/>
  <c r="AI25" i="7"/>
  <c r="AJ25" i="7" s="1"/>
  <c r="AH10" i="7"/>
  <c r="AI11" i="7"/>
  <c r="AJ11" i="7" s="1"/>
  <c r="AC26" i="7"/>
  <c r="AD27" i="7"/>
  <c r="AE27" i="7" s="1"/>
  <c r="AC37" i="7"/>
  <c r="AD38" i="7"/>
  <c r="AE38" i="7" s="1"/>
  <c r="AM21" i="7"/>
  <c r="AN22" i="7"/>
  <c r="AO22" i="7" s="1"/>
  <c r="AH38" i="7"/>
  <c r="AI39" i="7"/>
  <c r="AJ39" i="7" s="1"/>
  <c r="AH28" i="7"/>
  <c r="AI29" i="7"/>
  <c r="AJ29" i="7" s="1"/>
  <c r="AC28" i="7"/>
  <c r="AD29" i="7"/>
  <c r="AE29" i="7" s="1"/>
  <c r="AC41" i="7"/>
  <c r="AD42" i="7"/>
  <c r="AE42" i="7" s="1"/>
  <c r="AM33" i="7"/>
  <c r="AN34" i="7"/>
  <c r="AO34" i="7" s="1"/>
  <c r="AH18" i="7"/>
  <c r="AI19" i="7"/>
  <c r="AJ19" i="7" s="1"/>
  <c r="AH15" i="7"/>
  <c r="AI16" i="7"/>
  <c r="AJ16" i="7" s="1"/>
  <c r="AH42" i="7"/>
  <c r="AI43" i="7"/>
  <c r="AJ43" i="7" s="1"/>
  <c r="AM36" i="7"/>
  <c r="AN37" i="7"/>
  <c r="AO37" i="7" s="1"/>
  <c r="AH35" i="7"/>
  <c r="AI36" i="7"/>
  <c r="AJ36" i="7" s="1"/>
  <c r="AC25" i="7"/>
  <c r="AD26" i="7"/>
  <c r="AE26" i="7" s="1"/>
  <c r="AM41" i="7"/>
  <c r="AN42" i="7"/>
  <c r="AO42" i="7" s="1"/>
  <c r="AC14" i="7"/>
  <c r="AD15" i="7"/>
  <c r="AE15" i="7" s="1"/>
  <c r="AC21" i="7"/>
  <c r="AD22" i="7"/>
  <c r="AE22" i="7" s="1"/>
  <c r="AC42" i="7"/>
  <c r="AD43" i="7"/>
  <c r="AE43" i="7" s="1"/>
  <c r="AC38" i="7"/>
  <c r="AD39" i="7"/>
  <c r="AE39" i="7" s="1"/>
  <c r="AM42" i="6"/>
  <c r="AN43" i="6"/>
  <c r="AO43" i="6" s="1"/>
  <c r="AD46" i="6"/>
  <c r="AE46" i="6" s="1"/>
  <c r="AC45" i="6"/>
  <c r="AC31" i="6"/>
  <c r="AD32" i="6"/>
  <c r="AE32" i="6" s="1"/>
  <c r="AI10" i="6"/>
  <c r="AJ10" i="6" s="1"/>
  <c r="AH9" i="6"/>
  <c r="AI33" i="6"/>
  <c r="AJ33" i="6" s="1"/>
  <c r="AH32" i="6"/>
  <c r="AN9" i="6"/>
  <c r="AO9" i="6" s="1"/>
  <c r="AM8" i="6"/>
  <c r="AD49" i="6"/>
  <c r="AE49" i="6" s="1"/>
  <c r="AC48" i="6"/>
  <c r="AI28" i="6"/>
  <c r="AJ28" i="6" s="1"/>
  <c r="AH27" i="6"/>
  <c r="AC26" i="6"/>
  <c r="AD27" i="6"/>
  <c r="AE27" i="6" s="1"/>
  <c r="AI41" i="6"/>
  <c r="AJ41" i="6" s="1"/>
  <c r="AH40" i="6"/>
  <c r="AD4" i="6"/>
  <c r="AE4" i="6" s="1"/>
  <c r="AC3" i="6"/>
  <c r="AB18" i="6"/>
  <c r="AL17" i="6"/>
  <c r="W34" i="6"/>
  <c r="X34" i="6" s="1"/>
  <c r="AL34" i="6"/>
  <c r="AB34" i="6"/>
  <c r="AG34" i="6"/>
  <c r="AG29" i="6"/>
  <c r="AG17" i="6"/>
  <c r="AI53" i="6"/>
  <c r="AJ53" i="6" s="1"/>
  <c r="AH52" i="6"/>
  <c r="W42" i="6"/>
  <c r="X42" i="6" s="1"/>
  <c r="AG21" i="6"/>
  <c r="AL18" i="6"/>
  <c r="AB17" i="6"/>
  <c r="AG37" i="6"/>
  <c r="AB25" i="6"/>
  <c r="AB4" i="6"/>
  <c r="AB43" i="6"/>
  <c r="X51" i="6"/>
  <c r="W40" i="6"/>
  <c r="Y41" i="6" s="1"/>
  <c r="Z41" i="6" s="1"/>
  <c r="W45" i="6"/>
  <c r="Y46" i="6" s="1"/>
  <c r="Z46" i="6" s="1"/>
  <c r="Y51" i="6"/>
  <c r="Z51" i="6" s="1"/>
  <c r="AL30" i="6"/>
  <c r="AB27" i="6"/>
  <c r="AL3" i="6"/>
  <c r="AL20" i="6"/>
  <c r="AG38" i="6"/>
  <c r="AG19" i="6"/>
  <c r="AI34" i="6"/>
  <c r="AJ34" i="6" s="1"/>
  <c r="AH33" i="6"/>
  <c r="AB15" i="6"/>
  <c r="AG28" i="6"/>
  <c r="AL46" i="6"/>
  <c r="AG25" i="6"/>
  <c r="AB35" i="6"/>
  <c r="AL48" i="6"/>
  <c r="AL4" i="6"/>
  <c r="AL40" i="6"/>
  <c r="AM52" i="6"/>
  <c r="AN53" i="6"/>
  <c r="AO53" i="6" s="1"/>
  <c r="AL31" i="6"/>
  <c r="AL43" i="6"/>
  <c r="AM50" i="6"/>
  <c r="AN51" i="6"/>
  <c r="AO51" i="6" s="1"/>
  <c r="AB14" i="6"/>
  <c r="AI52" i="6"/>
  <c r="AJ52" i="6" s="1"/>
  <c r="AH51" i="6"/>
  <c r="AG30" i="6"/>
  <c r="AB42" i="6"/>
  <c r="AL27" i="6"/>
  <c r="AG3" i="6"/>
  <c r="AG11" i="6"/>
  <c r="AB38" i="6"/>
  <c r="AB19" i="6"/>
  <c r="AB41" i="6"/>
  <c r="AL28" i="6"/>
  <c r="AG46" i="6"/>
  <c r="AB10" i="6"/>
  <c r="AL35" i="6"/>
  <c r="AG48" i="6"/>
  <c r="AL6" i="6"/>
  <c r="AB40" i="6"/>
  <c r="AG31" i="6"/>
  <c r="AL39" i="6"/>
  <c r="AB21" i="6"/>
  <c r="AL25" i="6"/>
  <c r="AG14" i="6"/>
  <c r="W27" i="6"/>
  <c r="Y28" i="6" s="1"/>
  <c r="Z28" i="6" s="1"/>
  <c r="W31" i="6"/>
  <c r="Y32" i="6" s="1"/>
  <c r="Z32" i="6" s="1"/>
  <c r="AC51" i="6"/>
  <c r="AD52" i="6"/>
  <c r="AE52" i="6" s="1"/>
  <c r="AB30" i="6"/>
  <c r="AG42" i="6"/>
  <c r="AL7" i="6"/>
  <c r="AB11" i="6"/>
  <c r="AG8" i="6"/>
  <c r="AL19" i="6"/>
  <c r="AL41" i="6"/>
  <c r="AB44" i="6"/>
  <c r="AB46" i="6"/>
  <c r="AG10" i="6"/>
  <c r="AL32" i="6"/>
  <c r="AG6" i="6"/>
  <c r="AC50" i="6"/>
  <c r="AD51" i="6"/>
  <c r="AE51" i="6" s="1"/>
  <c r="AB5" i="6"/>
  <c r="AG39" i="6"/>
  <c r="AB7" i="6"/>
  <c r="AL13" i="6"/>
  <c r="AG5" i="6"/>
  <c r="AD37" i="6"/>
  <c r="AE37" i="6" s="1"/>
  <c r="AC36" i="6"/>
  <c r="AG13" i="6"/>
  <c r="AL14" i="6"/>
  <c r="AG18" i="6"/>
  <c r="AN34" i="6"/>
  <c r="AO34" i="6" s="1"/>
  <c r="AM33" i="6"/>
  <c r="AC33" i="6"/>
  <c r="AD34" i="6"/>
  <c r="AE34" i="6" s="1"/>
  <c r="AC52" i="6"/>
  <c r="AD53" i="6"/>
  <c r="AE53" i="6" s="1"/>
  <c r="W8" i="6"/>
  <c r="X8" i="6" s="1"/>
  <c r="W32" i="6"/>
  <c r="Y33" i="6" s="1"/>
  <c r="Z33" i="6" s="1"/>
  <c r="AM51" i="6"/>
  <c r="AN52" i="6"/>
  <c r="AO52" i="6" s="1"/>
  <c r="AG7" i="6"/>
  <c r="AB13" i="6"/>
  <c r="AL11" i="6"/>
  <c r="AG41" i="6"/>
  <c r="AG44" i="6"/>
  <c r="AL16" i="6"/>
  <c r="AL10" i="6"/>
  <c r="AB6" i="6"/>
  <c r="AH50" i="6"/>
  <c r="AI51" i="6"/>
  <c r="AJ51" i="6" s="1"/>
  <c r="AL5" i="6"/>
  <c r="AB39" i="6"/>
  <c r="AN17" i="4"/>
  <c r="AO17" i="4" s="1"/>
  <c r="AM16" i="4"/>
  <c r="X7" i="4"/>
  <c r="Y8" i="4"/>
  <c r="Z8" i="4" s="1"/>
  <c r="AD18" i="4"/>
  <c r="AE18" i="4" s="1"/>
  <c r="AC17" i="4"/>
  <c r="Y11" i="4"/>
  <c r="Z11" i="4" s="1"/>
  <c r="X10" i="4"/>
  <c r="AH19" i="4"/>
  <c r="AI20" i="4"/>
  <c r="AJ20" i="4" s="1"/>
  <c r="AD57" i="4"/>
  <c r="AE57" i="4" s="1"/>
  <c r="AC56" i="4"/>
  <c r="AC68" i="4"/>
  <c r="AD69" i="4"/>
  <c r="AE69" i="4" s="1"/>
  <c r="AC15" i="4"/>
  <c r="AD16" i="4"/>
  <c r="AE16" i="4" s="1"/>
  <c r="AC63" i="4"/>
  <c r="AD64" i="4"/>
  <c r="AE64" i="4" s="1"/>
  <c r="Y69" i="4"/>
  <c r="Z69" i="4" s="1"/>
  <c r="X68" i="4"/>
  <c r="AI83" i="4"/>
  <c r="AJ83" i="4" s="1"/>
  <c r="AH82" i="4"/>
  <c r="AN77" i="4"/>
  <c r="AO77" i="4" s="1"/>
  <c r="AM76" i="4"/>
  <c r="AI75" i="4"/>
  <c r="AJ75" i="4" s="1"/>
  <c r="AH74" i="4"/>
  <c r="AI16" i="4"/>
  <c r="AJ16" i="4" s="1"/>
  <c r="AH15" i="4"/>
  <c r="AB3" i="4"/>
  <c r="W3" i="4"/>
  <c r="AI71" i="4"/>
  <c r="AJ71" i="4" s="1"/>
  <c r="AH70" i="4"/>
  <c r="Y70" i="4"/>
  <c r="Z70" i="4" s="1"/>
  <c r="X69" i="4"/>
  <c r="AC79" i="4"/>
  <c r="AD80" i="4"/>
  <c r="AE80" i="4" s="1"/>
  <c r="AH5" i="4"/>
  <c r="AI6" i="4"/>
  <c r="AJ6" i="4" s="1"/>
  <c r="Y66" i="4"/>
  <c r="Z66" i="4" s="1"/>
  <c r="X65" i="4"/>
  <c r="AI64" i="4"/>
  <c r="AJ64" i="4" s="1"/>
  <c r="AH63" i="4"/>
  <c r="AD54" i="4"/>
  <c r="AE54" i="4" s="1"/>
  <c r="AC53" i="4"/>
  <c r="AM82" i="4"/>
  <c r="AN83" i="4"/>
  <c r="AO83" i="4" s="1"/>
  <c r="AI67" i="4"/>
  <c r="AJ67" i="4" s="1"/>
  <c r="AH66" i="4"/>
  <c r="AM14" i="4"/>
  <c r="AN15" i="4"/>
  <c r="AO15" i="4" s="1"/>
  <c r="AM30" i="4"/>
  <c r="AN31" i="4"/>
  <c r="AO31" i="4" s="1"/>
  <c r="AM26" i="4"/>
  <c r="AN27" i="4"/>
  <c r="AO27" i="4" s="1"/>
  <c r="Y13" i="4"/>
  <c r="Z13" i="4" s="1"/>
  <c r="X12" i="4"/>
  <c r="AM70" i="4"/>
  <c r="AN71" i="4"/>
  <c r="AO71" i="4" s="1"/>
  <c r="AL10" i="4"/>
  <c r="AB8" i="4"/>
  <c r="AL8" i="4"/>
  <c r="AG8" i="4"/>
  <c r="W8" i="4"/>
  <c r="AD70" i="4"/>
  <c r="AE70" i="4" s="1"/>
  <c r="AC69" i="4"/>
  <c r="AH79" i="4"/>
  <c r="AI80" i="4"/>
  <c r="AJ80" i="4" s="1"/>
  <c r="AI55" i="4"/>
  <c r="AJ55" i="4" s="1"/>
  <c r="AH54" i="4"/>
  <c r="Y61" i="4"/>
  <c r="Z61" i="4" s="1"/>
  <c r="X60" i="4"/>
  <c r="AD6" i="4"/>
  <c r="AE6" i="4" s="1"/>
  <c r="AC5" i="4"/>
  <c r="AD66" i="4"/>
  <c r="AE66" i="4" s="1"/>
  <c r="AC65" i="4"/>
  <c r="AI59" i="4"/>
  <c r="AJ59" i="4" s="1"/>
  <c r="AH58" i="4"/>
  <c r="AH68" i="4"/>
  <c r="AI69" i="4"/>
  <c r="AJ69" i="4" s="1"/>
  <c r="AD83" i="4"/>
  <c r="AE83" i="4" s="1"/>
  <c r="AC82" i="4"/>
  <c r="AM62" i="4"/>
  <c r="AN63" i="4"/>
  <c r="AO63" i="4" s="1"/>
  <c r="AM66" i="4"/>
  <c r="AN67" i="4"/>
  <c r="AO67" i="4" s="1"/>
  <c r="Y75" i="4"/>
  <c r="Z75" i="4" s="1"/>
  <c r="X74" i="4"/>
  <c r="AI31" i="4"/>
  <c r="AJ31" i="4" s="1"/>
  <c r="AH30" i="4"/>
  <c r="AC12" i="4"/>
  <c r="AD13" i="4"/>
  <c r="AE13" i="4" s="1"/>
  <c r="AD82" i="4"/>
  <c r="AE82" i="4" s="1"/>
  <c r="AC81" i="4"/>
  <c r="AN64" i="4"/>
  <c r="AO64" i="4" s="1"/>
  <c r="AM63" i="4"/>
  <c r="AC76" i="4"/>
  <c r="AD77" i="4"/>
  <c r="AE77" i="4" s="1"/>
  <c r="AI10" i="4"/>
  <c r="AJ10" i="4" s="1"/>
  <c r="AH9" i="4"/>
  <c r="AM81" i="4"/>
  <c r="AN82" i="4"/>
  <c r="AO82" i="4" s="1"/>
  <c r="AD26" i="4"/>
  <c r="AE26" i="4" s="1"/>
  <c r="AC25" i="4"/>
  <c r="AM5" i="4"/>
  <c r="AN6" i="4"/>
  <c r="AO6" i="4" s="1"/>
  <c r="X70" i="4"/>
  <c r="Y71" i="4"/>
  <c r="Z71" i="4" s="1"/>
  <c r="AM78" i="4"/>
  <c r="AN79" i="4"/>
  <c r="AO79" i="4" s="1"/>
  <c r="AH60" i="4"/>
  <c r="AI61" i="4"/>
  <c r="AJ61" i="4" s="1"/>
  <c r="AI63" i="4"/>
  <c r="AJ63" i="4" s="1"/>
  <c r="AH62" i="4"/>
  <c r="X38" i="4"/>
  <c r="Y39" i="4"/>
  <c r="Z39" i="4" s="1"/>
  <c r="AM74" i="4"/>
  <c r="AN75" i="4"/>
  <c r="AO75" i="4" s="1"/>
  <c r="AG11" i="4"/>
  <c r="AB11" i="4"/>
  <c r="AL11" i="4"/>
  <c r="W11" i="4"/>
  <c r="W17" i="4"/>
  <c r="AD71" i="4"/>
  <c r="AE71" i="4" s="1"/>
  <c r="AC70" i="4"/>
  <c r="AG10" i="4"/>
  <c r="AM69" i="4"/>
  <c r="AN70" i="4"/>
  <c r="AO70" i="4" s="1"/>
  <c r="AN76" i="4"/>
  <c r="AO76" i="4" s="1"/>
  <c r="AM75" i="4"/>
  <c r="Y79" i="4"/>
  <c r="Z79" i="4" s="1"/>
  <c r="X78" i="4"/>
  <c r="Y55" i="4"/>
  <c r="Z55" i="4" s="1"/>
  <c r="X54" i="4"/>
  <c r="X19" i="4"/>
  <c r="Y20" i="4"/>
  <c r="Z20" i="4" s="1"/>
  <c r="AC60" i="4"/>
  <c r="AD61" i="4"/>
  <c r="AE61" i="4" s="1"/>
  <c r="AH56" i="4"/>
  <c r="AI57" i="4"/>
  <c r="AJ57" i="4" s="1"/>
  <c r="AI66" i="4"/>
  <c r="AJ66" i="4" s="1"/>
  <c r="AH65" i="4"/>
  <c r="X58" i="4"/>
  <c r="Y59" i="4"/>
  <c r="Z59" i="4" s="1"/>
  <c r="AM46" i="4"/>
  <c r="AN47" i="4"/>
  <c r="AO47" i="4" s="1"/>
  <c r="Y63" i="4"/>
  <c r="Z63" i="4" s="1"/>
  <c r="X62" i="4"/>
  <c r="AD75" i="4"/>
  <c r="AE75" i="4" s="1"/>
  <c r="AC74" i="4"/>
  <c r="AD31" i="4"/>
  <c r="AE31" i="4" s="1"/>
  <c r="AC30" i="4"/>
  <c r="AD35" i="4"/>
  <c r="AE35" i="4" s="1"/>
  <c r="AC34" i="4"/>
  <c r="AH12" i="4"/>
  <c r="AI13" i="4"/>
  <c r="AJ13" i="4" s="1"/>
  <c r="AJ7" i="4"/>
  <c r="X5" i="4"/>
  <c r="Y6" i="4"/>
  <c r="Z6" i="4" s="1"/>
  <c r="AC46" i="4"/>
  <c r="AD47" i="4"/>
  <c r="AE47" i="4" s="1"/>
  <c r="AB13" i="4"/>
  <c r="AG13" i="4"/>
  <c r="AL13" i="4"/>
  <c r="W13" i="4"/>
  <c r="AM9" i="4"/>
  <c r="AN10" i="4"/>
  <c r="AO10" i="4" s="1"/>
  <c r="AG17" i="4"/>
  <c r="X81" i="4"/>
  <c r="Y82" i="4"/>
  <c r="Z82" i="4" s="1"/>
  <c r="AB10" i="4"/>
  <c r="AH69" i="4"/>
  <c r="AI70" i="4"/>
  <c r="AJ70" i="4" s="1"/>
  <c r="AI79" i="4"/>
  <c r="AJ79" i="4" s="1"/>
  <c r="AH78" i="4"/>
  <c r="AD55" i="4"/>
  <c r="AE55" i="4" s="1"/>
  <c r="AC54" i="4"/>
  <c r="AD20" i="4"/>
  <c r="AE20" i="4" s="1"/>
  <c r="AC19" i="4"/>
  <c r="X56" i="4"/>
  <c r="Y57" i="4"/>
  <c r="Z57" i="4" s="1"/>
  <c r="X63" i="4"/>
  <c r="Y64" i="4"/>
  <c r="Z64" i="4" s="1"/>
  <c r="AM58" i="4"/>
  <c r="AN59" i="4"/>
  <c r="AO59" i="4" s="1"/>
  <c r="AI47" i="4"/>
  <c r="AJ47" i="4" s="1"/>
  <c r="AH46" i="4"/>
  <c r="AD63" i="4"/>
  <c r="AE63" i="4" s="1"/>
  <c r="AC62" i="4"/>
  <c r="Y77" i="4"/>
  <c r="Z77" i="4" s="1"/>
  <c r="X76" i="4"/>
  <c r="AC52" i="4"/>
  <c r="AD53" i="4"/>
  <c r="AE53" i="4" s="1"/>
  <c r="Y10" i="4"/>
  <c r="Z10" i="4" s="1"/>
  <c r="X9" i="4"/>
  <c r="AN16" i="4"/>
  <c r="AO16" i="4" s="1"/>
  <c r="AM15" i="4"/>
  <c r="AH75" i="4"/>
  <c r="AI76" i="4"/>
  <c r="AJ76" i="4" s="1"/>
  <c r="X82" i="4"/>
  <c r="Y83" i="4"/>
  <c r="Z83" i="4" s="1"/>
  <c r="AN80" i="4"/>
  <c r="AO80" i="4" s="1"/>
  <c r="AM79" i="4"/>
  <c r="X21" i="4"/>
  <c r="Y22" i="4"/>
  <c r="Z22" i="4" s="1"/>
  <c r="AN66" i="4"/>
  <c r="AO66" i="4" s="1"/>
  <c r="AM65" i="4"/>
  <c r="X66" i="4"/>
  <c r="Y67" i="4"/>
  <c r="Z67" i="4" s="1"/>
  <c r="Y76" i="4"/>
  <c r="Z76" i="4" s="1"/>
  <c r="X75" i="4"/>
  <c r="AM54" i="4"/>
  <c r="AN55" i="4"/>
  <c r="AO55" i="4" s="1"/>
  <c r="AN69" i="4"/>
  <c r="AO69" i="4" s="1"/>
  <c r="AM68" i="4"/>
  <c r="AD67" i="4"/>
  <c r="AE67" i="4" s="1"/>
  <c r="AC66" i="4"/>
  <c r="Y31" i="4"/>
  <c r="Z31" i="4" s="1"/>
  <c r="X30" i="4"/>
  <c r="AN13" i="4"/>
  <c r="AO13" i="4" s="1"/>
  <c r="AM12" i="4"/>
  <c r="AI82" i="4"/>
  <c r="AJ82" i="4" s="1"/>
  <c r="AH81" i="4"/>
  <c r="Y80" i="4"/>
  <c r="Z80" i="4" s="1"/>
  <c r="X79" i="4"/>
  <c r="AD76" i="4"/>
  <c r="AE76" i="4" s="1"/>
  <c r="AC75" i="4"/>
  <c r="AC78" i="4"/>
  <c r="AD79" i="4"/>
  <c r="AE79" i="4" s="1"/>
  <c r="AN20" i="4"/>
  <c r="AO20" i="4" s="1"/>
  <c r="AM19" i="4"/>
  <c r="AN61" i="4"/>
  <c r="AO61" i="4" s="1"/>
  <c r="AM60" i="4"/>
  <c r="AN57" i="4"/>
  <c r="AO57" i="4" s="1"/>
  <c r="AM56" i="4"/>
  <c r="AD59" i="4"/>
  <c r="AE59" i="4" s="1"/>
  <c r="AC58" i="4"/>
  <c r="Y47" i="4"/>
  <c r="Z47" i="4" s="1"/>
  <c r="X46" i="4"/>
  <c r="AN29" i="4"/>
  <c r="AO29" i="4" s="1"/>
  <c r="X6" i="4"/>
  <c r="Y7" i="4"/>
  <c r="Z7" i="4" s="1"/>
  <c r="AH76" i="4"/>
  <c r="AI77" i="4"/>
  <c r="AJ77" i="4" s="1"/>
  <c r="AH44" i="4"/>
  <c r="AI45" i="4"/>
  <c r="AJ45" i="4" s="1"/>
  <c r="AC36" i="4"/>
  <c r="AD37" i="4"/>
  <c r="AE37" i="4" s="1"/>
  <c r="AD10" i="4"/>
  <c r="AE10" i="4" s="1"/>
  <c r="AC9" i="4"/>
  <c r="X15" i="4"/>
  <c r="Y16" i="4"/>
  <c r="Z16" i="4" s="1"/>
  <c r="AJ5" i="8"/>
  <c r="X4" i="8"/>
  <c r="Y6" i="8"/>
  <c r="Z6" i="8" s="1"/>
  <c r="W9" i="8"/>
  <c r="Y10" i="8" s="1"/>
  <c r="Z10" i="8" s="1"/>
  <c r="X52" i="8"/>
  <c r="Y53" i="8"/>
  <c r="Z53" i="8" s="1"/>
  <c r="X51" i="8"/>
  <c r="Y52" i="8"/>
  <c r="Z52" i="8" s="1"/>
  <c r="X14" i="8"/>
  <c r="Y15" i="8"/>
  <c r="Z15" i="8" s="1"/>
  <c r="AC3" i="8"/>
  <c r="AB8" i="8"/>
  <c r="Y55" i="8"/>
  <c r="Z55" i="8" s="1"/>
  <c r="X54" i="8"/>
  <c r="Y7" i="8"/>
  <c r="Z7" i="8" s="1"/>
  <c r="X6" i="8"/>
  <c r="AO7" i="8"/>
  <c r="AL15" i="8"/>
  <c r="W15" i="8"/>
  <c r="AG15" i="8"/>
  <c r="AB15" i="8"/>
  <c r="X3" i="8"/>
  <c r="Y4" i="8"/>
  <c r="W7" i="8"/>
  <c r="AL7" i="8"/>
  <c r="AB7" i="8"/>
  <c r="AG7" i="8"/>
  <c r="AI8" i="8" s="1"/>
  <c r="X60" i="8"/>
  <c r="Y61" i="8"/>
  <c r="Z61" i="8" s="1"/>
  <c r="AG9" i="8"/>
  <c r="AM3" i="8"/>
  <c r="X55" i="8"/>
  <c r="Y56" i="8"/>
  <c r="Z56" i="8" s="1"/>
  <c r="Y58" i="8"/>
  <c r="Z58" i="8" s="1"/>
  <c r="X57" i="8"/>
  <c r="X53" i="8"/>
  <c r="Y54" i="8"/>
  <c r="Z54" i="8" s="1"/>
  <c r="W8" i="8"/>
  <c r="X41" i="8"/>
  <c r="Y59" i="8"/>
  <c r="Z59" i="8" s="1"/>
  <c r="X58" i="8"/>
  <c r="W19" i="8"/>
  <c r="AG19" i="8"/>
  <c r="AB19" i="8"/>
  <c r="AL19" i="8"/>
  <c r="Y57" i="8"/>
  <c r="Z57" i="8" s="1"/>
  <c r="X56" i="8"/>
  <c r="X28" i="8"/>
  <c r="Y29" i="8"/>
  <c r="Z29" i="8" s="1"/>
  <c r="Y50" i="8"/>
  <c r="Z50" i="8" s="1"/>
  <c r="X49" i="8"/>
  <c r="X17" i="8"/>
  <c r="Y18" i="8"/>
  <c r="Z18" i="8" s="1"/>
  <c r="Y47" i="8"/>
  <c r="Z47" i="8" s="1"/>
  <c r="X46" i="8"/>
  <c r="X10" i="8"/>
  <c r="Y11" i="8"/>
  <c r="Z11" i="8" s="1"/>
  <c r="AE13" i="8"/>
  <c r="X12" i="8"/>
  <c r="Y13" i="8"/>
  <c r="Z13" i="8" s="1"/>
  <c r="Y44" i="8"/>
  <c r="Z44" i="8" s="1"/>
  <c r="X43" i="8"/>
  <c r="X31" i="8"/>
  <c r="Y32" i="8"/>
  <c r="Z32" i="8" s="1"/>
  <c r="X61" i="8"/>
  <c r="Y62" i="8"/>
  <c r="Z62" i="8" s="1"/>
  <c r="Y48" i="8"/>
  <c r="Z48" i="8" s="1"/>
  <c r="X47" i="8"/>
  <c r="W13" i="8"/>
  <c r="AL13" i="8"/>
  <c r="AB13" i="8"/>
  <c r="AG13" i="8"/>
  <c r="Y43" i="8"/>
  <c r="Z43" i="8" s="1"/>
  <c r="X42" i="8"/>
  <c r="AG8" i="8"/>
  <c r="Y51" i="8"/>
  <c r="Z51" i="8" s="1"/>
  <c r="X50" i="8"/>
  <c r="Y17" i="8"/>
  <c r="Z17" i="8" s="1"/>
  <c r="X16" i="8"/>
  <c r="X63" i="8"/>
  <c r="Y41" i="8"/>
  <c r="Z41" i="8" s="1"/>
  <c r="X39" i="8"/>
  <c r="Y40" i="8"/>
  <c r="Z40" i="8" s="1"/>
  <c r="Y21" i="8"/>
  <c r="Z21" i="8" s="1"/>
  <c r="X20" i="8"/>
  <c r="AG7" i="7"/>
  <c r="AB9" i="7"/>
  <c r="AB7" i="7"/>
  <c r="Y8" i="7"/>
  <c r="Z8" i="7" s="1"/>
  <c r="X7" i="7"/>
  <c r="X18" i="7"/>
  <c r="Y19" i="7"/>
  <c r="Z19" i="7" s="1"/>
  <c r="Y14" i="7"/>
  <c r="Z14" i="7" s="1"/>
  <c r="X13" i="7"/>
  <c r="X23" i="7"/>
  <c r="Y24" i="7"/>
  <c r="Z24" i="7" s="1"/>
  <c r="AO24" i="7"/>
  <c r="X28" i="7"/>
  <c r="Y29" i="7"/>
  <c r="Z29" i="7" s="1"/>
  <c r="X33" i="7"/>
  <c r="Y34" i="7"/>
  <c r="Z34" i="7" s="1"/>
  <c r="Y30" i="7"/>
  <c r="Z30" i="7" s="1"/>
  <c r="X29" i="7"/>
  <c r="AB6" i="7"/>
  <c r="W6" i="7"/>
  <c r="Y18" i="7"/>
  <c r="Z18" i="7" s="1"/>
  <c r="X17" i="7"/>
  <c r="X39" i="7"/>
  <c r="Y40" i="7"/>
  <c r="Z40" i="7" s="1"/>
  <c r="X10" i="7"/>
  <c r="Y11" i="7"/>
  <c r="Z11" i="7" s="1"/>
  <c r="X27" i="7"/>
  <c r="Y28" i="7"/>
  <c r="Z28" i="7" s="1"/>
  <c r="X16" i="7"/>
  <c r="Y17" i="7"/>
  <c r="Z17" i="7" s="1"/>
  <c r="X4" i="7"/>
  <c r="Y5" i="7"/>
  <c r="Z5" i="7" s="1"/>
  <c r="AB3" i="7"/>
  <c r="X25" i="7"/>
  <c r="Y26" i="7"/>
  <c r="Z26" i="7" s="1"/>
  <c r="X40" i="7"/>
  <c r="Y41" i="7"/>
  <c r="Z41" i="7" s="1"/>
  <c r="X42" i="7"/>
  <c r="Y43" i="7"/>
  <c r="Z43" i="7" s="1"/>
  <c r="X34" i="7"/>
  <c r="Y35" i="7"/>
  <c r="Z35" i="7" s="1"/>
  <c r="X21" i="7"/>
  <c r="Y22" i="7"/>
  <c r="Z22" i="7" s="1"/>
  <c r="X38" i="7"/>
  <c r="Y39" i="7"/>
  <c r="Z39" i="7" s="1"/>
  <c r="Y32" i="7"/>
  <c r="Z32" i="7" s="1"/>
  <c r="X31" i="7"/>
  <c r="AJ22" i="7"/>
  <c r="W3" i="7"/>
  <c r="X26" i="7"/>
  <c r="Y27" i="7"/>
  <c r="Z27" i="7" s="1"/>
  <c r="X24" i="7"/>
  <c r="Y25" i="7"/>
  <c r="Z25" i="7" s="1"/>
  <c r="X37" i="7"/>
  <c r="Y38" i="7"/>
  <c r="Z38" i="7" s="1"/>
  <c r="X36" i="7"/>
  <c r="Y37" i="7"/>
  <c r="Z37" i="7" s="1"/>
  <c r="Y36" i="7"/>
  <c r="Z36" i="7" s="1"/>
  <c r="X35" i="7"/>
  <c r="X14" i="7"/>
  <c r="Y15" i="7"/>
  <c r="Z15" i="7" s="1"/>
  <c r="Y42" i="7"/>
  <c r="Z42" i="7" s="1"/>
  <c r="X41" i="7"/>
  <c r="Y16" i="7"/>
  <c r="Z16" i="7" s="1"/>
  <c r="X15" i="7"/>
  <c r="AJ42" i="7"/>
  <c r="X22" i="7"/>
  <c r="Y23" i="7"/>
  <c r="Z23" i="7" s="1"/>
  <c r="X32" i="7"/>
  <c r="Y33" i="7"/>
  <c r="Z33" i="7" s="1"/>
  <c r="X30" i="7"/>
  <c r="Y31" i="7"/>
  <c r="Z31" i="7" s="1"/>
  <c r="AL9" i="7"/>
  <c r="AL8" i="7"/>
  <c r="AG8" i="7"/>
  <c r="AL6" i="7"/>
  <c r="AG6" i="7"/>
  <c r="AG3" i="4"/>
  <c r="AL3" i="4"/>
  <c r="Y47" i="6"/>
  <c r="Z47" i="6" s="1"/>
  <c r="X46" i="6"/>
  <c r="Y40" i="6"/>
  <c r="Z40" i="6" s="1"/>
  <c r="X39" i="6"/>
  <c r="Y12" i="6"/>
  <c r="Z12" i="6" s="1"/>
  <c r="X11" i="6"/>
  <c r="X25" i="6"/>
  <c r="Y26" i="6"/>
  <c r="Z26" i="6" s="1"/>
  <c r="Y14" i="6"/>
  <c r="Z14" i="6" s="1"/>
  <c r="X13" i="6"/>
  <c r="Y8" i="6"/>
  <c r="Z8" i="6" s="1"/>
  <c r="X7" i="6"/>
  <c r="Y6" i="6"/>
  <c r="Z6" i="6" s="1"/>
  <c r="X5" i="6"/>
  <c r="Y15" i="6"/>
  <c r="Z15" i="6" s="1"/>
  <c r="X14" i="6"/>
  <c r="X18" i="6"/>
  <c r="Y19" i="6"/>
  <c r="Z19" i="6" s="1"/>
  <c r="X41" i="6"/>
  <c r="Y42" i="6"/>
  <c r="Z42" i="6" s="1"/>
  <c r="Y5" i="6"/>
  <c r="Z5" i="6" s="1"/>
  <c r="X4" i="6"/>
  <c r="Y24" i="6"/>
  <c r="Z24" i="6" s="1"/>
  <c r="X23" i="6"/>
  <c r="Y20" i="6"/>
  <c r="Z20" i="6" s="1"/>
  <c r="X19" i="6"/>
  <c r="Y44" i="6"/>
  <c r="Z44" i="6" s="1"/>
  <c r="X43" i="6"/>
  <c r="Y7" i="6"/>
  <c r="Z7" i="6" s="1"/>
  <c r="X6" i="6"/>
  <c r="X10" i="6"/>
  <c r="Y11" i="6"/>
  <c r="Z11" i="6" s="1"/>
  <c r="Y13" i="6"/>
  <c r="Z13" i="6" s="1"/>
  <c r="X12" i="6"/>
  <c r="Y21" i="6"/>
  <c r="Z21" i="6" s="1"/>
  <c r="X20" i="6"/>
  <c r="Y29" i="6"/>
  <c r="Z29" i="6" s="1"/>
  <c r="X28" i="6"/>
  <c r="Y45" i="6"/>
  <c r="Z45" i="6" s="1"/>
  <c r="X44" i="6"/>
  <c r="Y23" i="6"/>
  <c r="Z23" i="6" s="1"/>
  <c r="X22" i="6"/>
  <c r="Y36" i="6"/>
  <c r="Z36" i="6" s="1"/>
  <c r="X35" i="6"/>
  <c r="Y16" i="6"/>
  <c r="Z16" i="6" s="1"/>
  <c r="X15" i="6"/>
  <c r="Y17" i="6"/>
  <c r="Z17" i="6" s="1"/>
  <c r="X16" i="6"/>
  <c r="Y30" i="6"/>
  <c r="Z30" i="6" s="1"/>
  <c r="X29" i="6"/>
  <c r="X24" i="6"/>
  <c r="Y25" i="6"/>
  <c r="Z25" i="6" s="1"/>
  <c r="Y22" i="6"/>
  <c r="Z22" i="6" s="1"/>
  <c r="X21" i="6"/>
  <c r="Y38" i="6"/>
  <c r="Z38" i="6" s="1"/>
  <c r="X37" i="6"/>
  <c r="Y31" i="6"/>
  <c r="Z31" i="6" s="1"/>
  <c r="X30" i="6"/>
  <c r="Y39" i="6"/>
  <c r="Z39" i="6" s="1"/>
  <c r="X38" i="6"/>
  <c r="X17" i="6"/>
  <c r="Y18" i="6"/>
  <c r="Z18" i="6" s="1"/>
  <c r="L8" i="3"/>
  <c r="L10" i="3"/>
  <c r="L46" i="3"/>
  <c r="L65" i="3"/>
  <c r="L18" i="3"/>
  <c r="L54" i="3"/>
  <c r="L28" i="3"/>
  <c r="L19" i="3"/>
  <c r="L56" i="3"/>
  <c r="L7" i="3"/>
  <c r="L27" i="3"/>
  <c r="L64" i="3"/>
  <c r="L36" i="3"/>
  <c r="L73" i="3"/>
  <c r="L37" i="3"/>
  <c r="L74" i="3"/>
  <c r="L9" i="3"/>
  <c r="L45" i="3"/>
  <c r="AJ63" i="3"/>
  <c r="AJ8" i="3"/>
  <c r="AJ17" i="3"/>
  <c r="AJ35" i="3"/>
  <c r="AJ45" i="3"/>
  <c r="AJ54" i="3"/>
  <c r="D71" i="3"/>
  <c r="D12" i="3"/>
  <c r="D24" i="3"/>
  <c r="D34" i="3"/>
  <c r="D43" i="3"/>
  <c r="D52" i="3"/>
  <c r="P12" i="3"/>
  <c r="P9" i="3"/>
  <c r="P18" i="3"/>
  <c r="P27" i="3"/>
  <c r="P37" i="3"/>
  <c r="P46" i="3"/>
  <c r="P55" i="3"/>
  <c r="P64" i="3"/>
  <c r="P73" i="3"/>
  <c r="P65" i="3"/>
  <c r="P58" i="3"/>
  <c r="P23" i="3"/>
  <c r="P41" i="3"/>
  <c r="P59" i="3"/>
  <c r="P10" i="3"/>
  <c r="P19" i="3"/>
  <c r="P29" i="3"/>
  <c r="P38" i="3"/>
  <c r="P47" i="3"/>
  <c r="P56" i="3"/>
  <c r="P74" i="3"/>
  <c r="P7" i="3"/>
  <c r="P11" i="3"/>
  <c r="P21" i="3"/>
  <c r="P30" i="3"/>
  <c r="P39" i="3"/>
  <c r="P48" i="3"/>
  <c r="P57" i="3"/>
  <c r="P66" i="3"/>
  <c r="P75" i="3"/>
  <c r="P13" i="3"/>
  <c r="P22" i="3"/>
  <c r="P31" i="3"/>
  <c r="P40" i="3"/>
  <c r="P49" i="3"/>
  <c r="P67" i="3"/>
  <c r="P14" i="3"/>
  <c r="P32" i="3"/>
  <c r="P50" i="3"/>
  <c r="P69" i="3"/>
  <c r="P15" i="3"/>
  <c r="P24" i="3"/>
  <c r="P33" i="3"/>
  <c r="P42" i="3"/>
  <c r="P51" i="3"/>
  <c r="P61" i="3"/>
  <c r="P70" i="3"/>
  <c r="P16" i="3"/>
  <c r="P25" i="3"/>
  <c r="P34" i="3"/>
  <c r="P43" i="3"/>
  <c r="P53" i="3"/>
  <c r="P62" i="3"/>
  <c r="P71" i="3"/>
  <c r="P8" i="3"/>
  <c r="P17" i="3"/>
  <c r="P26" i="3"/>
  <c r="P35" i="3"/>
  <c r="P45" i="3"/>
  <c r="P54" i="3"/>
  <c r="P63" i="3"/>
  <c r="P72" i="3"/>
  <c r="T30" i="3"/>
  <c r="T67" i="3"/>
  <c r="T38" i="3"/>
  <c r="T12" i="3"/>
  <c r="T39" i="3"/>
  <c r="T11" i="3"/>
  <c r="T47" i="3"/>
  <c r="T49" i="3"/>
  <c r="T20" i="3"/>
  <c r="T57" i="3"/>
  <c r="T21" i="3"/>
  <c r="T58" i="3"/>
  <c r="T29" i="3"/>
  <c r="T66" i="3"/>
  <c r="AF41" i="3"/>
  <c r="AF50" i="3"/>
  <c r="AF59" i="3"/>
  <c r="AF31" i="3"/>
  <c r="AF7" i="3"/>
  <c r="X67" i="3"/>
  <c r="X54" i="3"/>
  <c r="X42" i="3"/>
  <c r="X31" i="3"/>
  <c r="X17" i="3"/>
  <c r="AB72" i="3"/>
  <c r="AB61" i="3"/>
  <c r="AB51" i="3"/>
  <c r="AB40" i="3"/>
  <c r="AB30" i="3"/>
  <c r="AB20" i="3"/>
  <c r="AB9" i="3"/>
  <c r="X64" i="3"/>
  <c r="X52" i="3"/>
  <c r="X41" i="3"/>
  <c r="X27" i="3"/>
  <c r="X16" i="3"/>
  <c r="H68" i="3"/>
  <c r="H31" i="3"/>
  <c r="AN62" i="3"/>
  <c r="AN44" i="3"/>
  <c r="AN22" i="3"/>
  <c r="AB70" i="3"/>
  <c r="AB60" i="3"/>
  <c r="AB49" i="3"/>
  <c r="AB39" i="3"/>
  <c r="AB29" i="3"/>
  <c r="AB19" i="3"/>
  <c r="AB8" i="3"/>
  <c r="X63" i="3"/>
  <c r="X51" i="3"/>
  <c r="X40" i="3"/>
  <c r="X26" i="3"/>
  <c r="X15" i="3"/>
  <c r="H67" i="3"/>
  <c r="H30" i="3"/>
  <c r="X62" i="3"/>
  <c r="X36" i="3"/>
  <c r="AN39" i="3"/>
  <c r="AB57" i="3"/>
  <c r="AB37" i="3"/>
  <c r="AB27" i="3"/>
  <c r="X72" i="3"/>
  <c r="X60" i="3"/>
  <c r="X49" i="3"/>
  <c r="X35" i="3"/>
  <c r="X12" i="3"/>
  <c r="H57" i="3"/>
  <c r="H21" i="3"/>
  <c r="AN54" i="3"/>
  <c r="AN36" i="3"/>
  <c r="AN13" i="3"/>
  <c r="AB67" i="3"/>
  <c r="AB56" i="3"/>
  <c r="AB46" i="3"/>
  <c r="AB36" i="3"/>
  <c r="AB24" i="3"/>
  <c r="AB14" i="3"/>
  <c r="X71" i="3"/>
  <c r="X59" i="3"/>
  <c r="X46" i="3"/>
  <c r="X34" i="3"/>
  <c r="X23" i="3"/>
  <c r="X9" i="3"/>
  <c r="H49" i="3"/>
  <c r="H13" i="3"/>
  <c r="X24" i="3"/>
  <c r="AN12" i="3"/>
  <c r="AB55" i="3"/>
  <c r="AB23" i="3"/>
  <c r="X58" i="3"/>
  <c r="X33" i="3"/>
  <c r="X8" i="3"/>
  <c r="H12" i="3"/>
  <c r="X73" i="3"/>
  <c r="X50" i="3"/>
  <c r="X25" i="3"/>
  <c r="X14" i="3"/>
  <c r="AN58" i="3"/>
  <c r="AN16" i="3"/>
  <c r="AB68" i="3"/>
  <c r="AB47" i="3"/>
  <c r="AB15" i="3"/>
  <c r="AN53" i="3"/>
  <c r="AN35" i="3"/>
  <c r="AB65" i="3"/>
  <c r="AB45" i="3"/>
  <c r="AB33" i="3"/>
  <c r="AB13" i="3"/>
  <c r="X70" i="3"/>
  <c r="X44" i="3"/>
  <c r="X22" i="3"/>
  <c r="H48" i="3"/>
  <c r="AB7" i="3"/>
  <c r="AN50" i="3"/>
  <c r="AN31" i="3"/>
  <c r="AB64" i="3"/>
  <c r="AB54" i="3"/>
  <c r="AB43" i="3"/>
  <c r="AB32" i="3"/>
  <c r="AB22" i="3"/>
  <c r="X68" i="3"/>
  <c r="X55" i="3"/>
  <c r="X43" i="3"/>
  <c r="X32" i="3"/>
  <c r="H40" i="3"/>
  <c r="X15" i="2"/>
  <c r="X30" i="2"/>
  <c r="X56" i="2"/>
  <c r="X33" i="2"/>
  <c r="X57" i="2"/>
  <c r="X18" i="2"/>
  <c r="X70" i="2"/>
  <c r="X48" i="2"/>
  <c r="X29" i="2"/>
  <c r="X9" i="2"/>
  <c r="X38" i="2"/>
  <c r="X61" i="2"/>
  <c r="X66" i="2"/>
  <c r="X20" i="2"/>
  <c r="X23" i="2"/>
  <c r="X52" i="2"/>
  <c r="X13" i="2"/>
  <c r="X39" i="2"/>
  <c r="X65" i="2"/>
  <c r="X42" i="2"/>
  <c r="X47" i="2"/>
  <c r="P11" i="2"/>
  <c r="P16" i="2"/>
  <c r="P57" i="2"/>
  <c r="P24" i="2"/>
  <c r="P64" i="2"/>
  <c r="P25" i="2"/>
  <c r="P72" i="2"/>
  <c r="P40" i="2"/>
  <c r="P41" i="2"/>
  <c r="P48" i="2"/>
  <c r="P56" i="2"/>
  <c r="P32" i="2"/>
  <c r="P73" i="2"/>
  <c r="P8" i="2"/>
  <c r="P9" i="2"/>
  <c r="AB18" i="2"/>
  <c r="AB54" i="2"/>
  <c r="AB19" i="2"/>
  <c r="AB55" i="2"/>
  <c r="AB36" i="2"/>
  <c r="AB46" i="2"/>
  <c r="AB27" i="2"/>
  <c r="AB63" i="2"/>
  <c r="AB37" i="2"/>
  <c r="AB45" i="2"/>
  <c r="AB28" i="2"/>
  <c r="AB64" i="2"/>
  <c r="AB8" i="2"/>
  <c r="AB10" i="2"/>
  <c r="T16" i="2"/>
  <c r="T36" i="2"/>
  <c r="T68" i="2"/>
  <c r="T37" i="2"/>
  <c r="T74" i="2"/>
  <c r="T12" i="2"/>
  <c r="T55" i="2"/>
  <c r="T21" i="2"/>
  <c r="T28" i="2"/>
  <c r="T42" i="2"/>
  <c r="T50" i="2"/>
  <c r="T48" i="2"/>
  <c r="T20" i="2"/>
  <c r="T61" i="2"/>
  <c r="T63" i="2"/>
  <c r="AJ40" i="2"/>
  <c r="AJ13" i="2"/>
  <c r="D56" i="2"/>
  <c r="D10" i="2"/>
  <c r="AJ39" i="2"/>
  <c r="AJ21" i="2"/>
  <c r="D55" i="2"/>
  <c r="D27" i="2"/>
  <c r="AJ65" i="2"/>
  <c r="AJ38" i="2"/>
  <c r="AJ10" i="2"/>
  <c r="D72" i="2"/>
  <c r="D44" i="2"/>
  <c r="D8" i="2"/>
  <c r="AJ9" i="2"/>
  <c r="AJ63" i="2"/>
  <c r="AJ54" i="2"/>
  <c r="AJ45" i="2"/>
  <c r="AJ35" i="2"/>
  <c r="AJ26" i="2"/>
  <c r="AJ17" i="2"/>
  <c r="AJ8" i="2"/>
  <c r="AF55" i="2"/>
  <c r="AF44" i="2"/>
  <c r="AF32" i="2"/>
  <c r="AF19" i="2"/>
  <c r="L28" i="2"/>
  <c r="D70" i="2"/>
  <c r="D60" i="2"/>
  <c r="D51" i="2"/>
  <c r="D42" i="2"/>
  <c r="D33" i="2"/>
  <c r="D24" i="2"/>
  <c r="D15" i="2"/>
  <c r="AJ58" i="2"/>
  <c r="AJ31" i="2"/>
  <c r="D65" i="2"/>
  <c r="D47" i="2"/>
  <c r="D19" i="2"/>
  <c r="AJ48" i="2"/>
  <c r="AJ30" i="2"/>
  <c r="D64" i="2"/>
  <c r="D36" i="2"/>
  <c r="D9" i="2"/>
  <c r="AJ47" i="2"/>
  <c r="AJ19" i="2"/>
  <c r="D54" i="2"/>
  <c r="D26" i="2"/>
  <c r="AJ55" i="2"/>
  <c r="AJ37" i="2"/>
  <c r="AJ18" i="2"/>
  <c r="D71" i="2"/>
  <c r="D52" i="2"/>
  <c r="D43" i="2"/>
  <c r="D25" i="2"/>
  <c r="AJ62" i="2"/>
  <c r="AJ53" i="2"/>
  <c r="AJ43" i="2"/>
  <c r="AJ34" i="2"/>
  <c r="AJ25" i="2"/>
  <c r="AJ16" i="2"/>
  <c r="AF68" i="2"/>
  <c r="AF54" i="2"/>
  <c r="AF43" i="2"/>
  <c r="AF31" i="2"/>
  <c r="AF18" i="2"/>
  <c r="L12" i="2"/>
  <c r="D68" i="2"/>
  <c r="D59" i="2"/>
  <c r="D50" i="2"/>
  <c r="D41" i="2"/>
  <c r="D32" i="2"/>
  <c r="D23" i="2"/>
  <c r="D14" i="2"/>
  <c r="AJ49" i="2"/>
  <c r="AJ22" i="2"/>
  <c r="D74" i="2"/>
  <c r="D38" i="2"/>
  <c r="D28" i="2"/>
  <c r="AJ57" i="2"/>
  <c r="AJ11" i="2"/>
  <c r="D73" i="2"/>
  <c r="D46" i="2"/>
  <c r="D18" i="2"/>
  <c r="AJ29" i="2"/>
  <c r="L60" i="2"/>
  <c r="D63" i="2"/>
  <c r="D35" i="2"/>
  <c r="D17" i="2"/>
  <c r="AJ64" i="2"/>
  <c r="AJ46" i="2"/>
  <c r="AJ27" i="2"/>
  <c r="L44" i="2"/>
  <c r="D62" i="2"/>
  <c r="D34" i="2"/>
  <c r="D16" i="2"/>
  <c r="AJ61" i="2"/>
  <c r="AJ51" i="2"/>
  <c r="AJ42" i="2"/>
  <c r="AJ33" i="2"/>
  <c r="AJ24" i="2"/>
  <c r="AJ15" i="2"/>
  <c r="AF64" i="2"/>
  <c r="AF53" i="2"/>
  <c r="AF42" i="2"/>
  <c r="AF28" i="2"/>
  <c r="AF16" i="2"/>
  <c r="L74" i="2"/>
  <c r="D67" i="2"/>
  <c r="D58" i="2"/>
  <c r="D49" i="2"/>
  <c r="D40" i="2"/>
  <c r="D31" i="2"/>
  <c r="D22" i="2"/>
  <c r="D12" i="2"/>
  <c r="AJ56" i="2"/>
  <c r="AJ59" i="2"/>
  <c r="AJ50" i="2"/>
  <c r="AJ41" i="2"/>
  <c r="AJ32" i="2"/>
  <c r="AJ23" i="2"/>
  <c r="AJ14" i="2"/>
  <c r="AF63" i="2"/>
  <c r="AF52" i="2"/>
  <c r="AF40" i="2"/>
  <c r="AF27" i="2"/>
  <c r="D7" i="2"/>
  <c r="D66" i="2"/>
  <c r="D57" i="2"/>
  <c r="D48" i="2"/>
  <c r="D39" i="2"/>
  <c r="D30" i="2"/>
  <c r="D20" i="2"/>
  <c r="D11" i="2"/>
  <c r="J33" i="4"/>
  <c r="W2" i="1"/>
  <c r="X25" i="1" s="1"/>
  <c r="Y25" i="1" s="1"/>
  <c r="H2" i="1"/>
  <c r="I68" i="1" s="1"/>
  <c r="J68" i="1" s="1"/>
  <c r="AL2" i="1"/>
  <c r="AM36" i="1" s="1"/>
  <c r="AN36" i="1" s="1"/>
  <c r="R2" i="1"/>
  <c r="S38" i="1" s="1"/>
  <c r="T38" i="1" s="1"/>
  <c r="M2" i="1"/>
  <c r="N68" i="1" s="1"/>
  <c r="O68" i="1" s="1"/>
  <c r="AB2" i="1"/>
  <c r="AC30" i="1" s="1"/>
  <c r="AD30" i="1" s="1"/>
  <c r="AG2" i="1"/>
  <c r="AH52" i="1" s="1"/>
  <c r="AI52" i="1" s="1"/>
  <c r="AF8" i="3"/>
  <c r="AF16" i="3"/>
  <c r="AF24" i="3"/>
  <c r="AF32" i="3"/>
  <c r="AF40" i="3"/>
  <c r="AF48" i="3"/>
  <c r="AF56" i="3"/>
  <c r="AF64" i="3"/>
  <c r="AF9" i="3"/>
  <c r="AF18" i="3"/>
  <c r="AF27" i="3"/>
  <c r="AF36" i="3"/>
  <c r="AF45" i="3"/>
  <c r="AF54" i="3"/>
  <c r="AF63" i="3"/>
  <c r="AF39" i="3"/>
  <c r="AF10" i="3"/>
  <c r="AF19" i="3"/>
  <c r="AF28" i="3"/>
  <c r="AF37" i="3"/>
  <c r="AF46" i="3"/>
  <c r="AF55" i="3"/>
  <c r="AF65" i="3"/>
  <c r="AF30" i="3"/>
  <c r="AF67" i="3"/>
  <c r="AF11" i="3"/>
  <c r="AF20" i="3"/>
  <c r="AF29" i="3"/>
  <c r="AF38" i="3"/>
  <c r="AF47" i="3"/>
  <c r="AF57" i="3"/>
  <c r="AF66" i="3"/>
  <c r="AF58" i="3"/>
  <c r="AF14" i="3"/>
  <c r="AF23" i="3"/>
  <c r="AF33" i="3"/>
  <c r="AF42" i="3"/>
  <c r="AF51" i="3"/>
  <c r="AF60" i="3"/>
  <c r="AF15" i="3"/>
  <c r="AF25" i="3"/>
  <c r="AF34" i="3"/>
  <c r="AF43" i="3"/>
  <c r="AF52" i="3"/>
  <c r="AF61" i="3"/>
  <c r="AF68" i="3"/>
  <c r="AF17" i="3"/>
  <c r="AF26" i="3"/>
  <c r="AF35" i="3"/>
  <c r="AF44" i="3"/>
  <c r="AF53" i="3"/>
  <c r="AF62" i="3"/>
  <c r="AF12" i="3"/>
  <c r="AF21" i="3"/>
  <c r="AF49" i="3"/>
  <c r="AF22" i="3"/>
  <c r="D13" i="3"/>
  <c r="D21" i="3"/>
  <c r="D29" i="3"/>
  <c r="D37" i="3"/>
  <c r="D45" i="3"/>
  <c r="D53" i="3"/>
  <c r="D61" i="3"/>
  <c r="D69" i="3"/>
  <c r="D14" i="3"/>
  <c r="D22" i="3"/>
  <c r="D30" i="3"/>
  <c r="D8" i="3"/>
  <c r="D18" i="3"/>
  <c r="D28" i="3"/>
  <c r="D39" i="3"/>
  <c r="D48" i="3"/>
  <c r="D57" i="3"/>
  <c r="D66" i="3"/>
  <c r="D42" i="3"/>
  <c r="D9" i="3"/>
  <c r="D19" i="3"/>
  <c r="D31" i="3"/>
  <c r="D40" i="3"/>
  <c r="D49" i="3"/>
  <c r="D58" i="3"/>
  <c r="D67" i="3"/>
  <c r="D7" i="3"/>
  <c r="D23" i="3"/>
  <c r="D10" i="3"/>
  <c r="D20" i="3"/>
  <c r="D32" i="3"/>
  <c r="D41" i="3"/>
  <c r="D50" i="3"/>
  <c r="D59" i="3"/>
  <c r="D68" i="3"/>
  <c r="D33" i="3"/>
  <c r="D15" i="3"/>
  <c r="D25" i="3"/>
  <c r="D35" i="3"/>
  <c r="D44" i="3"/>
  <c r="D54" i="3"/>
  <c r="D63" i="3"/>
  <c r="D72" i="3"/>
  <c r="D16" i="3"/>
  <c r="D26" i="3"/>
  <c r="D36" i="3"/>
  <c r="D46" i="3"/>
  <c r="D55" i="3"/>
  <c r="D64" i="3"/>
  <c r="D73" i="3"/>
  <c r="D17" i="3"/>
  <c r="D27" i="3"/>
  <c r="D38" i="3"/>
  <c r="D47" i="3"/>
  <c r="D56" i="3"/>
  <c r="D65" i="3"/>
  <c r="D74" i="3"/>
  <c r="D11" i="3"/>
  <c r="D51" i="3"/>
  <c r="D60" i="3"/>
  <c r="D70" i="3"/>
  <c r="AJ12" i="3"/>
  <c r="AJ20" i="3"/>
  <c r="AJ28" i="3"/>
  <c r="AJ36" i="3"/>
  <c r="AJ44" i="3"/>
  <c r="AJ52" i="3"/>
  <c r="AJ60" i="3"/>
  <c r="AJ13" i="3"/>
  <c r="AJ22" i="3"/>
  <c r="AJ31" i="3"/>
  <c r="AJ40" i="3"/>
  <c r="AJ49" i="3"/>
  <c r="AJ58" i="3"/>
  <c r="AJ16" i="3"/>
  <c r="AJ62" i="3"/>
  <c r="AJ14" i="3"/>
  <c r="AJ23" i="3"/>
  <c r="AJ32" i="3"/>
  <c r="AJ41" i="3"/>
  <c r="AJ50" i="3"/>
  <c r="AJ59" i="3"/>
  <c r="AJ43" i="3"/>
  <c r="AJ15" i="3"/>
  <c r="AJ24" i="3"/>
  <c r="AJ33" i="3"/>
  <c r="AJ42" i="3"/>
  <c r="AJ51" i="3"/>
  <c r="AJ61" i="3"/>
  <c r="AJ7" i="3"/>
  <c r="AJ34" i="3"/>
  <c r="AJ9" i="3"/>
  <c r="AJ18" i="3"/>
  <c r="AJ27" i="3"/>
  <c r="AJ37" i="3"/>
  <c r="AJ46" i="3"/>
  <c r="AJ55" i="3"/>
  <c r="AJ64" i="3"/>
  <c r="AJ10" i="3"/>
  <c r="AJ19" i="3"/>
  <c r="AJ29" i="3"/>
  <c r="AJ38" i="3"/>
  <c r="AJ47" i="3"/>
  <c r="AJ56" i="3"/>
  <c r="AJ65" i="3"/>
  <c r="AJ11" i="3"/>
  <c r="AJ21" i="3"/>
  <c r="AJ30" i="3"/>
  <c r="AJ39" i="3"/>
  <c r="AJ48" i="3"/>
  <c r="AJ57" i="3"/>
  <c r="AJ66" i="3"/>
  <c r="AJ25" i="3"/>
  <c r="AJ53" i="3"/>
  <c r="AJ26" i="3"/>
  <c r="AF13" i="3"/>
  <c r="D62" i="3"/>
  <c r="T8" i="3"/>
  <c r="T16" i="3"/>
  <c r="T24" i="3"/>
  <c r="T32" i="3"/>
  <c r="T40" i="3"/>
  <c r="T48" i="3"/>
  <c r="T56" i="3"/>
  <c r="T64" i="3"/>
  <c r="T72" i="3"/>
  <c r="T70" i="3"/>
  <c r="T61" i="3"/>
  <c r="T52" i="3"/>
  <c r="T43" i="3"/>
  <c r="T34" i="3"/>
  <c r="T25" i="3"/>
  <c r="T15" i="3"/>
  <c r="L68" i="3"/>
  <c r="L59" i="3"/>
  <c r="L50" i="3"/>
  <c r="L41" i="3"/>
  <c r="L32" i="3"/>
  <c r="L22" i="3"/>
  <c r="L13" i="3"/>
  <c r="H71" i="3"/>
  <c r="H62" i="3"/>
  <c r="H53" i="3"/>
  <c r="H44" i="3"/>
  <c r="H35" i="3"/>
  <c r="H25" i="3"/>
  <c r="H16" i="3"/>
  <c r="X13" i="3"/>
  <c r="X21" i="3"/>
  <c r="X29" i="3"/>
  <c r="X37" i="3"/>
  <c r="X45" i="3"/>
  <c r="X53" i="3"/>
  <c r="X61" i="3"/>
  <c r="X69" i="3"/>
  <c r="T7" i="3"/>
  <c r="AN61" i="3"/>
  <c r="AN52" i="3"/>
  <c r="AN43" i="3"/>
  <c r="AN34" i="3"/>
  <c r="AN24" i="3"/>
  <c r="AN15" i="3"/>
  <c r="X66" i="3"/>
  <c r="X57" i="3"/>
  <c r="X48" i="3"/>
  <c r="X39" i="3"/>
  <c r="X30" i="3"/>
  <c r="X20" i="3"/>
  <c r="X11" i="3"/>
  <c r="T69" i="3"/>
  <c r="T60" i="3"/>
  <c r="T51" i="3"/>
  <c r="T42" i="3"/>
  <c r="T33" i="3"/>
  <c r="T23" i="3"/>
  <c r="T14" i="3"/>
  <c r="L67" i="3"/>
  <c r="L58" i="3"/>
  <c r="L49" i="3"/>
  <c r="L40" i="3"/>
  <c r="L30" i="3"/>
  <c r="L21" i="3"/>
  <c r="L12" i="3"/>
  <c r="H70" i="3"/>
  <c r="H61" i="3"/>
  <c r="H52" i="3"/>
  <c r="H43" i="3"/>
  <c r="H33" i="3"/>
  <c r="H24" i="3"/>
  <c r="H15" i="3"/>
  <c r="AB10" i="3"/>
  <c r="AB18" i="3"/>
  <c r="AB26" i="3"/>
  <c r="AB34" i="3"/>
  <c r="AB42" i="3"/>
  <c r="AB50" i="3"/>
  <c r="AB58" i="3"/>
  <c r="AB66" i="3"/>
  <c r="X7" i="3"/>
  <c r="AN60" i="3"/>
  <c r="AN51" i="3"/>
  <c r="AN42" i="3"/>
  <c r="AN32" i="3"/>
  <c r="AN23" i="3"/>
  <c r="AB71" i="3"/>
  <c r="AB62" i="3"/>
  <c r="AB53" i="3"/>
  <c r="AB44" i="3"/>
  <c r="AB35" i="3"/>
  <c r="AB25" i="3"/>
  <c r="AB16" i="3"/>
  <c r="X74" i="3"/>
  <c r="X65" i="3"/>
  <c r="X56" i="3"/>
  <c r="X47" i="3"/>
  <c r="X38" i="3"/>
  <c r="X28" i="3"/>
  <c r="X19" i="3"/>
  <c r="X10" i="3"/>
  <c r="T68" i="3"/>
  <c r="T59" i="3"/>
  <c r="T50" i="3"/>
  <c r="T41" i="3"/>
  <c r="T31" i="3"/>
  <c r="T22" i="3"/>
  <c r="T13" i="3"/>
  <c r="L66" i="3"/>
  <c r="L57" i="3"/>
  <c r="L48" i="3"/>
  <c r="L38" i="3"/>
  <c r="L29" i="3"/>
  <c r="L20" i="3"/>
  <c r="L11" i="3"/>
  <c r="H69" i="3"/>
  <c r="H60" i="3"/>
  <c r="H51" i="3"/>
  <c r="H41" i="3"/>
  <c r="H32" i="3"/>
  <c r="H23" i="3"/>
  <c r="H10" i="3"/>
  <c r="H18" i="3"/>
  <c r="H26" i="3"/>
  <c r="H34" i="3"/>
  <c r="H42" i="3"/>
  <c r="H50" i="3"/>
  <c r="H58" i="3"/>
  <c r="H66" i="3"/>
  <c r="H74" i="3"/>
  <c r="H7" i="3"/>
  <c r="AN9" i="3"/>
  <c r="AN17" i="3"/>
  <c r="AN25" i="3"/>
  <c r="AN33" i="3"/>
  <c r="AN41" i="3"/>
  <c r="AN49" i="3"/>
  <c r="AN57" i="3"/>
  <c r="AN7" i="3"/>
  <c r="AN56" i="3"/>
  <c r="AN47" i="3"/>
  <c r="AN38" i="3"/>
  <c r="AN29" i="3"/>
  <c r="AN20" i="3"/>
  <c r="AN11" i="3"/>
  <c r="T74" i="3"/>
  <c r="T65" i="3"/>
  <c r="T55" i="3"/>
  <c r="T46" i="3"/>
  <c r="T37" i="3"/>
  <c r="T28" i="3"/>
  <c r="T19" i="3"/>
  <c r="T10" i="3"/>
  <c r="L72" i="3"/>
  <c r="L62" i="3"/>
  <c r="L53" i="3"/>
  <c r="L44" i="3"/>
  <c r="L35" i="3"/>
  <c r="L26" i="3"/>
  <c r="L17" i="3"/>
  <c r="H65" i="3"/>
  <c r="H56" i="3"/>
  <c r="H47" i="3"/>
  <c r="H38" i="3"/>
  <c r="H29" i="3"/>
  <c r="H20" i="3"/>
  <c r="H11" i="3"/>
  <c r="L15" i="3"/>
  <c r="L23" i="3"/>
  <c r="L31" i="3"/>
  <c r="L39" i="3"/>
  <c r="L47" i="3"/>
  <c r="L55" i="3"/>
  <c r="L63" i="3"/>
  <c r="L71" i="3"/>
  <c r="AN64" i="3"/>
  <c r="AN55" i="3"/>
  <c r="AN46" i="3"/>
  <c r="AN37" i="3"/>
  <c r="AN28" i="3"/>
  <c r="AN19" i="3"/>
  <c r="AN10" i="3"/>
  <c r="T73" i="3"/>
  <c r="T63" i="3"/>
  <c r="T54" i="3"/>
  <c r="T45" i="3"/>
  <c r="T36" i="3"/>
  <c r="T27" i="3"/>
  <c r="T18" i="3"/>
  <c r="T9" i="3"/>
  <c r="L70" i="3"/>
  <c r="L61" i="3"/>
  <c r="L52" i="3"/>
  <c r="L43" i="3"/>
  <c r="L34" i="3"/>
  <c r="L25" i="3"/>
  <c r="L16" i="3"/>
  <c r="H73" i="3"/>
  <c r="H64" i="3"/>
  <c r="H55" i="3"/>
  <c r="H46" i="3"/>
  <c r="H37" i="3"/>
  <c r="H28" i="3"/>
  <c r="H19" i="3"/>
  <c r="H9" i="3"/>
  <c r="AN27" i="3"/>
  <c r="AN18" i="3"/>
  <c r="AN8" i="3"/>
  <c r="T71" i="3"/>
  <c r="T62" i="3"/>
  <c r="T53" i="3"/>
  <c r="T44" i="3"/>
  <c r="T35" i="3"/>
  <c r="T26" i="3"/>
  <c r="T17" i="3"/>
  <c r="L69" i="3"/>
  <c r="L60" i="3"/>
  <c r="L51" i="3"/>
  <c r="L42" i="3"/>
  <c r="L33" i="3"/>
  <c r="L24" i="3"/>
  <c r="L14" i="3"/>
  <c r="H72" i="3"/>
  <c r="H63" i="3"/>
  <c r="H54" i="3"/>
  <c r="H45" i="3"/>
  <c r="H36" i="3"/>
  <c r="H27" i="3"/>
  <c r="H17" i="3"/>
  <c r="H8" i="3"/>
  <c r="P68" i="3"/>
  <c r="P60" i="3"/>
  <c r="P52" i="3"/>
  <c r="P44" i="3"/>
  <c r="P36" i="3"/>
  <c r="P28" i="3"/>
  <c r="P20" i="3"/>
  <c r="H11" i="2"/>
  <c r="H19" i="2"/>
  <c r="H27" i="2"/>
  <c r="H35" i="2"/>
  <c r="H43" i="2"/>
  <c r="H51" i="2"/>
  <c r="H59" i="2"/>
  <c r="H67" i="2"/>
  <c r="H12" i="2"/>
  <c r="H20" i="2"/>
  <c r="H28" i="2"/>
  <c r="H36" i="2"/>
  <c r="H44" i="2"/>
  <c r="H52" i="2"/>
  <c r="H60" i="2"/>
  <c r="H68" i="2"/>
  <c r="H13" i="2"/>
  <c r="H21" i="2"/>
  <c r="H29" i="2"/>
  <c r="H37" i="2"/>
  <c r="H45" i="2"/>
  <c r="H53" i="2"/>
  <c r="H61" i="2"/>
  <c r="H69" i="2"/>
  <c r="H8" i="2"/>
  <c r="H16" i="2"/>
  <c r="H24" i="2"/>
  <c r="H32" i="2"/>
  <c r="H40" i="2"/>
  <c r="H48" i="2"/>
  <c r="H56" i="2"/>
  <c r="H64" i="2"/>
  <c r="H72" i="2"/>
  <c r="H9" i="2"/>
  <c r="H17" i="2"/>
  <c r="H25" i="2"/>
  <c r="H33" i="2"/>
  <c r="AN10" i="2"/>
  <c r="AN18" i="2"/>
  <c r="AN26" i="2"/>
  <c r="AN34" i="2"/>
  <c r="AN42" i="2"/>
  <c r="AN50" i="2"/>
  <c r="AN58" i="2"/>
  <c r="AN64" i="2"/>
  <c r="AN55" i="2"/>
  <c r="AN46" i="2"/>
  <c r="AN37" i="2"/>
  <c r="AN28" i="2"/>
  <c r="AN19" i="2"/>
  <c r="AN9" i="2"/>
  <c r="H63" i="2"/>
  <c r="H47" i="2"/>
  <c r="H30" i="2"/>
  <c r="H7" i="2"/>
  <c r="AN54" i="2"/>
  <c r="AN45" i="2"/>
  <c r="AN27" i="2"/>
  <c r="L59" i="2"/>
  <c r="L43" i="2"/>
  <c r="L27" i="2"/>
  <c r="L11" i="2"/>
  <c r="H62" i="2"/>
  <c r="H46" i="2"/>
  <c r="H26" i="2"/>
  <c r="AB9" i="2"/>
  <c r="AB17" i="2"/>
  <c r="AB25" i="2"/>
  <c r="AB33" i="2"/>
  <c r="AB41" i="2"/>
  <c r="AB49" i="2"/>
  <c r="AB57" i="2"/>
  <c r="AB65" i="2"/>
  <c r="AB7" i="2"/>
  <c r="AN59" i="2"/>
  <c r="AN49" i="2"/>
  <c r="AN40" i="2"/>
  <c r="AN31" i="2"/>
  <c r="AN22" i="2"/>
  <c r="AN13" i="2"/>
  <c r="AB68" i="2"/>
  <c r="AB59" i="2"/>
  <c r="AB50" i="2"/>
  <c r="AB40" i="2"/>
  <c r="AB31" i="2"/>
  <c r="AB22" i="2"/>
  <c r="AB13" i="2"/>
  <c r="L67" i="2"/>
  <c r="L51" i="2"/>
  <c r="L35" i="2"/>
  <c r="L19" i="2"/>
  <c r="H70" i="2"/>
  <c r="H54" i="2"/>
  <c r="H38" i="2"/>
  <c r="H15" i="2"/>
  <c r="AF9" i="2"/>
  <c r="AF17" i="2"/>
  <c r="AF25" i="2"/>
  <c r="AF33" i="2"/>
  <c r="AF41" i="2"/>
  <c r="AF49" i="2"/>
  <c r="AF57" i="2"/>
  <c r="AF65" i="2"/>
  <c r="AF7" i="2"/>
  <c r="AN57" i="2"/>
  <c r="AN48" i="2"/>
  <c r="AN39" i="2"/>
  <c r="AN30" i="2"/>
  <c r="AN21" i="2"/>
  <c r="AN12" i="2"/>
  <c r="AF67" i="2"/>
  <c r="AF58" i="2"/>
  <c r="AF48" i="2"/>
  <c r="AF39" i="2"/>
  <c r="AF30" i="2"/>
  <c r="AF21" i="2"/>
  <c r="AF12" i="2"/>
  <c r="AB67" i="2"/>
  <c r="AB58" i="2"/>
  <c r="AB48" i="2"/>
  <c r="AB39" i="2"/>
  <c r="AB30" i="2"/>
  <c r="AB21" i="2"/>
  <c r="AB12" i="2"/>
  <c r="X69" i="2"/>
  <c r="X60" i="2"/>
  <c r="X50" i="2"/>
  <c r="X41" i="2"/>
  <c r="X32" i="2"/>
  <c r="X22" i="2"/>
  <c r="X12" i="2"/>
  <c r="T66" i="2"/>
  <c r="T53" i="2"/>
  <c r="T40" i="2"/>
  <c r="T24" i="2"/>
  <c r="T8" i="2"/>
  <c r="P60" i="2"/>
  <c r="P44" i="2"/>
  <c r="P28" i="2"/>
  <c r="P12" i="2"/>
  <c r="L63" i="2"/>
  <c r="L47" i="2"/>
  <c r="L31" i="2"/>
  <c r="L15" i="2"/>
  <c r="H66" i="2"/>
  <c r="H50" i="2"/>
  <c r="H34" i="2"/>
  <c r="H14" i="2"/>
  <c r="AN7" i="2"/>
  <c r="AN56" i="2"/>
  <c r="AN47" i="2"/>
  <c r="AN38" i="2"/>
  <c r="AN29" i="2"/>
  <c r="AN20" i="2"/>
  <c r="AN11" i="2"/>
  <c r="AF66" i="2"/>
  <c r="AF56" i="2"/>
  <c r="AF47" i="2"/>
  <c r="AF38" i="2"/>
  <c r="AF29" i="2"/>
  <c r="AF20" i="2"/>
  <c r="AF11" i="2"/>
  <c r="AB66" i="2"/>
  <c r="AB56" i="2"/>
  <c r="AB47" i="2"/>
  <c r="AB38" i="2"/>
  <c r="AB29" i="2"/>
  <c r="AB20" i="2"/>
  <c r="AB11" i="2"/>
  <c r="X68" i="2"/>
  <c r="X58" i="2"/>
  <c r="X49" i="2"/>
  <c r="X40" i="2"/>
  <c r="X31" i="2"/>
  <c r="X21" i="2"/>
  <c r="X10" i="2"/>
  <c r="T64" i="2"/>
  <c r="T52" i="2"/>
  <c r="T39" i="2"/>
  <c r="T23" i="2"/>
  <c r="P75" i="2"/>
  <c r="P59" i="2"/>
  <c r="P43" i="2"/>
  <c r="P27" i="2"/>
  <c r="L62" i="2"/>
  <c r="L46" i="2"/>
  <c r="L30" i="2"/>
  <c r="H65" i="2"/>
  <c r="H49" i="2"/>
  <c r="H31" i="2"/>
  <c r="H10" i="2"/>
  <c r="L8" i="2"/>
  <c r="L16" i="2"/>
  <c r="L24" i="2"/>
  <c r="L32" i="2"/>
  <c r="L40" i="2"/>
  <c r="L48" i="2"/>
  <c r="L56" i="2"/>
  <c r="L64" i="2"/>
  <c r="L72" i="2"/>
  <c r="L9" i="2"/>
  <c r="L17" i="2"/>
  <c r="L25" i="2"/>
  <c r="L33" i="2"/>
  <c r="L41" i="2"/>
  <c r="L49" i="2"/>
  <c r="L57" i="2"/>
  <c r="L65" i="2"/>
  <c r="L73" i="2"/>
  <c r="L10" i="2"/>
  <c r="L18" i="2"/>
  <c r="L26" i="2"/>
  <c r="L34" i="2"/>
  <c r="L42" i="2"/>
  <c r="L50" i="2"/>
  <c r="L58" i="2"/>
  <c r="L66" i="2"/>
  <c r="L7" i="2"/>
  <c r="L13" i="2"/>
  <c r="L21" i="2"/>
  <c r="L29" i="2"/>
  <c r="L37" i="2"/>
  <c r="L45" i="2"/>
  <c r="L53" i="2"/>
  <c r="L61" i="2"/>
  <c r="L69" i="2"/>
  <c r="AN17" i="2"/>
  <c r="P13" i="2"/>
  <c r="P21" i="2"/>
  <c r="P29" i="2"/>
  <c r="P37" i="2"/>
  <c r="P45" i="2"/>
  <c r="P53" i="2"/>
  <c r="P61" i="2"/>
  <c r="P69" i="2"/>
  <c r="P14" i="2"/>
  <c r="P22" i="2"/>
  <c r="P30" i="2"/>
  <c r="P38" i="2"/>
  <c r="P46" i="2"/>
  <c r="P54" i="2"/>
  <c r="P62" i="2"/>
  <c r="P70" i="2"/>
  <c r="P15" i="2"/>
  <c r="P23" i="2"/>
  <c r="P31" i="2"/>
  <c r="P39" i="2"/>
  <c r="P47" i="2"/>
  <c r="P55" i="2"/>
  <c r="P63" i="2"/>
  <c r="P71" i="2"/>
  <c r="P10" i="2"/>
  <c r="P18" i="2"/>
  <c r="P26" i="2"/>
  <c r="P34" i="2"/>
  <c r="P42" i="2"/>
  <c r="P50" i="2"/>
  <c r="P58" i="2"/>
  <c r="P66" i="2"/>
  <c r="P74" i="2"/>
  <c r="P7" i="2"/>
  <c r="AN62" i="2"/>
  <c r="AN53" i="2"/>
  <c r="AN44" i="2"/>
  <c r="AN35" i="2"/>
  <c r="AN25" i="2"/>
  <c r="AN16" i="2"/>
  <c r="AB71" i="2"/>
  <c r="AB62" i="2"/>
  <c r="AB53" i="2"/>
  <c r="AB44" i="2"/>
  <c r="AB35" i="2"/>
  <c r="AB26" i="2"/>
  <c r="AB16" i="2"/>
  <c r="X73" i="2"/>
  <c r="X64" i="2"/>
  <c r="X55" i="2"/>
  <c r="X46" i="2"/>
  <c r="X37" i="2"/>
  <c r="X28" i="2"/>
  <c r="X17" i="2"/>
  <c r="T72" i="2"/>
  <c r="T60" i="2"/>
  <c r="T47" i="2"/>
  <c r="T32" i="2"/>
  <c r="P68" i="2"/>
  <c r="P52" i="2"/>
  <c r="P36" i="2"/>
  <c r="P20" i="2"/>
  <c r="L71" i="2"/>
  <c r="L55" i="2"/>
  <c r="L39" i="2"/>
  <c r="L23" i="2"/>
  <c r="H74" i="2"/>
  <c r="H58" i="2"/>
  <c r="H42" i="2"/>
  <c r="H23" i="2"/>
  <c r="AN36" i="2"/>
  <c r="T9" i="2"/>
  <c r="T17" i="2"/>
  <c r="T25" i="2"/>
  <c r="T33" i="2"/>
  <c r="T41" i="2"/>
  <c r="T49" i="2"/>
  <c r="T57" i="2"/>
  <c r="T65" i="2"/>
  <c r="T73" i="2"/>
  <c r="T10" i="2"/>
  <c r="T18" i="2"/>
  <c r="T26" i="2"/>
  <c r="T34" i="2"/>
  <c r="T11" i="2"/>
  <c r="T19" i="2"/>
  <c r="T27" i="2"/>
  <c r="T35" i="2"/>
  <c r="T43" i="2"/>
  <c r="T51" i="2"/>
  <c r="T59" i="2"/>
  <c r="T67" i="2"/>
  <c r="T14" i="2"/>
  <c r="T22" i="2"/>
  <c r="T30" i="2"/>
  <c r="T38" i="2"/>
  <c r="T46" i="2"/>
  <c r="T54" i="2"/>
  <c r="T62" i="2"/>
  <c r="T70" i="2"/>
  <c r="T7" i="2"/>
  <c r="AN61" i="2"/>
  <c r="AN52" i="2"/>
  <c r="AN43" i="2"/>
  <c r="AN33" i="2"/>
  <c r="AN24" i="2"/>
  <c r="AN15" i="2"/>
  <c r="AB70" i="2"/>
  <c r="AB61" i="2"/>
  <c r="AB52" i="2"/>
  <c r="AB43" i="2"/>
  <c r="AB34" i="2"/>
  <c r="AB24" i="2"/>
  <c r="AB15" i="2"/>
  <c r="X72" i="2"/>
  <c r="X63" i="2"/>
  <c r="X54" i="2"/>
  <c r="X45" i="2"/>
  <c r="X36" i="2"/>
  <c r="X26" i="2"/>
  <c r="T71" i="2"/>
  <c r="T58" i="2"/>
  <c r="T45" i="2"/>
  <c r="T31" i="2"/>
  <c r="T15" i="2"/>
  <c r="P67" i="2"/>
  <c r="P51" i="2"/>
  <c r="P35" i="2"/>
  <c r="P19" i="2"/>
  <c r="L70" i="2"/>
  <c r="L54" i="2"/>
  <c r="L38" i="2"/>
  <c r="L22" i="2"/>
  <c r="H73" i="2"/>
  <c r="H57" i="2"/>
  <c r="H41" i="2"/>
  <c r="H22" i="2"/>
  <c r="AN63" i="2"/>
  <c r="AN8" i="2"/>
  <c r="X8" i="2"/>
  <c r="X16" i="2"/>
  <c r="X24" i="2"/>
  <c r="X11" i="2"/>
  <c r="X19" i="2"/>
  <c r="X27" i="2"/>
  <c r="X35" i="2"/>
  <c r="X43" i="2"/>
  <c r="X51" i="2"/>
  <c r="X59" i="2"/>
  <c r="X67" i="2"/>
  <c r="X7" i="2"/>
  <c r="AN60" i="2"/>
  <c r="AN51" i="2"/>
  <c r="AN41" i="2"/>
  <c r="AN32" i="2"/>
  <c r="AN23" i="2"/>
  <c r="AN14" i="2"/>
  <c r="AB69" i="2"/>
  <c r="AB60" i="2"/>
  <c r="AB51" i="2"/>
  <c r="AB42" i="2"/>
  <c r="AB32" i="2"/>
  <c r="AB23" i="2"/>
  <c r="AB14" i="2"/>
  <c r="X71" i="2"/>
  <c r="X62" i="2"/>
  <c r="X53" i="2"/>
  <c r="X44" i="2"/>
  <c r="X34" i="2"/>
  <c r="X25" i="2"/>
  <c r="X14" i="2"/>
  <c r="T69" i="2"/>
  <c r="T56" i="2"/>
  <c r="T44" i="2"/>
  <c r="T29" i="2"/>
  <c r="T13" i="2"/>
  <c r="P65" i="2"/>
  <c r="P49" i="2"/>
  <c r="P33" i="2"/>
  <c r="P17" i="2"/>
  <c r="L68" i="2"/>
  <c r="L52" i="2"/>
  <c r="L36" i="2"/>
  <c r="L20" i="2"/>
  <c r="H71" i="2"/>
  <c r="H55" i="2"/>
  <c r="H39" i="2"/>
  <c r="H18" i="2"/>
  <c r="AJ7" i="2"/>
  <c r="AJ60" i="2"/>
  <c r="AJ52" i="2"/>
  <c r="AJ44" i="2"/>
  <c r="AJ36" i="2"/>
  <c r="AJ28" i="2"/>
  <c r="AJ20" i="2"/>
  <c r="D69" i="2"/>
  <c r="D61" i="2"/>
  <c r="D53" i="2"/>
  <c r="D45" i="2"/>
  <c r="D37" i="2"/>
  <c r="D29" i="2"/>
  <c r="D21" i="2"/>
  <c r="S47" i="1"/>
  <c r="T47" i="1" s="1"/>
  <c r="AW15" i="1"/>
  <c r="AX15" i="1" s="1"/>
  <c r="X52" i="4" l="1"/>
  <c r="AM42" i="4"/>
  <c r="AD48" i="8"/>
  <c r="AE48" i="8" s="1"/>
  <c r="AI39" i="8"/>
  <c r="AJ39" i="8" s="1"/>
  <c r="AN52" i="8"/>
  <c r="AO52" i="8" s="1"/>
  <c r="AD47" i="8"/>
  <c r="AE47" i="8" s="1"/>
  <c r="X44" i="8"/>
  <c r="AN45" i="8"/>
  <c r="AO45" i="8" s="1"/>
  <c r="AN44" i="8"/>
  <c r="AO44" i="8" s="1"/>
  <c r="AN49" i="8"/>
  <c r="AO49" i="8" s="1"/>
  <c r="AD45" i="8"/>
  <c r="AE45" i="8" s="1"/>
  <c r="X48" i="8"/>
  <c r="AI48" i="8"/>
  <c r="AJ48" i="8" s="1"/>
  <c r="AI47" i="8"/>
  <c r="AJ47" i="8" s="1"/>
  <c r="Y46" i="8"/>
  <c r="Z46" i="8" s="1"/>
  <c r="AI49" i="8"/>
  <c r="AJ49" i="8" s="1"/>
  <c r="AI44" i="8"/>
  <c r="AJ44" i="8" s="1"/>
  <c r="BB61" i="2"/>
  <c r="BC61" i="2" s="1"/>
  <c r="AV33" i="2"/>
  <c r="AX34" i="2" s="1"/>
  <c r="AY34" i="2" s="1"/>
  <c r="AV17" i="3"/>
  <c r="AW17" i="3" s="1"/>
  <c r="CL38" i="3"/>
  <c r="CM38" i="3" s="1"/>
  <c r="BB22" i="2"/>
  <c r="BD23" i="2" s="1"/>
  <c r="BE23" i="2" s="1"/>
  <c r="BB42" i="2"/>
  <c r="BC42" i="2" s="1"/>
  <c r="CR45" i="3"/>
  <c r="CT46" i="3" s="1"/>
  <c r="CU46" i="3" s="1"/>
  <c r="AN54" i="4"/>
  <c r="AO54" i="4" s="1"/>
  <c r="BH85" i="1"/>
  <c r="BH90" i="1" s="1"/>
  <c r="BG86" i="1"/>
  <c r="BG90" i="1" s="1"/>
  <c r="CX10" i="2"/>
  <c r="CY10" i="2" s="1"/>
  <c r="D45" i="1"/>
  <c r="E45" i="1" s="1"/>
  <c r="D69" i="1"/>
  <c r="E69" i="1" s="1"/>
  <c r="AW38" i="1"/>
  <c r="AX38" i="1" s="1"/>
  <c r="AW44" i="1"/>
  <c r="AX44" i="1" s="1"/>
  <c r="AW9" i="1"/>
  <c r="AX9" i="1" s="1"/>
  <c r="D24" i="1"/>
  <c r="E24" i="1" s="1"/>
  <c r="D7" i="1"/>
  <c r="E7" i="1" s="1"/>
  <c r="D73" i="1"/>
  <c r="E73" i="1" s="1"/>
  <c r="D50" i="1"/>
  <c r="E50" i="1" s="1"/>
  <c r="D27" i="1"/>
  <c r="E27" i="1" s="1"/>
  <c r="D53" i="1"/>
  <c r="E53" i="1" s="1"/>
  <c r="D44" i="1"/>
  <c r="E44" i="1" s="1"/>
  <c r="D31" i="1"/>
  <c r="E31" i="1" s="1"/>
  <c r="D59" i="1"/>
  <c r="E59" i="1" s="1"/>
  <c r="D47" i="1"/>
  <c r="E47" i="1" s="1"/>
  <c r="Y45" i="4"/>
  <c r="Z45" i="4" s="1"/>
  <c r="Y54" i="4"/>
  <c r="Z54" i="4" s="1"/>
  <c r="D12" i="1"/>
  <c r="E12" i="1" s="1"/>
  <c r="D18" i="1"/>
  <c r="E18" i="1" s="1"/>
  <c r="D66" i="1"/>
  <c r="E66" i="1" s="1"/>
  <c r="AI37" i="4"/>
  <c r="AJ37" i="4" s="1"/>
  <c r="D68" i="1"/>
  <c r="E68" i="1" s="1"/>
  <c r="D21" i="1"/>
  <c r="E21" i="1" s="1"/>
  <c r="D55" i="1"/>
  <c r="E55" i="1" s="1"/>
  <c r="D10" i="1"/>
  <c r="E10" i="1" s="1"/>
  <c r="D11" i="1"/>
  <c r="E11" i="1" s="1"/>
  <c r="D30" i="1"/>
  <c r="E30" i="1" s="1"/>
  <c r="D49" i="1"/>
  <c r="E49" i="1" s="1"/>
  <c r="D61" i="1"/>
  <c r="E61" i="1" s="1"/>
  <c r="D58" i="1"/>
  <c r="E58" i="1" s="1"/>
  <c r="D16" i="1"/>
  <c r="E16" i="1" s="1"/>
  <c r="D37" i="1"/>
  <c r="E37" i="1" s="1"/>
  <c r="D56" i="1"/>
  <c r="E56" i="1" s="1"/>
  <c r="D14" i="1"/>
  <c r="E14" i="1" s="1"/>
  <c r="AC42" i="4"/>
  <c r="AC44" i="4"/>
  <c r="AM36" i="4"/>
  <c r="D41" i="1"/>
  <c r="E41" i="1" s="1"/>
  <c r="CF29" i="3"/>
  <c r="CG29" i="3" s="1"/>
  <c r="D17" i="1"/>
  <c r="E17" i="1" s="1"/>
  <c r="D26" i="1"/>
  <c r="E26" i="1" s="1"/>
  <c r="D63" i="1"/>
  <c r="E63" i="1" s="1"/>
  <c r="D60" i="1"/>
  <c r="E60" i="1" s="1"/>
  <c r="D28" i="1"/>
  <c r="E28" i="1" s="1"/>
  <c r="D13" i="1"/>
  <c r="E13" i="1" s="1"/>
  <c r="D43" i="1"/>
  <c r="E43" i="1" s="1"/>
  <c r="D32" i="1"/>
  <c r="E32" i="1" s="1"/>
  <c r="D33" i="1"/>
  <c r="E33" i="1" s="1"/>
  <c r="D65" i="1"/>
  <c r="E65" i="1" s="1"/>
  <c r="D9" i="1"/>
  <c r="E9" i="1" s="1"/>
  <c r="D39" i="1"/>
  <c r="E39" i="1" s="1"/>
  <c r="D40" i="1"/>
  <c r="E40" i="1" s="1"/>
  <c r="D48" i="1"/>
  <c r="E48" i="1" s="1"/>
  <c r="D67" i="1"/>
  <c r="E67" i="1" s="1"/>
  <c r="D25" i="1"/>
  <c r="E25" i="1" s="1"/>
  <c r="D46" i="1"/>
  <c r="E46" i="1" s="1"/>
  <c r="AN51" i="4"/>
  <c r="AO51" i="4" s="1"/>
  <c r="AM47" i="6"/>
  <c r="D54" i="1"/>
  <c r="E54" i="1" s="1"/>
  <c r="D36" i="1"/>
  <c r="E36" i="1" s="1"/>
  <c r="D35" i="1"/>
  <c r="E35" i="1" s="1"/>
  <c r="D72" i="1"/>
  <c r="E72" i="1" s="1"/>
  <c r="D52" i="1"/>
  <c r="E52" i="1" s="1"/>
  <c r="D20" i="1"/>
  <c r="E20" i="1" s="1"/>
  <c r="D42" i="1"/>
  <c r="E42" i="1" s="1"/>
  <c r="D74" i="1"/>
  <c r="E74" i="1" s="1"/>
  <c r="D62" i="1"/>
  <c r="E62" i="1" s="1"/>
  <c r="D64" i="1"/>
  <c r="E64" i="1" s="1"/>
  <c r="D71" i="1"/>
  <c r="E71" i="1" s="1"/>
  <c r="D70" i="1"/>
  <c r="E70" i="1" s="1"/>
  <c r="D29" i="1"/>
  <c r="E29" i="1" s="1"/>
  <c r="D19" i="1"/>
  <c r="E19" i="1" s="1"/>
  <c r="D38" i="1"/>
  <c r="E38" i="1" s="1"/>
  <c r="D57" i="1"/>
  <c r="E57" i="1" s="1"/>
  <c r="D15" i="1"/>
  <c r="E15" i="1" s="1"/>
  <c r="D34" i="1"/>
  <c r="E34" i="1" s="1"/>
  <c r="Y41" i="4"/>
  <c r="Z41" i="4" s="1"/>
  <c r="D22" i="1"/>
  <c r="E22" i="1" s="1"/>
  <c r="D8" i="1"/>
  <c r="E8" i="1" s="1"/>
  <c r="AM51" i="4"/>
  <c r="D23" i="1"/>
  <c r="E23" i="1" s="1"/>
  <c r="X50" i="4"/>
  <c r="AW34" i="1"/>
  <c r="AX34" i="1" s="1"/>
  <c r="AW21" i="1"/>
  <c r="AX21" i="1" s="1"/>
  <c r="AW12" i="1"/>
  <c r="AX12" i="1" s="1"/>
  <c r="AW8" i="1"/>
  <c r="AX8" i="1" s="1"/>
  <c r="AW36" i="1"/>
  <c r="AX36" i="1" s="1"/>
  <c r="AW7" i="1"/>
  <c r="AX7" i="1" s="1"/>
  <c r="AW51" i="1"/>
  <c r="AX51" i="1" s="1"/>
  <c r="AW53" i="1"/>
  <c r="AX53" i="1" s="1"/>
  <c r="AW20" i="1"/>
  <c r="AX20" i="1" s="1"/>
  <c r="AW56" i="1"/>
  <c r="AX56" i="1" s="1"/>
  <c r="CF58" i="3"/>
  <c r="CH59" i="3" s="1"/>
  <c r="CI59" i="3" s="1"/>
  <c r="X47" i="4"/>
  <c r="X49" i="6"/>
  <c r="AW60" i="1"/>
  <c r="AX60" i="1" s="1"/>
  <c r="AW17" i="1"/>
  <c r="AX17" i="1" s="1"/>
  <c r="AW45" i="1"/>
  <c r="AX45" i="1" s="1"/>
  <c r="AW13" i="1"/>
  <c r="AX13" i="1" s="1"/>
  <c r="AW33" i="1"/>
  <c r="AX33" i="1" s="1"/>
  <c r="AW16" i="1"/>
  <c r="AX16" i="1" s="1"/>
  <c r="AW52" i="1"/>
  <c r="AX52" i="1" s="1"/>
  <c r="AW26" i="1"/>
  <c r="AX26" i="1" s="1"/>
  <c r="AW63" i="1"/>
  <c r="AX63" i="1" s="1"/>
  <c r="AW37" i="1"/>
  <c r="AX37" i="1" s="1"/>
  <c r="AW18" i="1"/>
  <c r="AX18" i="1" s="1"/>
  <c r="AW55" i="1"/>
  <c r="AX55" i="1" s="1"/>
  <c r="AW23" i="1"/>
  <c r="AX23" i="1" s="1"/>
  <c r="AW41" i="1"/>
  <c r="AX41" i="1" s="1"/>
  <c r="AW32" i="1"/>
  <c r="AX32" i="1" s="1"/>
  <c r="AW49" i="1"/>
  <c r="AX49" i="1" s="1"/>
  <c r="AW30" i="1"/>
  <c r="AX30" i="1" s="1"/>
  <c r="AW28" i="1"/>
  <c r="AX28" i="1" s="1"/>
  <c r="AW42" i="1"/>
  <c r="AX42" i="1" s="1"/>
  <c r="AW25" i="1"/>
  <c r="AX25" i="1" s="1"/>
  <c r="AW62" i="1"/>
  <c r="AX62" i="1" s="1"/>
  <c r="AW35" i="1"/>
  <c r="AX35" i="1" s="1"/>
  <c r="AW61" i="1"/>
  <c r="AX61" i="1" s="1"/>
  <c r="AW29" i="1"/>
  <c r="AX29" i="1" s="1"/>
  <c r="AW27" i="1"/>
  <c r="AX27" i="1" s="1"/>
  <c r="AW64" i="1"/>
  <c r="AX64" i="1" s="1"/>
  <c r="AW57" i="1"/>
  <c r="AX57" i="1" s="1"/>
  <c r="AW14" i="1"/>
  <c r="AX14" i="1" s="1"/>
  <c r="AW31" i="1"/>
  <c r="AX31" i="1" s="1"/>
  <c r="AW11" i="1"/>
  <c r="AX11" i="1" s="1"/>
  <c r="AW10" i="1"/>
  <c r="AX10" i="1" s="1"/>
  <c r="AH49" i="6"/>
  <c r="AD48" i="4"/>
  <c r="AE48" i="4" s="1"/>
  <c r="AW24" i="1"/>
  <c r="AX24" i="1" s="1"/>
  <c r="AW43" i="1"/>
  <c r="AX43" i="1" s="1"/>
  <c r="AW54" i="1"/>
  <c r="AX54" i="1" s="1"/>
  <c r="AW46" i="1"/>
  <c r="AX46" i="1" s="1"/>
  <c r="AW39" i="1"/>
  <c r="AX39" i="1" s="1"/>
  <c r="AW40" i="1"/>
  <c r="AX40" i="1" s="1"/>
  <c r="AW58" i="1"/>
  <c r="AX58" i="1" s="1"/>
  <c r="AW59" i="1"/>
  <c r="AX59" i="1" s="1"/>
  <c r="AW22" i="1"/>
  <c r="AX22" i="1" s="1"/>
  <c r="AW50" i="1"/>
  <c r="AX50" i="1" s="1"/>
  <c r="AW19" i="1"/>
  <c r="AX19" i="1" s="1"/>
  <c r="AW48" i="1"/>
  <c r="AX48" i="1" s="1"/>
  <c r="AC14" i="8"/>
  <c r="AH53" i="4"/>
  <c r="AM48" i="4"/>
  <c r="AC37" i="4"/>
  <c r="AM55" i="4"/>
  <c r="AH49" i="4"/>
  <c r="S73" i="1"/>
  <c r="T73" i="1" s="1"/>
  <c r="AR31" i="1"/>
  <c r="AS31" i="1" s="1"/>
  <c r="AR18" i="1"/>
  <c r="AS18" i="1" s="1"/>
  <c r="AR26" i="1"/>
  <c r="AS26" i="1" s="1"/>
  <c r="AR34" i="1"/>
  <c r="AS34" i="1" s="1"/>
  <c r="X39" i="4"/>
  <c r="AH47" i="4"/>
  <c r="N23" i="1"/>
  <c r="O23" i="1" s="1"/>
  <c r="AR51" i="1"/>
  <c r="AS51" i="1" s="1"/>
  <c r="AR35" i="1"/>
  <c r="AS35" i="1" s="1"/>
  <c r="AR40" i="1"/>
  <c r="AS40" i="1" s="1"/>
  <c r="AR10" i="1"/>
  <c r="AS10" i="1" s="1"/>
  <c r="AR48" i="1"/>
  <c r="AS48" i="1" s="1"/>
  <c r="AR62" i="1"/>
  <c r="AS62" i="1" s="1"/>
  <c r="AR63" i="1"/>
  <c r="AS63" i="1" s="1"/>
  <c r="AR60" i="1"/>
  <c r="AS60" i="1" s="1"/>
  <c r="AR7" i="1"/>
  <c r="AS7" i="1" s="1"/>
  <c r="Y35" i="4"/>
  <c r="Z35" i="4" s="1"/>
  <c r="AR13" i="1"/>
  <c r="AS13" i="1" s="1"/>
  <c r="N10" i="1"/>
  <c r="O10" i="1" s="1"/>
  <c r="N26" i="1"/>
  <c r="O26" i="1" s="1"/>
  <c r="AR33" i="1"/>
  <c r="AS33" i="1" s="1"/>
  <c r="AR61" i="1"/>
  <c r="AS61" i="1" s="1"/>
  <c r="AR50" i="1"/>
  <c r="AS50" i="1" s="1"/>
  <c r="AR8" i="1"/>
  <c r="AS8" i="1" s="1"/>
  <c r="AR29" i="1"/>
  <c r="AS29" i="1" s="1"/>
  <c r="AR37" i="1"/>
  <c r="AS37" i="1" s="1"/>
  <c r="AR57" i="1"/>
  <c r="AS57" i="1" s="1"/>
  <c r="AR16" i="1"/>
  <c r="AS16" i="1" s="1"/>
  <c r="AR25" i="1"/>
  <c r="AS25" i="1" s="1"/>
  <c r="AR11" i="1"/>
  <c r="AS11" i="1" s="1"/>
  <c r="AR22" i="1"/>
  <c r="AS22" i="1" s="1"/>
  <c r="AR49" i="1"/>
  <c r="AS49" i="1" s="1"/>
  <c r="AR23" i="1"/>
  <c r="AS23" i="1" s="1"/>
  <c r="AR21" i="1"/>
  <c r="AS21" i="1" s="1"/>
  <c r="AR58" i="1"/>
  <c r="AS58" i="1" s="1"/>
  <c r="AR47" i="1"/>
  <c r="AS47" i="1" s="1"/>
  <c r="AR15" i="1"/>
  <c r="AS15" i="1" s="1"/>
  <c r="AR65" i="1"/>
  <c r="AS65" i="1" s="1"/>
  <c r="AR52" i="1"/>
  <c r="AS52" i="1" s="1"/>
  <c r="AR41" i="1"/>
  <c r="AS41" i="1" s="1"/>
  <c r="AR38" i="1"/>
  <c r="AS38" i="1" s="1"/>
  <c r="AR42" i="1"/>
  <c r="AS42" i="1" s="1"/>
  <c r="AR9" i="1"/>
  <c r="AS9" i="1" s="1"/>
  <c r="AR27" i="1"/>
  <c r="AS27" i="1" s="1"/>
  <c r="AR46" i="1"/>
  <c r="AS46" i="1" s="1"/>
  <c r="AR56" i="1"/>
  <c r="AS56" i="1" s="1"/>
  <c r="AR14" i="1"/>
  <c r="AS14" i="1" s="1"/>
  <c r="AR53" i="1"/>
  <c r="AS53" i="1" s="1"/>
  <c r="AR54" i="1"/>
  <c r="AS54" i="1" s="1"/>
  <c r="AR43" i="1"/>
  <c r="AS43" i="1" s="1"/>
  <c r="AR64" i="1"/>
  <c r="AS64" i="1" s="1"/>
  <c r="AR12" i="1"/>
  <c r="AS12" i="1" s="1"/>
  <c r="AR55" i="1"/>
  <c r="AS55" i="1" s="1"/>
  <c r="I34" i="1"/>
  <c r="J34" i="1" s="1"/>
  <c r="AR30" i="1"/>
  <c r="AS30" i="1" s="1"/>
  <c r="AR39" i="1"/>
  <c r="AS39" i="1" s="1"/>
  <c r="AR32" i="1"/>
  <c r="AS32" i="1" s="1"/>
  <c r="AR19" i="1"/>
  <c r="AS19" i="1" s="1"/>
  <c r="AR28" i="1"/>
  <c r="AS28" i="1" s="1"/>
  <c r="AR20" i="1"/>
  <c r="AS20" i="1" s="1"/>
  <c r="AR59" i="1"/>
  <c r="AS59" i="1" s="1"/>
  <c r="AR17" i="1"/>
  <c r="AS17" i="1" s="1"/>
  <c r="AR36" i="1"/>
  <c r="AS36" i="1" s="1"/>
  <c r="AR45" i="1"/>
  <c r="AS45" i="1" s="1"/>
  <c r="AR24" i="1"/>
  <c r="AS24" i="1" s="1"/>
  <c r="CX48" i="3"/>
  <c r="CY48" i="3" s="1"/>
  <c r="AV61" i="3"/>
  <c r="AW61" i="3" s="1"/>
  <c r="BH59" i="3"/>
  <c r="BI59" i="3" s="1"/>
  <c r="CL16" i="3"/>
  <c r="CN17" i="3" s="1"/>
  <c r="CO17" i="3" s="1"/>
  <c r="Y43" i="4"/>
  <c r="Z43" i="4" s="1"/>
  <c r="AI53" i="4"/>
  <c r="AJ53" i="4" s="1"/>
  <c r="AD11" i="7"/>
  <c r="AE11" i="7" s="1"/>
  <c r="AD51" i="4"/>
  <c r="AE51" i="4" s="1"/>
  <c r="AM49" i="6"/>
  <c r="Y35" i="6"/>
  <c r="Z35" i="6" s="1"/>
  <c r="AC38" i="4"/>
  <c r="AD40" i="8"/>
  <c r="AE40" i="8" s="1"/>
  <c r="AM47" i="4"/>
  <c r="AD46" i="4"/>
  <c r="AE46" i="4" s="1"/>
  <c r="X37" i="4"/>
  <c r="BT32" i="2"/>
  <c r="BV33" i="2" s="1"/>
  <c r="BW33" i="2" s="1"/>
  <c r="AD50" i="6"/>
  <c r="AE50" i="6" s="1"/>
  <c r="AM44" i="4"/>
  <c r="AM52" i="4"/>
  <c r="AH34" i="4"/>
  <c r="X55" i="4"/>
  <c r="Y56" i="4"/>
  <c r="Z56" i="4" s="1"/>
  <c r="AH50" i="4"/>
  <c r="AC41" i="4"/>
  <c r="AI49" i="4"/>
  <c r="AJ49" i="4" s="1"/>
  <c r="AM39" i="4"/>
  <c r="X49" i="4"/>
  <c r="AH41" i="4"/>
  <c r="S71" i="1"/>
  <c r="T71" i="1" s="1"/>
  <c r="I46" i="1"/>
  <c r="J46" i="1" s="1"/>
  <c r="I41" i="1"/>
  <c r="J41" i="1" s="1"/>
  <c r="AV45" i="3"/>
  <c r="AW45" i="3" s="1"/>
  <c r="BN18" i="3"/>
  <c r="BO18" i="3" s="1"/>
  <c r="AV54" i="3"/>
  <c r="AX55" i="3" s="1"/>
  <c r="AY55" i="3" s="1"/>
  <c r="S35" i="1"/>
  <c r="T35" i="1" s="1"/>
  <c r="I9" i="1"/>
  <c r="J9" i="1" s="1"/>
  <c r="S53" i="1"/>
  <c r="T53" i="1" s="1"/>
  <c r="I67" i="1"/>
  <c r="J67" i="1" s="1"/>
  <c r="S72" i="1"/>
  <c r="T72" i="1" s="1"/>
  <c r="I27" i="1"/>
  <c r="J27" i="1" s="1"/>
  <c r="I16" i="1"/>
  <c r="J16" i="1" s="1"/>
  <c r="BB51" i="2"/>
  <c r="BD52" i="2" s="1"/>
  <c r="BE52" i="2" s="1"/>
  <c r="BB33" i="2"/>
  <c r="BD34" i="2" s="1"/>
  <c r="BE34" i="2" s="1"/>
  <c r="X36" i="8"/>
  <c r="AN38" i="6"/>
  <c r="AO38" i="6" s="1"/>
  <c r="AC49" i="4"/>
  <c r="AD49" i="4"/>
  <c r="AE49" i="4" s="1"/>
  <c r="AC48" i="4"/>
  <c r="AD41" i="4"/>
  <c r="AE41" i="4" s="1"/>
  <c r="AH39" i="4"/>
  <c r="AN39" i="8"/>
  <c r="AO39" i="8" s="1"/>
  <c r="Y9" i="7"/>
  <c r="Z9" i="7" s="1"/>
  <c r="CX40" i="3"/>
  <c r="CY40" i="3" s="1"/>
  <c r="BZ26" i="3"/>
  <c r="CB27" i="3" s="1"/>
  <c r="CC27" i="3" s="1"/>
  <c r="BZ57" i="3"/>
  <c r="CA57" i="3" s="1"/>
  <c r="BN12" i="3"/>
  <c r="CR67" i="3"/>
  <c r="BN23" i="3"/>
  <c r="BH35" i="3"/>
  <c r="BJ36" i="3" s="1"/>
  <c r="BK36" i="3" s="1"/>
  <c r="CF56" i="3"/>
  <c r="CH57" i="3" s="1"/>
  <c r="CI57" i="3" s="1"/>
  <c r="CL43" i="3"/>
  <c r="CM43" i="3" s="1"/>
  <c r="AV24" i="2"/>
  <c r="AW24" i="2" s="1"/>
  <c r="BB53" i="2"/>
  <c r="BC53" i="2" s="1"/>
  <c r="CL28" i="2"/>
  <c r="CM28" i="2" s="1"/>
  <c r="CF47" i="2"/>
  <c r="CH48" i="2" s="1"/>
  <c r="CI48" i="2" s="1"/>
  <c r="BN28" i="2"/>
  <c r="CL34" i="2"/>
  <c r="CN35" i="2" s="1"/>
  <c r="CO35" i="2" s="1"/>
  <c r="AV9" i="3"/>
  <c r="AX10" i="3" s="1"/>
  <c r="AY10" i="3" s="1"/>
  <c r="CF51" i="3"/>
  <c r="CG51" i="3" s="1"/>
  <c r="BT55" i="2"/>
  <c r="BV56" i="2" s="1"/>
  <c r="BW56" i="2" s="1"/>
  <c r="CL52" i="2"/>
  <c r="CN53" i="2" s="1"/>
  <c r="CO53" i="2" s="1"/>
  <c r="CF40" i="2"/>
  <c r="CG40" i="2" s="1"/>
  <c r="AN40" i="8"/>
  <c r="AO40" i="8" s="1"/>
  <c r="AN25" i="6"/>
  <c r="AO25" i="6" s="1"/>
  <c r="Y37" i="4"/>
  <c r="Z37" i="4" s="1"/>
  <c r="AH42" i="4"/>
  <c r="AM21" i="4"/>
  <c r="AM37" i="4"/>
  <c r="AI27" i="4"/>
  <c r="AJ27" i="4" s="1"/>
  <c r="AN35" i="4"/>
  <c r="AO35" i="4" s="1"/>
  <c r="AC26" i="4"/>
  <c r="AN39" i="4"/>
  <c r="AO39" i="4" s="1"/>
  <c r="AM45" i="4"/>
  <c r="X41" i="4"/>
  <c r="Y42" i="4"/>
  <c r="Z42" i="4" s="1"/>
  <c r="AH38" i="4"/>
  <c r="AH45" i="4"/>
  <c r="AI46" i="4"/>
  <c r="AJ46" i="4" s="1"/>
  <c r="AD37" i="8"/>
  <c r="AE37" i="8" s="1"/>
  <c r="AN37" i="8"/>
  <c r="AO37" i="8" s="1"/>
  <c r="Y49" i="6"/>
  <c r="Z49" i="6" s="1"/>
  <c r="AM33" i="4"/>
  <c r="AN34" i="4"/>
  <c r="AO34" i="4" s="1"/>
  <c r="AC33" i="4"/>
  <c r="AD34" i="4"/>
  <c r="AE34" i="4" s="1"/>
  <c r="AH33" i="4"/>
  <c r="AI34" i="4"/>
  <c r="AJ34" i="4" s="1"/>
  <c r="AH36" i="6"/>
  <c r="X45" i="6"/>
  <c r="X47" i="6"/>
  <c r="AD33" i="6"/>
  <c r="AE33" i="6" s="1"/>
  <c r="BB20" i="3"/>
  <c r="BD21" i="3" s="1"/>
  <c r="BE21" i="3" s="1"/>
  <c r="BT32" i="3"/>
  <c r="BV33" i="3" s="1"/>
  <c r="BW33" i="3" s="1"/>
  <c r="BH58" i="3"/>
  <c r="BI58" i="3" s="1"/>
  <c r="BZ20" i="3"/>
  <c r="CB21" i="3" s="1"/>
  <c r="CC21" i="3" s="1"/>
  <c r="AV16" i="3"/>
  <c r="AW16" i="3" s="1"/>
  <c r="CL53" i="3"/>
  <c r="CM53" i="3" s="1"/>
  <c r="BH65" i="2"/>
  <c r="BI65" i="2" s="1"/>
  <c r="AN27" i="6"/>
  <c r="AO27" i="6" s="1"/>
  <c r="AC24" i="6"/>
  <c r="CR9" i="3"/>
  <c r="CR19" i="2"/>
  <c r="AD21" i="6"/>
  <c r="AE21" i="6" s="1"/>
  <c r="AC16" i="6"/>
  <c r="BN30" i="3"/>
  <c r="BO30" i="3" s="1"/>
  <c r="BT12" i="3"/>
  <c r="BV13" i="3" s="1"/>
  <c r="BW13" i="3" s="1"/>
  <c r="CR71" i="2"/>
  <c r="AV49" i="2"/>
  <c r="AX50" i="2" s="1"/>
  <c r="AY50" i="2" s="1"/>
  <c r="BB27" i="2"/>
  <c r="BC27" i="2" s="1"/>
  <c r="AC9" i="6"/>
  <c r="CX11" i="3"/>
  <c r="CZ12" i="3" s="1"/>
  <c r="DA12" i="3" s="1"/>
  <c r="BB60" i="3"/>
  <c r="BC60" i="3" s="1"/>
  <c r="CX13" i="3"/>
  <c r="CY13" i="3" s="1"/>
  <c r="CX29" i="3"/>
  <c r="CZ30" i="3" s="1"/>
  <c r="DA30" i="3" s="1"/>
  <c r="BZ11" i="3"/>
  <c r="CA11" i="3" s="1"/>
  <c r="CL18" i="3"/>
  <c r="CM18" i="3" s="1"/>
  <c r="BN64" i="3"/>
  <c r="BO64" i="3" s="1"/>
  <c r="BB57" i="3"/>
  <c r="BD58" i="3" s="1"/>
  <c r="BE58" i="3" s="1"/>
  <c r="BB10" i="3"/>
  <c r="BD11" i="3" s="1"/>
  <c r="BE11" i="3" s="1"/>
  <c r="CR46" i="3"/>
  <c r="BB51" i="3"/>
  <c r="BD52" i="3" s="1"/>
  <c r="BE52" i="3" s="1"/>
  <c r="CX43" i="3"/>
  <c r="CZ44" i="3" s="1"/>
  <c r="DA44" i="3" s="1"/>
  <c r="AV36" i="2"/>
  <c r="AW36" i="2" s="1"/>
  <c r="BT56" i="2"/>
  <c r="BU56" i="2" s="1"/>
  <c r="BB56" i="2"/>
  <c r="BC56" i="2" s="1"/>
  <c r="CF29" i="2"/>
  <c r="CH30" i="2" s="1"/>
  <c r="CI30" i="2" s="1"/>
  <c r="BB23" i="2"/>
  <c r="BD24" i="2" s="1"/>
  <c r="BE24" i="2" s="1"/>
  <c r="CL7" i="2"/>
  <c r="CN8" i="2" s="1"/>
  <c r="BN62" i="2"/>
  <c r="BO62" i="2" s="1"/>
  <c r="CF49" i="3"/>
  <c r="CH50" i="3" s="1"/>
  <c r="CI50" i="3" s="1"/>
  <c r="CX67" i="3"/>
  <c r="CY67" i="3" s="1"/>
  <c r="BH31" i="2"/>
  <c r="BJ32" i="2" s="1"/>
  <c r="BK32" i="2" s="1"/>
  <c r="CX28" i="3"/>
  <c r="CY28" i="3" s="1"/>
  <c r="CX22" i="3"/>
  <c r="CY22" i="3" s="1"/>
  <c r="BZ27" i="3"/>
  <c r="CB28" i="3" s="1"/>
  <c r="CC28" i="3" s="1"/>
  <c r="CL51" i="2"/>
  <c r="CM51" i="2" s="1"/>
  <c r="X36" i="6"/>
  <c r="AM38" i="6"/>
  <c r="BN45" i="3"/>
  <c r="BT56" i="3"/>
  <c r="BV57" i="3" s="1"/>
  <c r="BW57" i="3" s="1"/>
  <c r="BH63" i="3"/>
  <c r="BI63" i="3" s="1"/>
  <c r="BT49" i="3"/>
  <c r="BV50" i="3" s="1"/>
  <c r="BW50" i="3" s="1"/>
  <c r="BZ17" i="3"/>
  <c r="CB18" i="3" s="1"/>
  <c r="CC18" i="3" s="1"/>
  <c r="CX23" i="3"/>
  <c r="CZ24" i="3" s="1"/>
  <c r="DA24" i="3" s="1"/>
  <c r="BB39" i="3"/>
  <c r="BD40" i="3" s="1"/>
  <c r="BE40" i="3" s="1"/>
  <c r="BN54" i="3"/>
  <c r="BO54" i="3" s="1"/>
  <c r="AV56" i="3"/>
  <c r="AW56" i="3" s="1"/>
  <c r="CR30" i="3"/>
  <c r="CX50" i="3"/>
  <c r="CY50" i="3" s="1"/>
  <c r="CX65" i="3"/>
  <c r="CY65" i="3" s="1"/>
  <c r="CL22" i="2"/>
  <c r="CN23" i="2" s="1"/>
  <c r="CO23" i="2" s="1"/>
  <c r="CL53" i="2"/>
  <c r="CM53" i="2" s="1"/>
  <c r="BT48" i="2"/>
  <c r="BV49" i="2" s="1"/>
  <c r="BW49" i="2" s="1"/>
  <c r="BZ27" i="2"/>
  <c r="CB28" i="2" s="1"/>
  <c r="CC28" i="2" s="1"/>
  <c r="BT12" i="2"/>
  <c r="BV13" i="2" s="1"/>
  <c r="BW13" i="2" s="1"/>
  <c r="AV43" i="2"/>
  <c r="AW43" i="2" s="1"/>
  <c r="BN50" i="3"/>
  <c r="BB29" i="3"/>
  <c r="BC29" i="3" s="1"/>
  <c r="BZ33" i="3"/>
  <c r="CB34" i="3" s="1"/>
  <c r="CC34" i="3" s="1"/>
  <c r="BH7" i="3"/>
  <c r="BI7" i="3" s="1"/>
  <c r="BN33" i="3"/>
  <c r="AV19" i="2"/>
  <c r="AW19" i="2" s="1"/>
  <c r="BB37" i="2"/>
  <c r="BD38" i="2" s="1"/>
  <c r="BE38" i="2" s="1"/>
  <c r="BN50" i="2"/>
  <c r="CR35" i="3"/>
  <c r="BH52" i="3"/>
  <c r="BI52" i="3" s="1"/>
  <c r="CR70" i="3"/>
  <c r="BB23" i="3"/>
  <c r="BD24" i="3" s="1"/>
  <c r="BE24" i="3" s="1"/>
  <c r="CR15" i="3"/>
  <c r="CX46" i="2"/>
  <c r="CZ47" i="2" s="1"/>
  <c r="DA47" i="2" s="1"/>
  <c r="CL22" i="3"/>
  <c r="CN23" i="3" s="1"/>
  <c r="CO23" i="3" s="1"/>
  <c r="Y43" i="6"/>
  <c r="Z43" i="6" s="1"/>
  <c r="X26" i="4"/>
  <c r="AH28" i="8"/>
  <c r="AC37" i="6"/>
  <c r="BN16" i="3"/>
  <c r="BO16" i="3" s="1"/>
  <c r="AI29" i="4"/>
  <c r="AJ29" i="4" s="1"/>
  <c r="AI24" i="6"/>
  <c r="AJ24" i="6" s="1"/>
  <c r="BN53" i="3"/>
  <c r="AV16" i="2"/>
  <c r="AW16" i="2" s="1"/>
  <c r="AV18" i="2"/>
  <c r="AW18" i="2" s="1"/>
  <c r="Y4" i="6"/>
  <c r="Z4" i="6" s="1"/>
  <c r="Y29" i="4"/>
  <c r="Z29" i="4" s="1"/>
  <c r="AN46" i="6"/>
  <c r="AO46" i="6" s="1"/>
  <c r="AD23" i="6"/>
  <c r="AE23" i="6" s="1"/>
  <c r="AN26" i="4"/>
  <c r="AO26" i="4" s="1"/>
  <c r="AC16" i="4"/>
  <c r="BB45" i="3"/>
  <c r="BD46" i="3" s="1"/>
  <c r="BE46" i="3" s="1"/>
  <c r="BN31" i="3"/>
  <c r="AV43" i="3"/>
  <c r="AW43" i="3" s="1"/>
  <c r="BZ15" i="3"/>
  <c r="CB16" i="3" s="1"/>
  <c r="CC16" i="3" s="1"/>
  <c r="BB14" i="3"/>
  <c r="BD15" i="3" s="1"/>
  <c r="BE15" i="3" s="1"/>
  <c r="CF53" i="3"/>
  <c r="CG53" i="3" s="1"/>
  <c r="CL50" i="3"/>
  <c r="CM50" i="3" s="1"/>
  <c r="AV60" i="3"/>
  <c r="AW60" i="3" s="1"/>
  <c r="CX52" i="3"/>
  <c r="CZ53" i="3" s="1"/>
  <c r="DA53" i="3" s="1"/>
  <c r="CF8" i="3"/>
  <c r="CH9" i="3" s="1"/>
  <c r="CI9" i="3" s="1"/>
  <c r="CL13" i="3"/>
  <c r="CM13" i="3" s="1"/>
  <c r="BH42" i="3"/>
  <c r="BI42" i="3" s="1"/>
  <c r="BN60" i="3"/>
  <c r="BO60" i="3" s="1"/>
  <c r="CR54" i="3"/>
  <c r="CF59" i="3"/>
  <c r="CH60" i="3" s="1"/>
  <c r="CI60" i="3" s="1"/>
  <c r="CR49" i="3"/>
  <c r="BZ12" i="3"/>
  <c r="CB13" i="3" s="1"/>
  <c r="CC13" i="3" s="1"/>
  <c r="BN41" i="3"/>
  <c r="BO41" i="3" s="1"/>
  <c r="BN57" i="3"/>
  <c r="BB57" i="2"/>
  <c r="BD58" i="2" s="1"/>
  <c r="BE58" i="2" s="1"/>
  <c r="CL11" i="2"/>
  <c r="CN12" i="2" s="1"/>
  <c r="CO12" i="2" s="1"/>
  <c r="CL23" i="2"/>
  <c r="CN24" i="2" s="1"/>
  <c r="CO24" i="2" s="1"/>
  <c r="BB12" i="2"/>
  <c r="BC12" i="2" s="1"/>
  <c r="AV61" i="2"/>
  <c r="AW61" i="2" s="1"/>
  <c r="BB10" i="2"/>
  <c r="BC10" i="2" s="1"/>
  <c r="AV52" i="2"/>
  <c r="AW52" i="2" s="1"/>
  <c r="CL35" i="2"/>
  <c r="CM35" i="2" s="1"/>
  <c r="BN24" i="2"/>
  <c r="CL32" i="2"/>
  <c r="CM32" i="2" s="1"/>
  <c r="CL41" i="2"/>
  <c r="CM41" i="2" s="1"/>
  <c r="BB16" i="3"/>
  <c r="BC16" i="3" s="1"/>
  <c r="CX51" i="3"/>
  <c r="CY51" i="3" s="1"/>
  <c r="BB37" i="3"/>
  <c r="BC37" i="3" s="1"/>
  <c r="BB40" i="3"/>
  <c r="BC40" i="3" s="1"/>
  <c r="CX45" i="3"/>
  <c r="CY45" i="3" s="1"/>
  <c r="CL31" i="3"/>
  <c r="CN32" i="3" s="1"/>
  <c r="CO32" i="3" s="1"/>
  <c r="CR42" i="3"/>
  <c r="CL58" i="2"/>
  <c r="CN59" i="2" s="1"/>
  <c r="CO59" i="2" s="1"/>
  <c r="AV34" i="2"/>
  <c r="AW34" i="2" s="1"/>
  <c r="AN37" i="6"/>
  <c r="AO37" i="6" s="1"/>
  <c r="AH3" i="7"/>
  <c r="CF35" i="3"/>
  <c r="CG35" i="3" s="1"/>
  <c r="BB9" i="3"/>
  <c r="BC9" i="3" s="1"/>
  <c r="CL10" i="2"/>
  <c r="CN11" i="2" s="1"/>
  <c r="CO11" i="2" s="1"/>
  <c r="BN8" i="2"/>
  <c r="BN23" i="2"/>
  <c r="BH64" i="3"/>
  <c r="BJ65" i="3" s="1"/>
  <c r="BK65" i="3" s="1"/>
  <c r="AV44" i="2"/>
  <c r="AX45" i="2" s="1"/>
  <c r="AY45" i="2" s="1"/>
  <c r="BB30" i="3"/>
  <c r="BD31" i="3" s="1"/>
  <c r="BE31" i="3" s="1"/>
  <c r="CL33" i="3"/>
  <c r="CN34" i="3" s="1"/>
  <c r="CO34" i="3" s="1"/>
  <c r="BB47" i="3"/>
  <c r="BD48" i="3" s="1"/>
  <c r="BE48" i="3" s="1"/>
  <c r="BB31" i="2"/>
  <c r="BC31" i="2" s="1"/>
  <c r="CF54" i="2"/>
  <c r="CG54" i="2" s="1"/>
  <c r="BT63" i="2"/>
  <c r="BV64" i="2" s="1"/>
  <c r="BW64" i="2" s="1"/>
  <c r="Y31" i="8"/>
  <c r="Z31" i="8" s="1"/>
  <c r="AC28" i="8"/>
  <c r="CX8" i="3"/>
  <c r="CY8" i="3" s="1"/>
  <c r="CL55" i="3"/>
  <c r="CN56" i="3" s="1"/>
  <c r="CO56" i="3" s="1"/>
  <c r="CL36" i="3"/>
  <c r="CN37" i="3" s="1"/>
  <c r="CO37" i="3" s="1"/>
  <c r="CX7" i="3"/>
  <c r="CY7" i="3" s="1"/>
  <c r="BB55" i="3"/>
  <c r="BD56" i="3" s="1"/>
  <c r="BE56" i="3" s="1"/>
  <c r="CL11" i="3"/>
  <c r="CN12" i="3" s="1"/>
  <c r="CO12" i="3" s="1"/>
  <c r="BH41" i="3"/>
  <c r="BI41" i="3" s="1"/>
  <c r="BT8" i="2"/>
  <c r="BV9" i="2" s="1"/>
  <c r="BW9" i="2" s="1"/>
  <c r="CX12" i="2"/>
  <c r="CY12" i="2" s="1"/>
  <c r="BT24" i="2"/>
  <c r="BU24" i="2" s="1"/>
  <c r="BJ53" i="3"/>
  <c r="BK53" i="3" s="1"/>
  <c r="CF71" i="3"/>
  <c r="CE70" i="3"/>
  <c r="BY69" i="3"/>
  <c r="BZ69" i="3" s="1"/>
  <c r="BY58" i="3"/>
  <c r="BZ58" i="3" s="1"/>
  <c r="BZ59" i="3"/>
  <c r="BG8" i="3"/>
  <c r="BH8" i="3" s="1"/>
  <c r="BH9" i="3"/>
  <c r="BM21" i="3"/>
  <c r="BN21" i="3" s="1"/>
  <c r="BO21" i="3" s="1"/>
  <c r="BN22" i="3"/>
  <c r="BO22" i="3" s="1"/>
  <c r="CX42" i="3"/>
  <c r="CW41" i="3"/>
  <c r="CX41" i="3" s="1"/>
  <c r="CE30" i="3"/>
  <c r="CF30" i="3" s="1"/>
  <c r="CE66" i="3"/>
  <c r="CF66" i="3" s="1"/>
  <c r="BT20" i="3"/>
  <c r="BS19" i="3"/>
  <c r="BT19" i="3" s="1"/>
  <c r="BM8" i="3"/>
  <c r="BN8" i="3" s="1"/>
  <c r="BO8" i="3" s="1"/>
  <c r="BN9" i="3"/>
  <c r="BO9" i="3" s="1"/>
  <c r="BG62" i="2"/>
  <c r="BH62" i="2" s="1"/>
  <c r="BM70" i="2"/>
  <c r="BN70" i="2" s="1"/>
  <c r="BO70" i="2" s="1"/>
  <c r="CW29" i="2"/>
  <c r="CX29" i="2" s="1"/>
  <c r="CX30" i="2"/>
  <c r="CQ62" i="2"/>
  <c r="CQ36" i="2"/>
  <c r="CR36" i="2" s="1"/>
  <c r="CT37" i="2" s="1"/>
  <c r="BG14" i="2"/>
  <c r="BH14" i="2" s="1"/>
  <c r="CK65" i="2"/>
  <c r="CL65" i="2" s="1"/>
  <c r="BY49" i="2"/>
  <c r="BZ49" i="2" s="1"/>
  <c r="CQ23" i="2"/>
  <c r="CR23" i="2" s="1"/>
  <c r="CT24" i="2" s="1"/>
  <c r="CR24" i="2"/>
  <c r="CT25" i="2" s="1"/>
  <c r="CW20" i="2"/>
  <c r="CX20" i="2" s="1"/>
  <c r="Y17" i="4"/>
  <c r="Z17" i="4" s="1"/>
  <c r="AH12" i="6"/>
  <c r="AI27" i="6"/>
  <c r="AJ27" i="6" s="1"/>
  <c r="AM15" i="6"/>
  <c r="AV8" i="3"/>
  <c r="AU7" i="3"/>
  <c r="AV7" i="3" s="1"/>
  <c r="BY64" i="3"/>
  <c r="BZ64" i="3" s="1"/>
  <c r="BA69" i="3"/>
  <c r="BB69" i="3" s="1"/>
  <c r="CQ59" i="3"/>
  <c r="CR59" i="3" s="1"/>
  <c r="CT60" i="3" s="1"/>
  <c r="BM72" i="3"/>
  <c r="BN72" i="3" s="1"/>
  <c r="BO72" i="3" s="1"/>
  <c r="CA45" i="3"/>
  <c r="CB46" i="3"/>
  <c r="CC46" i="3" s="1"/>
  <c r="CQ51" i="3"/>
  <c r="CR51" i="3" s="1"/>
  <c r="CT52" i="3" s="1"/>
  <c r="BG30" i="3"/>
  <c r="BH30" i="3" s="1"/>
  <c r="CE40" i="3"/>
  <c r="CF40" i="3" s="1"/>
  <c r="CF41" i="3"/>
  <c r="CK48" i="3"/>
  <c r="CL48" i="3" s="1"/>
  <c r="CL49" i="3"/>
  <c r="BS9" i="3"/>
  <c r="BT9" i="3" s="1"/>
  <c r="CW59" i="3"/>
  <c r="CX59" i="3" s="1"/>
  <c r="BS66" i="3"/>
  <c r="BT66" i="3" s="1"/>
  <c r="BT8" i="3"/>
  <c r="BS7" i="3"/>
  <c r="BT7" i="3" s="1"/>
  <c r="CW62" i="3"/>
  <c r="CX63" i="3"/>
  <c r="BY66" i="3"/>
  <c r="BZ66" i="3" s="1"/>
  <c r="BH34" i="3"/>
  <c r="BG33" i="3"/>
  <c r="BH33" i="3" s="1"/>
  <c r="BZ44" i="3"/>
  <c r="BT57" i="3"/>
  <c r="CL70" i="3"/>
  <c r="CK69" i="3"/>
  <c r="CL69" i="3" s="1"/>
  <c r="CL51" i="3"/>
  <c r="BS29" i="3"/>
  <c r="BT29" i="3" s="1"/>
  <c r="BY68" i="3"/>
  <c r="BZ68" i="3" s="1"/>
  <c r="BB15" i="3"/>
  <c r="BN13" i="3"/>
  <c r="BO13" i="3" s="1"/>
  <c r="CQ61" i="3"/>
  <c r="CR61" i="3" s="1"/>
  <c r="CT62" i="3" s="1"/>
  <c r="CE21" i="3"/>
  <c r="CF21" i="3" s="1"/>
  <c r="CF22" i="3"/>
  <c r="BB32" i="3"/>
  <c r="BA31" i="3"/>
  <c r="BB31" i="3" s="1"/>
  <c r="AU69" i="3"/>
  <c r="AV69" i="3" s="1"/>
  <c r="BT46" i="3"/>
  <c r="BS45" i="3"/>
  <c r="BT45" i="3" s="1"/>
  <c r="CQ68" i="3"/>
  <c r="CR68" i="3" s="1"/>
  <c r="CT69" i="3" s="1"/>
  <c r="CR69" i="3"/>
  <c r="CT70" i="3" s="1"/>
  <c r="CL46" i="3"/>
  <c r="CK45" i="3"/>
  <c r="CL45" i="3" s="1"/>
  <c r="CX21" i="3"/>
  <c r="CW20" i="3"/>
  <c r="CX20" i="3" s="1"/>
  <c r="CX36" i="3"/>
  <c r="CW35" i="3"/>
  <c r="CX35" i="3" s="1"/>
  <c r="BA64" i="3"/>
  <c r="BB64" i="3" s="1"/>
  <c r="AU70" i="3"/>
  <c r="AV70" i="3" s="1"/>
  <c r="CQ26" i="3"/>
  <c r="CR26" i="3" s="1"/>
  <c r="CT27" i="3" s="1"/>
  <c r="AU14" i="3"/>
  <c r="AV14" i="3" s="1"/>
  <c r="AV15" i="3"/>
  <c r="AV59" i="3"/>
  <c r="AU58" i="3"/>
  <c r="AV58" i="3" s="1"/>
  <c r="BA72" i="3"/>
  <c r="BB72" i="3" s="1"/>
  <c r="BG71" i="3"/>
  <c r="BH71" i="3" s="1"/>
  <c r="CR17" i="3"/>
  <c r="CT18" i="3" s="1"/>
  <c r="CQ16" i="3"/>
  <c r="CR16" i="3" s="1"/>
  <c r="CT17" i="3" s="1"/>
  <c r="BM38" i="3"/>
  <c r="BN38" i="3" s="1"/>
  <c r="BO38" i="3" s="1"/>
  <c r="BN39" i="3"/>
  <c r="BO39" i="3" s="1"/>
  <c r="BH62" i="3"/>
  <c r="BG61" i="3"/>
  <c r="BH61" i="3" s="1"/>
  <c r="CW57" i="3"/>
  <c r="CX57" i="3" s="1"/>
  <c r="BS72" i="3"/>
  <c r="BT72" i="3" s="1"/>
  <c r="BS34" i="3"/>
  <c r="BT34" i="3" s="1"/>
  <c r="BT35" i="3"/>
  <c r="BG20" i="3"/>
  <c r="BH20" i="3" s="1"/>
  <c r="BH21" i="3"/>
  <c r="CF70" i="3"/>
  <c r="CE69" i="3"/>
  <c r="BN35" i="3"/>
  <c r="BO35" i="3" s="1"/>
  <c r="BM34" i="3"/>
  <c r="BN34" i="3" s="1"/>
  <c r="BO34" i="3" s="1"/>
  <c r="AU49" i="3"/>
  <c r="AV49" i="3" s="1"/>
  <c r="AV50" i="3"/>
  <c r="BG29" i="3"/>
  <c r="BH29" i="3" s="1"/>
  <c r="CF18" i="3"/>
  <c r="AU24" i="3"/>
  <c r="AV24" i="3" s="1"/>
  <c r="AU66" i="2"/>
  <c r="AV66" i="2" s="1"/>
  <c r="BG38" i="2"/>
  <c r="BH38" i="2" s="1"/>
  <c r="BS9" i="2"/>
  <c r="BT9" i="2" s="1"/>
  <c r="BM35" i="2"/>
  <c r="BN35" i="2" s="1"/>
  <c r="BO35" i="2" s="1"/>
  <c r="BN36" i="2"/>
  <c r="BO36" i="2" s="1"/>
  <c r="AV28" i="2"/>
  <c r="AU27" i="2"/>
  <c r="AV27" i="2" s="1"/>
  <c r="BM37" i="2"/>
  <c r="BN37" i="2" s="1"/>
  <c r="BO37" i="2" s="1"/>
  <c r="AV62" i="2"/>
  <c r="BG70" i="2"/>
  <c r="BH70" i="2" s="1"/>
  <c r="BA39" i="2"/>
  <c r="BB39" i="2" s="1"/>
  <c r="BB40" i="2"/>
  <c r="AV21" i="2"/>
  <c r="AU20" i="2"/>
  <c r="AV20" i="2" s="1"/>
  <c r="BY32" i="2"/>
  <c r="BZ32" i="2" s="1"/>
  <c r="BB11" i="2"/>
  <c r="CQ60" i="2"/>
  <c r="CR60" i="2" s="1"/>
  <c r="CT61" i="2" s="1"/>
  <c r="AU46" i="2"/>
  <c r="AV46" i="2" s="1"/>
  <c r="AV47" i="2"/>
  <c r="BY54" i="2"/>
  <c r="BZ54" i="2" s="1"/>
  <c r="BZ55" i="2"/>
  <c r="BG52" i="2"/>
  <c r="BH52" i="2" s="1"/>
  <c r="CW19" i="2"/>
  <c r="CX19" i="2" s="1"/>
  <c r="AU67" i="2"/>
  <c r="AV67" i="2" s="1"/>
  <c r="AV55" i="2"/>
  <c r="AU54" i="2"/>
  <c r="AV54" i="2" s="1"/>
  <c r="CE51" i="2"/>
  <c r="CF51" i="2" s="1"/>
  <c r="CF52" i="2"/>
  <c r="BB59" i="2"/>
  <c r="BY67" i="2"/>
  <c r="BZ67" i="2" s="1"/>
  <c r="CW53" i="2"/>
  <c r="CX53" i="2" s="1"/>
  <c r="CX54" i="2"/>
  <c r="BH36" i="2"/>
  <c r="BG35" i="2"/>
  <c r="BH35" i="2" s="1"/>
  <c r="BM60" i="2"/>
  <c r="BN60" i="2" s="1"/>
  <c r="BO60" i="2" s="1"/>
  <c r="BN61" i="2"/>
  <c r="BO61" i="2" s="1"/>
  <c r="BZ20" i="2"/>
  <c r="BY19" i="2"/>
  <c r="BZ19" i="2" s="1"/>
  <c r="BS50" i="2"/>
  <c r="BT50" i="2" s="1"/>
  <c r="CQ53" i="2"/>
  <c r="CR53" i="2" s="1"/>
  <c r="CT54" i="2" s="1"/>
  <c r="CR54" i="2"/>
  <c r="CT55" i="2" s="1"/>
  <c r="CE41" i="2"/>
  <c r="CF41" i="2" s="1"/>
  <c r="CF42" i="2"/>
  <c r="BG21" i="2"/>
  <c r="BH21" i="2" s="1"/>
  <c r="BM13" i="2"/>
  <c r="BN13" i="2" s="1"/>
  <c r="BO13" i="2" s="1"/>
  <c r="CE9" i="2"/>
  <c r="CF9" i="2" s="1"/>
  <c r="CF10" i="2"/>
  <c r="CW37" i="2"/>
  <c r="CX37" i="2" s="1"/>
  <c r="CF70" i="2"/>
  <c r="CE69" i="2"/>
  <c r="CF72" i="2"/>
  <c r="CE71" i="2"/>
  <c r="CW8" i="2"/>
  <c r="CX8" i="2" s="1"/>
  <c r="CX9" i="2"/>
  <c r="CQ65" i="2"/>
  <c r="CR66" i="2"/>
  <c r="CT67" i="2" s="1"/>
  <c r="CW58" i="2"/>
  <c r="CX58" i="2" s="1"/>
  <c r="CQ29" i="2"/>
  <c r="CR29" i="2" s="1"/>
  <c r="CT30" i="2" s="1"/>
  <c r="BM69" i="2"/>
  <c r="BN69" i="2" s="1"/>
  <c r="BO69" i="2" s="1"/>
  <c r="CQ10" i="2"/>
  <c r="CR10" i="2" s="1"/>
  <c r="CT11" i="2" s="1"/>
  <c r="CQ61" i="2"/>
  <c r="CR61" i="2" s="1"/>
  <c r="CT62" i="2" s="1"/>
  <c r="CR62" i="2"/>
  <c r="CT63" i="2" s="1"/>
  <c r="BS66" i="2"/>
  <c r="BT66" i="2" s="1"/>
  <c r="CK59" i="2"/>
  <c r="CL59" i="2" s="1"/>
  <c r="CL13" i="2"/>
  <c r="BM21" i="2"/>
  <c r="BN21" i="2" s="1"/>
  <c r="BO21" i="2" s="1"/>
  <c r="BN22" i="2"/>
  <c r="BO22" i="2" s="1"/>
  <c r="BG11" i="2"/>
  <c r="BH11" i="2" s="1"/>
  <c r="BN42" i="2"/>
  <c r="BO42" i="2" s="1"/>
  <c r="BM14" i="2"/>
  <c r="BN14" i="2" s="1"/>
  <c r="BO14" i="2" s="1"/>
  <c r="BN15" i="2"/>
  <c r="BO15" i="2" s="1"/>
  <c r="CL69" i="2"/>
  <c r="CK68" i="2"/>
  <c r="BG72" i="2"/>
  <c r="BH72" i="2" s="1"/>
  <c r="BB7" i="2"/>
  <c r="CK64" i="2"/>
  <c r="CL64" i="2" s="1"/>
  <c r="BM71" i="2"/>
  <c r="BN71" i="2" s="1"/>
  <c r="BO71" i="2" s="1"/>
  <c r="CW35" i="2"/>
  <c r="CX35" i="2" s="1"/>
  <c r="CX36" i="2"/>
  <c r="AN22" i="6"/>
  <c r="AO22" i="6" s="1"/>
  <c r="CL32" i="3"/>
  <c r="BS70" i="3"/>
  <c r="BT70" i="3" s="1"/>
  <c r="AU72" i="3"/>
  <c r="AV72" i="3" s="1"/>
  <c r="BN28" i="3"/>
  <c r="BO28" i="3" s="1"/>
  <c r="CX33" i="3"/>
  <c r="CR72" i="3"/>
  <c r="CT73" i="3" s="1"/>
  <c r="BB46" i="3"/>
  <c r="BM61" i="3"/>
  <c r="BN61" i="3" s="1"/>
  <c r="BO61" i="3" s="1"/>
  <c r="BN62" i="3"/>
  <c r="BO62" i="3" s="1"/>
  <c r="AW51" i="3"/>
  <c r="AX52" i="3"/>
  <c r="AY52" i="3" s="1"/>
  <c r="BN40" i="3"/>
  <c r="BO40" i="3" s="1"/>
  <c r="CE61" i="3"/>
  <c r="CF61" i="3" s="1"/>
  <c r="AU35" i="3"/>
  <c r="AV35" i="3" s="1"/>
  <c r="AV36" i="3"/>
  <c r="BT42" i="3"/>
  <c r="BS41" i="3"/>
  <c r="BT41" i="3" s="1"/>
  <c r="BN24" i="3"/>
  <c r="BO24" i="3" s="1"/>
  <c r="CL41" i="3"/>
  <c r="CL30" i="3"/>
  <c r="CX32" i="3"/>
  <c r="CW31" i="3"/>
  <c r="CX31" i="3" s="1"/>
  <c r="BG69" i="3"/>
  <c r="BH69" i="3" s="1"/>
  <c r="AU57" i="3"/>
  <c r="AV57" i="3" s="1"/>
  <c r="CR41" i="3"/>
  <c r="CT42" i="3" s="1"/>
  <c r="AU73" i="3"/>
  <c r="AV73" i="3" s="1"/>
  <c r="AV74" i="3"/>
  <c r="AW74" i="3" s="1"/>
  <c r="BG19" i="3"/>
  <c r="BH19" i="3" s="1"/>
  <c r="CX19" i="3"/>
  <c r="BB19" i="3"/>
  <c r="BA18" i="3"/>
  <c r="BB18" i="3" s="1"/>
  <c r="BH57" i="3"/>
  <c r="BG56" i="3"/>
  <c r="BH56" i="3" s="1"/>
  <c r="CW56" i="3"/>
  <c r="CX56" i="3" s="1"/>
  <c r="BS39" i="3"/>
  <c r="BT39" i="3" s="1"/>
  <c r="BT40" i="3"/>
  <c r="CL10" i="3"/>
  <c r="BG45" i="3"/>
  <c r="BH45" i="3" s="1"/>
  <c r="BH46" i="3"/>
  <c r="BG68" i="3"/>
  <c r="BH68" i="3" s="1"/>
  <c r="CK62" i="3"/>
  <c r="CL62" i="3" s="1"/>
  <c r="BB27" i="3"/>
  <c r="CK25" i="3"/>
  <c r="CL25" i="3" s="1"/>
  <c r="BZ35" i="3"/>
  <c r="BT63" i="3"/>
  <c r="BS62" i="3"/>
  <c r="BT62" i="3" s="1"/>
  <c r="CL37" i="3"/>
  <c r="CL14" i="3"/>
  <c r="BN17" i="3"/>
  <c r="BO17" i="3" s="1"/>
  <c r="BZ40" i="3"/>
  <c r="BY39" i="3"/>
  <c r="BZ39" i="3" s="1"/>
  <c r="CQ63" i="3"/>
  <c r="CR63" i="3" s="1"/>
  <c r="CT64" i="3" s="1"/>
  <c r="BH60" i="3"/>
  <c r="AW42" i="3"/>
  <c r="AX43" i="3"/>
  <c r="AY43" i="3" s="1"/>
  <c r="CX71" i="3"/>
  <c r="CE64" i="3"/>
  <c r="CF64" i="3" s="1"/>
  <c r="BS26" i="3"/>
  <c r="BT26" i="3" s="1"/>
  <c r="AU30" i="3"/>
  <c r="AV30" i="3" s="1"/>
  <c r="AV31" i="3"/>
  <c r="BS27" i="3"/>
  <c r="BT27" i="3" s="1"/>
  <c r="BT28" i="3"/>
  <c r="CX44" i="3"/>
  <c r="AW41" i="3"/>
  <c r="AX42" i="3"/>
  <c r="AY42" i="3" s="1"/>
  <c r="BY67" i="3"/>
  <c r="BZ67" i="3" s="1"/>
  <c r="BT22" i="3"/>
  <c r="BS21" i="3"/>
  <c r="BT21" i="3" s="1"/>
  <c r="CQ12" i="3"/>
  <c r="CR12" i="3" s="1"/>
  <c r="CT13" i="3" s="1"/>
  <c r="CL54" i="3"/>
  <c r="BH74" i="3"/>
  <c r="BI74" i="3" s="1"/>
  <c r="BG73" i="3"/>
  <c r="BH73" i="3" s="1"/>
  <c r="CQ18" i="3"/>
  <c r="CR18" i="3" s="1"/>
  <c r="CT19" i="3" s="1"/>
  <c r="CF7" i="3"/>
  <c r="CL12" i="3"/>
  <c r="CL15" i="3"/>
  <c r="BZ38" i="3"/>
  <c r="BY37" i="3"/>
  <c r="BZ37" i="3" s="1"/>
  <c r="BZ53" i="3"/>
  <c r="BB54" i="3"/>
  <c r="CX72" i="3"/>
  <c r="AV37" i="3"/>
  <c r="BG10" i="3"/>
  <c r="BH10" i="3" s="1"/>
  <c r="BS20" i="2"/>
  <c r="BT20" i="2" s="1"/>
  <c r="BD62" i="2"/>
  <c r="BE62" i="2" s="1"/>
  <c r="AX24" i="2"/>
  <c r="AY24" i="2" s="1"/>
  <c r="AW23" i="2"/>
  <c r="CW28" i="2"/>
  <c r="CX28" i="2" s="1"/>
  <c r="BA65" i="2"/>
  <c r="BB65" i="2" s="1"/>
  <c r="BG13" i="2"/>
  <c r="BH13" i="2" s="1"/>
  <c r="BA28" i="2"/>
  <c r="BB28" i="2" s="1"/>
  <c r="BB29" i="2"/>
  <c r="BG59" i="2"/>
  <c r="BH59" i="2" s="1"/>
  <c r="BH60" i="2"/>
  <c r="CL31" i="2"/>
  <c r="CK30" i="2"/>
  <c r="CL30" i="2" s="1"/>
  <c r="BB30" i="2"/>
  <c r="CN58" i="2"/>
  <c r="CO58" i="2" s="1"/>
  <c r="CM57" i="2"/>
  <c r="BA45" i="2"/>
  <c r="BB45" i="2" s="1"/>
  <c r="BB46" i="2"/>
  <c r="BB60" i="2"/>
  <c r="CL9" i="2"/>
  <c r="BB64" i="2"/>
  <c r="BH32" i="2"/>
  <c r="BH44" i="2"/>
  <c r="BG43" i="2"/>
  <c r="BH43" i="2" s="1"/>
  <c r="BA25" i="2"/>
  <c r="BB25" i="2" s="1"/>
  <c r="BB26" i="2"/>
  <c r="BT7" i="2"/>
  <c r="BZ56" i="2"/>
  <c r="CX40" i="2"/>
  <c r="CW39" i="2"/>
  <c r="CX39" i="2" s="1"/>
  <c r="AU58" i="2"/>
  <c r="AV58" i="2" s="1"/>
  <c r="BY61" i="2"/>
  <c r="BZ61" i="2" s="1"/>
  <c r="CQ63" i="2"/>
  <c r="CR63" i="2" s="1"/>
  <c r="CT64" i="2" s="1"/>
  <c r="BB52" i="2"/>
  <c r="BS65" i="2"/>
  <c r="BT65" i="2" s="1"/>
  <c r="BG7" i="2"/>
  <c r="BH7" i="2" s="1"/>
  <c r="BH8" i="2"/>
  <c r="CQ57" i="2"/>
  <c r="CR57" i="2" s="1"/>
  <c r="CT58" i="2" s="1"/>
  <c r="CQ37" i="2"/>
  <c r="CR37" i="2" s="1"/>
  <c r="CT38" i="2" s="1"/>
  <c r="AU11" i="2"/>
  <c r="AV11" i="2" s="1"/>
  <c r="AV12" i="2"/>
  <c r="CQ38" i="2"/>
  <c r="CR38" i="2" s="1"/>
  <c r="CT39" i="2" s="1"/>
  <c r="BS28" i="2"/>
  <c r="BT28" i="2" s="1"/>
  <c r="BS37" i="2"/>
  <c r="BT37" i="2" s="1"/>
  <c r="BT38" i="2"/>
  <c r="BS44" i="2"/>
  <c r="BT44" i="2" s="1"/>
  <c r="BY21" i="2"/>
  <c r="BZ21" i="2" s="1"/>
  <c r="BY72" i="2"/>
  <c r="BZ73" i="2"/>
  <c r="CE56" i="2"/>
  <c r="CF56" i="2" s="1"/>
  <c r="CR16" i="2"/>
  <c r="CT17" i="2" s="1"/>
  <c r="CQ15" i="2"/>
  <c r="CR15" i="2" s="1"/>
  <c r="CT16" i="2" s="1"/>
  <c r="BS58" i="2"/>
  <c r="BT58" i="2" s="1"/>
  <c r="BT59" i="2"/>
  <c r="BM55" i="2"/>
  <c r="BN55" i="2" s="1"/>
  <c r="BO55" i="2" s="1"/>
  <c r="BN56" i="2"/>
  <c r="BO56" i="2" s="1"/>
  <c r="BS57" i="2"/>
  <c r="BT57" i="2" s="1"/>
  <c r="CX64" i="2"/>
  <c r="CW63" i="2"/>
  <c r="CL26" i="2"/>
  <c r="BS29" i="2"/>
  <c r="BT29" i="2" s="1"/>
  <c r="BT30" i="2"/>
  <c r="AV22" i="2"/>
  <c r="BS41" i="2"/>
  <c r="BT41" i="2" s="1"/>
  <c r="BT42" i="2"/>
  <c r="CE66" i="2"/>
  <c r="CF66" i="2" s="1"/>
  <c r="CE14" i="2"/>
  <c r="CF14" i="2" s="1"/>
  <c r="BY64" i="2"/>
  <c r="BZ64" i="2" s="1"/>
  <c r="CL74" i="2"/>
  <c r="CM74" i="2" s="1"/>
  <c r="CK73" i="2"/>
  <c r="CL73" i="2" s="1"/>
  <c r="BT15" i="2"/>
  <c r="BT31" i="2"/>
  <c r="CF32" i="2"/>
  <c r="CE31" i="2"/>
  <c r="CF31" i="2" s="1"/>
  <c r="CW33" i="2"/>
  <c r="CX33" i="2" s="1"/>
  <c r="CF53" i="2"/>
  <c r="BG47" i="2"/>
  <c r="BH47" i="2" s="1"/>
  <c r="BN7" i="2"/>
  <c r="BO7" i="2" s="1"/>
  <c r="BG22" i="2"/>
  <c r="BH22" i="2" s="1"/>
  <c r="CK54" i="2"/>
  <c r="CL54" i="2" s="1"/>
  <c r="CL55" i="2"/>
  <c r="CF69" i="2"/>
  <c r="CE68" i="2"/>
  <c r="CF68" i="2" s="1"/>
  <c r="CL33" i="2"/>
  <c r="BY7" i="2"/>
  <c r="BZ7" i="2" s="1"/>
  <c r="BZ8" i="2"/>
  <c r="CL14" i="2"/>
  <c r="CL56" i="2"/>
  <c r="AU23" i="3"/>
  <c r="AV23" i="3" s="1"/>
  <c r="BD25" i="3"/>
  <c r="BE25" i="3" s="1"/>
  <c r="BC24" i="3"/>
  <c r="BI43" i="3"/>
  <c r="BJ44" i="3"/>
  <c r="BK44" i="3" s="1"/>
  <c r="BA41" i="3"/>
  <c r="BB41" i="3" s="1"/>
  <c r="BB42" i="3"/>
  <c r="BB12" i="3"/>
  <c r="BA11" i="3"/>
  <c r="BB11" i="3" s="1"/>
  <c r="BH49" i="3"/>
  <c r="BG48" i="3"/>
  <c r="BH48" i="3" s="1"/>
  <c r="BB8" i="3"/>
  <c r="BA7" i="3"/>
  <c r="BB7" i="3" s="1"/>
  <c r="BY7" i="3"/>
  <c r="BZ7" i="3" s="1"/>
  <c r="BZ18" i="2"/>
  <c r="BY17" i="2"/>
  <c r="BZ17" i="2" s="1"/>
  <c r="AU70" i="2"/>
  <c r="AV70" i="2" s="1"/>
  <c r="BY11" i="2"/>
  <c r="BZ11" i="2" s="1"/>
  <c r="CR50" i="2"/>
  <c r="CT51" i="2" s="1"/>
  <c r="CQ49" i="2"/>
  <c r="CR49" i="2" s="1"/>
  <c r="CT50" i="2" s="1"/>
  <c r="BG66" i="2"/>
  <c r="BH66" i="2" s="1"/>
  <c r="BH16" i="2"/>
  <c r="BG15" i="2"/>
  <c r="BH15" i="2" s="1"/>
  <c r="BH28" i="2"/>
  <c r="BG27" i="2"/>
  <c r="BH27" i="2" s="1"/>
  <c r="BG26" i="2"/>
  <c r="BH26" i="2" s="1"/>
  <c r="CE7" i="2"/>
  <c r="CF7" i="2" s="1"/>
  <c r="CF8" i="2"/>
  <c r="BY29" i="2"/>
  <c r="BZ29" i="2" s="1"/>
  <c r="BZ30" i="2"/>
  <c r="BH42" i="2"/>
  <c r="BG41" i="2"/>
  <c r="BH41" i="2" s="1"/>
  <c r="CE55" i="2"/>
  <c r="CF55" i="2" s="1"/>
  <c r="BZ13" i="3"/>
  <c r="CQ19" i="3"/>
  <c r="CR19" i="3" s="1"/>
  <c r="CT20" i="3" s="1"/>
  <c r="CR20" i="3"/>
  <c r="CT21" i="3" s="1"/>
  <c r="CW58" i="3"/>
  <c r="CX58" i="3" s="1"/>
  <c r="BB63" i="3"/>
  <c r="BA62" i="3"/>
  <c r="BB62" i="3" s="1"/>
  <c r="CQ13" i="3"/>
  <c r="CR13" i="3" s="1"/>
  <c r="CT14" i="3" s="1"/>
  <c r="CR14" i="3"/>
  <c r="CT15" i="3" s="1"/>
  <c r="CL68" i="3"/>
  <c r="CK67" i="3"/>
  <c r="CL67" i="3" s="1"/>
  <c r="BT52" i="3"/>
  <c r="BS51" i="3"/>
  <c r="BT51" i="3" s="1"/>
  <c r="BS65" i="3"/>
  <c r="BT65" i="3" s="1"/>
  <c r="CW16" i="3"/>
  <c r="CX16" i="3" s="1"/>
  <c r="BS15" i="3"/>
  <c r="BT15" i="3" s="1"/>
  <c r="BY47" i="3"/>
  <c r="BZ47" i="3" s="1"/>
  <c r="BZ48" i="3"/>
  <c r="CQ25" i="3"/>
  <c r="CR25" i="3" s="1"/>
  <c r="CT26" i="3" s="1"/>
  <c r="BZ61" i="3"/>
  <c r="BY60" i="3"/>
  <c r="BZ60" i="3" s="1"/>
  <c r="CE23" i="3"/>
  <c r="CF23" i="3" s="1"/>
  <c r="CF24" i="3"/>
  <c r="CE62" i="3"/>
  <c r="CF62" i="3" s="1"/>
  <c r="AU11" i="3"/>
  <c r="AV11" i="3" s="1"/>
  <c r="BS33" i="3"/>
  <c r="BT33" i="3" s="1"/>
  <c r="CR50" i="3"/>
  <c r="CT51" i="3" s="1"/>
  <c r="BG70" i="3"/>
  <c r="BH70" i="3" s="1"/>
  <c r="BS52" i="2"/>
  <c r="BT52" i="2" s="1"/>
  <c r="CQ35" i="2"/>
  <c r="CR35" i="2" s="1"/>
  <c r="CT36" i="2" s="1"/>
  <c r="BB54" i="2"/>
  <c r="BG37" i="2"/>
  <c r="BH37" i="2" s="1"/>
  <c r="CL42" i="2"/>
  <c r="CQ69" i="2"/>
  <c r="CR69" i="2" s="1"/>
  <c r="CT70" i="2" s="1"/>
  <c r="CR70" i="2"/>
  <c r="CT71" i="2" s="1"/>
  <c r="BM57" i="2"/>
  <c r="BN57" i="2" s="1"/>
  <c r="BO57" i="2" s="1"/>
  <c r="BN58" i="2"/>
  <c r="BO58" i="2" s="1"/>
  <c r="BM17" i="2"/>
  <c r="BN17" i="2" s="1"/>
  <c r="BO17" i="2" s="1"/>
  <c r="BN18" i="2"/>
  <c r="BO18" i="2" s="1"/>
  <c r="BS69" i="2"/>
  <c r="BT69" i="2" s="1"/>
  <c r="CE70" i="2"/>
  <c r="CF71" i="2"/>
  <c r="BY70" i="2"/>
  <c r="BZ70" i="2" s="1"/>
  <c r="CW62" i="2"/>
  <c r="CX63" i="2"/>
  <c r="CX24" i="3"/>
  <c r="BB74" i="3"/>
  <c r="BC74" i="3" s="1"/>
  <c r="BA73" i="3"/>
  <c r="BB73" i="3" s="1"/>
  <c r="BN46" i="3"/>
  <c r="BO46" i="3" s="1"/>
  <c r="BB25" i="3"/>
  <c r="CF52" i="3"/>
  <c r="AU27" i="3"/>
  <c r="AV27" i="3" s="1"/>
  <c r="BN14" i="3"/>
  <c r="BO14" i="3" s="1"/>
  <c r="BZ62" i="3"/>
  <c r="CW34" i="3"/>
  <c r="CX34" i="3" s="1"/>
  <c r="BH54" i="3"/>
  <c r="BG53" i="3"/>
  <c r="BH53" i="3" s="1"/>
  <c r="BA66" i="3"/>
  <c r="BB66" i="3" s="1"/>
  <c r="BG72" i="3"/>
  <c r="BH72" i="3" s="1"/>
  <c r="BG66" i="3"/>
  <c r="BH66" i="3" s="1"/>
  <c r="BS68" i="3"/>
  <c r="BT68" i="3" s="1"/>
  <c r="BY13" i="2"/>
  <c r="BZ13" i="2" s="1"/>
  <c r="BZ14" i="2"/>
  <c r="BB24" i="2"/>
  <c r="CF18" i="2"/>
  <c r="CE17" i="2"/>
  <c r="CF17" i="2" s="1"/>
  <c r="CR56" i="2"/>
  <c r="CT57" i="2" s="1"/>
  <c r="CQ55" i="2"/>
  <c r="CR55" i="2" s="1"/>
  <c r="CT56" i="2" s="1"/>
  <c r="CL21" i="2"/>
  <c r="BY16" i="2"/>
  <c r="BZ16" i="2" s="1"/>
  <c r="CF46" i="2"/>
  <c r="CE45" i="2"/>
  <c r="CF45" i="2" s="1"/>
  <c r="BG33" i="2"/>
  <c r="BH33" i="2" s="1"/>
  <c r="BH34" i="2"/>
  <c r="CE36" i="2"/>
  <c r="CF36" i="2" s="1"/>
  <c r="BZ74" i="2"/>
  <c r="CA74" i="2" s="1"/>
  <c r="BY73" i="2"/>
  <c r="CF48" i="2"/>
  <c r="CW69" i="2"/>
  <c r="CX69" i="2" s="1"/>
  <c r="CX70" i="2"/>
  <c r="CW23" i="2"/>
  <c r="CX23" i="2" s="1"/>
  <c r="CR68" i="2"/>
  <c r="CT69" i="2" s="1"/>
  <c r="CQ67" i="2"/>
  <c r="CR67" i="2" s="1"/>
  <c r="CT68" i="2" s="1"/>
  <c r="BG63" i="2"/>
  <c r="BH63" i="2" s="1"/>
  <c r="BH64" i="2"/>
  <c r="CL24" i="2"/>
  <c r="CE44" i="2"/>
  <c r="CF44" i="2" s="1"/>
  <c r="CL29" i="2"/>
  <c r="Y10" i="6"/>
  <c r="Z10" i="6" s="1"/>
  <c r="Y27" i="6"/>
  <c r="Z27" i="6" s="1"/>
  <c r="AH4" i="6"/>
  <c r="AC8" i="6"/>
  <c r="BA48" i="3"/>
  <c r="BB48" i="3" s="1"/>
  <c r="BB49" i="3"/>
  <c r="BH17" i="3"/>
  <c r="BG16" i="3"/>
  <c r="BH16" i="3" s="1"/>
  <c r="BY63" i="3"/>
  <c r="BZ63" i="3" s="1"/>
  <c r="CX27" i="3"/>
  <c r="CW26" i="3"/>
  <c r="CX26" i="3" s="1"/>
  <c r="CX68" i="3"/>
  <c r="BH15" i="3"/>
  <c r="BG14" i="3"/>
  <c r="BH14" i="3" s="1"/>
  <c r="AV34" i="3"/>
  <c r="AU33" i="3"/>
  <c r="AV33" i="3" s="1"/>
  <c r="CF50" i="3"/>
  <c r="BY65" i="3"/>
  <c r="BZ65" i="3" s="1"/>
  <c r="BN47" i="3"/>
  <c r="BO47" i="3" s="1"/>
  <c r="BZ34" i="3"/>
  <c r="CX53" i="3"/>
  <c r="BA70" i="3"/>
  <c r="BB70" i="3" s="1"/>
  <c r="BY50" i="3"/>
  <c r="BZ50" i="3" s="1"/>
  <c r="BZ51" i="3"/>
  <c r="BT31" i="3"/>
  <c r="BS30" i="3"/>
  <c r="BT30" i="3" s="1"/>
  <c r="BN29" i="3"/>
  <c r="BO29" i="3" s="1"/>
  <c r="CR47" i="3"/>
  <c r="CT48" i="3" s="1"/>
  <c r="BA21" i="3"/>
  <c r="BB21" i="3" s="1"/>
  <c r="BB22" i="3"/>
  <c r="BN15" i="3"/>
  <c r="BO15" i="3" s="1"/>
  <c r="BT50" i="3"/>
  <c r="AU71" i="3"/>
  <c r="AV71" i="3" s="1"/>
  <c r="BP53" i="3"/>
  <c r="BQ53" i="3" s="1"/>
  <c r="BT38" i="3"/>
  <c r="AU46" i="3"/>
  <c r="AV46" i="3" s="1"/>
  <c r="AV63" i="3"/>
  <c r="AU62" i="3"/>
  <c r="AV62" i="3" s="1"/>
  <c r="AU64" i="3"/>
  <c r="AV64" i="3" s="1"/>
  <c r="CF17" i="3"/>
  <c r="CE16" i="3"/>
  <c r="CF16" i="3" s="1"/>
  <c r="BB26" i="3"/>
  <c r="BB36" i="3"/>
  <c r="BA35" i="3"/>
  <c r="BB35" i="3" s="1"/>
  <c r="BY71" i="3"/>
  <c r="BZ71" i="3" s="1"/>
  <c r="BZ72" i="3"/>
  <c r="BT37" i="3"/>
  <c r="BS36" i="3"/>
  <c r="BT36" i="3" s="1"/>
  <c r="BN11" i="3"/>
  <c r="BO11" i="3" s="1"/>
  <c r="BM10" i="3"/>
  <c r="BN10" i="3" s="1"/>
  <c r="BO10" i="3" s="1"/>
  <c r="CF47" i="3"/>
  <c r="CE46" i="3"/>
  <c r="CF46" i="3" s="1"/>
  <c r="AU67" i="3"/>
  <c r="AV67" i="3" s="1"/>
  <c r="CQ39" i="3"/>
  <c r="CR39" i="3" s="1"/>
  <c r="CT40" i="3" s="1"/>
  <c r="CR40" i="3"/>
  <c r="CT41" i="3" s="1"/>
  <c r="CB30" i="3"/>
  <c r="CC30" i="3" s="1"/>
  <c r="CA29" i="3"/>
  <c r="AV32" i="3"/>
  <c r="CF43" i="3"/>
  <c r="BB58" i="3"/>
  <c r="BZ73" i="3"/>
  <c r="BY72" i="3"/>
  <c r="BS69" i="3"/>
  <c r="BT69" i="3" s="1"/>
  <c r="BS60" i="3"/>
  <c r="BT60" i="3" s="1"/>
  <c r="BT61" i="3"/>
  <c r="BB50" i="3"/>
  <c r="CX74" i="3"/>
  <c r="CY74" i="3" s="1"/>
  <c r="CW73" i="3"/>
  <c r="CX73" i="3" s="1"/>
  <c r="BA68" i="3"/>
  <c r="BB68" i="3" s="1"/>
  <c r="BG28" i="3"/>
  <c r="BH28" i="3" s="1"/>
  <c r="BN63" i="3"/>
  <c r="BO63" i="3" s="1"/>
  <c r="BN51" i="3"/>
  <c r="BO51" i="3" s="1"/>
  <c r="CE63" i="3"/>
  <c r="CF63" i="3" s="1"/>
  <c r="CQ62" i="3"/>
  <c r="CR62" i="3" s="1"/>
  <c r="CT63" i="3" s="1"/>
  <c r="BG18" i="3"/>
  <c r="BH18" i="3" s="1"/>
  <c r="BS23" i="3"/>
  <c r="BT23" i="3" s="1"/>
  <c r="BT24" i="3"/>
  <c r="BZ25" i="3"/>
  <c r="BZ28" i="3"/>
  <c r="CX39" i="3"/>
  <c r="CL52" i="3"/>
  <c r="BH47" i="3"/>
  <c r="BM71" i="3"/>
  <c r="BN71" i="3" s="1"/>
  <c r="BO71" i="3" s="1"/>
  <c r="CE71" i="3"/>
  <c r="CF72" i="3"/>
  <c r="BH13" i="3"/>
  <c r="BH25" i="3"/>
  <c r="BG24" i="3"/>
  <c r="BH24" i="3" s="1"/>
  <c r="BG27" i="3"/>
  <c r="BH27" i="3" s="1"/>
  <c r="CF28" i="3"/>
  <c r="BA43" i="2"/>
  <c r="BB43" i="2" s="1"/>
  <c r="BB44" i="2"/>
  <c r="BY62" i="2"/>
  <c r="BZ62" i="2" s="1"/>
  <c r="AV63" i="2"/>
  <c r="AV35" i="2"/>
  <c r="BG57" i="2"/>
  <c r="BH57" i="2" s="1"/>
  <c r="BH58" i="2"/>
  <c r="BS17" i="2"/>
  <c r="BT17" i="2" s="1"/>
  <c r="BG25" i="2"/>
  <c r="BH25" i="2" s="1"/>
  <c r="AV15" i="2"/>
  <c r="AV56" i="2"/>
  <c r="BB34" i="2"/>
  <c r="AU25" i="2"/>
  <c r="AV25" i="2" s="1"/>
  <c r="AV26" i="2"/>
  <c r="BM45" i="2"/>
  <c r="BN45" i="2" s="1"/>
  <c r="BO45" i="2" s="1"/>
  <c r="BN46" i="2"/>
  <c r="BO46" i="2" s="1"/>
  <c r="AV32" i="2"/>
  <c r="AU31" i="2"/>
  <c r="AV31" i="2" s="1"/>
  <c r="BG68" i="2"/>
  <c r="BH68" i="2" s="1"/>
  <c r="CE13" i="2"/>
  <c r="CF13" i="2" s="1"/>
  <c r="BZ60" i="2"/>
  <c r="BY59" i="2"/>
  <c r="BZ59" i="2" s="1"/>
  <c r="BM10" i="2"/>
  <c r="BN10" i="2" s="1"/>
  <c r="BO10" i="2" s="1"/>
  <c r="BN11" i="2"/>
  <c r="BO11" i="2" s="1"/>
  <c r="BG46" i="2"/>
  <c r="BH46" i="2" s="1"/>
  <c r="CW56" i="2"/>
  <c r="CX56" i="2" s="1"/>
  <c r="AU65" i="2"/>
  <c r="AV65" i="2" s="1"/>
  <c r="BG45" i="2"/>
  <c r="BH45" i="2" s="1"/>
  <c r="AV14" i="2"/>
  <c r="AU13" i="2"/>
  <c r="AV13" i="2" s="1"/>
  <c r="AV17" i="2"/>
  <c r="BM30" i="2"/>
  <c r="BN30" i="2" s="1"/>
  <c r="BO30" i="2" s="1"/>
  <c r="BZ72" i="2"/>
  <c r="BY71" i="2"/>
  <c r="BZ71" i="2" s="1"/>
  <c r="AV48" i="2"/>
  <c r="BG9" i="2"/>
  <c r="BH9" i="2" s="1"/>
  <c r="CE43" i="2"/>
  <c r="CF43" i="2" s="1"/>
  <c r="CL40" i="2"/>
  <c r="BY57" i="2"/>
  <c r="BZ57" i="2" s="1"/>
  <c r="BZ58" i="2"/>
  <c r="BZ34" i="2"/>
  <c r="BY33" i="2"/>
  <c r="BZ33" i="2" s="1"/>
  <c r="BS73" i="2"/>
  <c r="BT73" i="2" s="1"/>
  <c r="BT74" i="2"/>
  <c r="BU74" i="2" s="1"/>
  <c r="BY22" i="2"/>
  <c r="BZ22" i="2" s="1"/>
  <c r="CE62" i="2"/>
  <c r="CF62" i="2" s="1"/>
  <c r="BM59" i="2"/>
  <c r="BN59" i="2" s="1"/>
  <c r="BO59" i="2" s="1"/>
  <c r="BS61" i="2"/>
  <c r="BT61" i="2" s="1"/>
  <c r="BT62" i="2"/>
  <c r="BG67" i="2"/>
  <c r="BH67" i="2" s="1"/>
  <c r="CE30" i="2"/>
  <c r="CF30" i="2" s="1"/>
  <c r="BZ28" i="2"/>
  <c r="CE19" i="2"/>
  <c r="CF19" i="2" s="1"/>
  <c r="CF20" i="2"/>
  <c r="BS46" i="2"/>
  <c r="BT46" i="2" s="1"/>
  <c r="BT47" i="2"/>
  <c r="CX52" i="2"/>
  <c r="CW51" i="2"/>
  <c r="CX51" i="2" s="1"/>
  <c r="BY23" i="2"/>
  <c r="BZ23" i="2" s="1"/>
  <c r="BZ24" i="2"/>
  <c r="BN74" i="2"/>
  <c r="BO74" i="2" s="1"/>
  <c r="BM73" i="2"/>
  <c r="BN73" i="2" s="1"/>
  <c r="BO73" i="2" s="1"/>
  <c r="CE27" i="2"/>
  <c r="CF27" i="2" s="1"/>
  <c r="CF28" i="2"/>
  <c r="CQ59" i="2"/>
  <c r="CR59" i="2" s="1"/>
  <c r="CT60" i="2" s="1"/>
  <c r="CX48" i="2"/>
  <c r="CW47" i="2"/>
  <c r="CX47" i="2" s="1"/>
  <c r="CK46" i="2"/>
  <c r="CL46" i="2" s="1"/>
  <c r="CL47" i="2"/>
  <c r="CF39" i="2"/>
  <c r="CX42" i="2"/>
  <c r="CW41" i="2"/>
  <c r="CX41" i="2" s="1"/>
  <c r="CL20" i="2"/>
  <c r="CK19" i="2"/>
  <c r="CL19" i="2" s="1"/>
  <c r="BY68" i="2"/>
  <c r="BZ68" i="2" s="1"/>
  <c r="BY50" i="2"/>
  <c r="BZ50" i="2" s="1"/>
  <c r="BZ51" i="2"/>
  <c r="BY44" i="2"/>
  <c r="BZ44" i="2" s="1"/>
  <c r="BZ48" i="2"/>
  <c r="BY47" i="2"/>
  <c r="BZ47" i="2" s="1"/>
  <c r="BM68" i="2"/>
  <c r="BN68" i="2" s="1"/>
  <c r="BO68" i="2" s="1"/>
  <c r="CW55" i="2"/>
  <c r="CX55" i="2" s="1"/>
  <c r="BT23" i="2"/>
  <c r="CK26" i="3"/>
  <c r="CL26" i="3" s="1"/>
  <c r="CL27" i="3"/>
  <c r="CL72" i="3"/>
  <c r="CK71" i="3"/>
  <c r="CL71" i="3" s="1"/>
  <c r="CQ36" i="3"/>
  <c r="CR36" i="3" s="1"/>
  <c r="CT37" i="3" s="1"/>
  <c r="BA33" i="3"/>
  <c r="BB33" i="3" s="1"/>
  <c r="BB34" i="3"/>
  <c r="AU47" i="3"/>
  <c r="AV47" i="3" s="1"/>
  <c r="AV48" i="3"/>
  <c r="CR71" i="3"/>
  <c r="CT72" i="3" s="1"/>
  <c r="CQ43" i="3"/>
  <c r="CR43" i="3" s="1"/>
  <c r="CT44" i="3" s="1"/>
  <c r="CR44" i="3"/>
  <c r="CT45" i="3" s="1"/>
  <c r="CE9" i="3"/>
  <c r="CF9" i="3" s="1"/>
  <c r="CE44" i="3"/>
  <c r="CF44" i="3" s="1"/>
  <c r="CF45" i="3"/>
  <c r="BN44" i="3"/>
  <c r="BO44" i="3" s="1"/>
  <c r="BM43" i="3"/>
  <c r="BN43" i="3" s="1"/>
  <c r="BO43" i="3" s="1"/>
  <c r="BT11" i="3"/>
  <c r="BS10" i="3"/>
  <c r="BT10" i="3" s="1"/>
  <c r="BA19" i="2"/>
  <c r="BB19" i="2" s="1"/>
  <c r="BB20" i="2"/>
  <c r="BY15" i="2"/>
  <c r="BZ15" i="2" s="1"/>
  <c r="AU45" i="2"/>
  <c r="AV45" i="2" s="1"/>
  <c r="CQ44" i="2"/>
  <c r="CR44" i="2" s="1"/>
  <c r="CT45" i="2" s="1"/>
  <c r="CR65" i="2"/>
  <c r="CT66" i="2" s="1"/>
  <c r="CQ64" i="2"/>
  <c r="CR64" i="2" s="1"/>
  <c r="CT65" i="2" s="1"/>
  <c r="BS68" i="2"/>
  <c r="BT68" i="2" s="1"/>
  <c r="BS19" i="2"/>
  <c r="BT19" i="2" s="1"/>
  <c r="BB74" i="2"/>
  <c r="BC74" i="2" s="1"/>
  <c r="BA73" i="2"/>
  <c r="BB73" i="2" s="1"/>
  <c r="BG48" i="2"/>
  <c r="BH48" i="2" s="1"/>
  <c r="BG18" i="2"/>
  <c r="BH18" i="2" s="1"/>
  <c r="CX74" i="2"/>
  <c r="CY74" i="2" s="1"/>
  <c r="CW73" i="2"/>
  <c r="CX73" i="2" s="1"/>
  <c r="BS36" i="2"/>
  <c r="BT36" i="2" s="1"/>
  <c r="BS26" i="2"/>
  <c r="BT26" i="2" s="1"/>
  <c r="BT27" i="2"/>
  <c r="BM40" i="2"/>
  <c r="BN40" i="2" s="1"/>
  <c r="BO40" i="2" s="1"/>
  <c r="BN41" i="2"/>
  <c r="BO41" i="2" s="1"/>
  <c r="BM65" i="2"/>
  <c r="BN65" i="2" s="1"/>
  <c r="BO65" i="2" s="1"/>
  <c r="BA70" i="2"/>
  <c r="BB70" i="2" s="1"/>
  <c r="BG73" i="2"/>
  <c r="BH73" i="2" s="1"/>
  <c r="BH74" i="2"/>
  <c r="BI74" i="2" s="1"/>
  <c r="CE65" i="2"/>
  <c r="CF65" i="2" s="1"/>
  <c r="CK23" i="3"/>
  <c r="CL23" i="3" s="1"/>
  <c r="CL24" i="3"/>
  <c r="BY73" i="3"/>
  <c r="BZ74" i="3"/>
  <c r="CA74" i="3" s="1"/>
  <c r="CW61" i="3"/>
  <c r="CX61" i="3" s="1"/>
  <c r="CX62" i="3"/>
  <c r="CK59" i="3"/>
  <c r="CL59" i="3" s="1"/>
  <c r="BS67" i="3"/>
  <c r="BT67" i="3" s="1"/>
  <c r="CF27" i="3"/>
  <c r="CE26" i="3"/>
  <c r="CF26" i="3" s="1"/>
  <c r="BA65" i="3"/>
  <c r="BB65" i="3" s="1"/>
  <c r="BY42" i="3"/>
  <c r="BZ42" i="3" s="1"/>
  <c r="BZ43" i="3"/>
  <c r="CK39" i="3"/>
  <c r="CL39" i="3" s="1"/>
  <c r="CL40" i="3"/>
  <c r="BH65" i="3"/>
  <c r="BM70" i="3"/>
  <c r="BN70" i="3" s="1"/>
  <c r="BO70" i="3" s="1"/>
  <c r="BA66" i="2"/>
  <c r="BB66" i="2" s="1"/>
  <c r="CQ51" i="2"/>
  <c r="CR51" i="2" s="1"/>
  <c r="CT52" i="2" s="1"/>
  <c r="CR52" i="2"/>
  <c r="CT53" i="2" s="1"/>
  <c r="AV30" i="2"/>
  <c r="AU29" i="2"/>
  <c r="AV29" i="2" s="1"/>
  <c r="CW61" i="2"/>
  <c r="CX61" i="2" s="1"/>
  <c r="CX62" i="2"/>
  <c r="BG53" i="2"/>
  <c r="BH53" i="2" s="1"/>
  <c r="CL36" i="2"/>
  <c r="BH30" i="2"/>
  <c r="BG29" i="2"/>
  <c r="BH29" i="2" s="1"/>
  <c r="BT35" i="2"/>
  <c r="BM9" i="2"/>
  <c r="BN9" i="2" s="1"/>
  <c r="BO9" i="2" s="1"/>
  <c r="CF74" i="2"/>
  <c r="CG74" i="2" s="1"/>
  <c r="CE73" i="2"/>
  <c r="CF73" i="2" s="1"/>
  <c r="CX16" i="2"/>
  <c r="CW15" i="2"/>
  <c r="CX15" i="2" s="1"/>
  <c r="CK45" i="2"/>
  <c r="CL45" i="2" s="1"/>
  <c r="BM29" i="2"/>
  <c r="BN29" i="2" s="1"/>
  <c r="BO29" i="2" s="1"/>
  <c r="BS10" i="2"/>
  <c r="BT10" i="2" s="1"/>
  <c r="BT11" i="2"/>
  <c r="BZ26" i="2"/>
  <c r="BY25" i="2"/>
  <c r="BZ25" i="2" s="1"/>
  <c r="CQ58" i="2"/>
  <c r="CR58" i="2" s="1"/>
  <c r="CT59" i="2" s="1"/>
  <c r="CW71" i="2"/>
  <c r="CX71" i="2" s="1"/>
  <c r="CX72" i="2"/>
  <c r="BY43" i="2"/>
  <c r="BZ43" i="2" s="1"/>
  <c r="CX44" i="2"/>
  <c r="CW43" i="2"/>
  <c r="CX43" i="2" s="1"/>
  <c r="BA48" i="2"/>
  <c r="BB48" i="2" s="1"/>
  <c r="BB49" i="2"/>
  <c r="CW38" i="2"/>
  <c r="CX38" i="2" s="1"/>
  <c r="CK56" i="3"/>
  <c r="CL56" i="3" s="1"/>
  <c r="CK61" i="3"/>
  <c r="CL61" i="3" s="1"/>
  <c r="CF57" i="3"/>
  <c r="BM48" i="3"/>
  <c r="BN48" i="3" s="1"/>
  <c r="BO48" i="3" s="1"/>
  <c r="BN49" i="3"/>
  <c r="BO49" i="3" s="1"/>
  <c r="BS43" i="3"/>
  <c r="BT43" i="3" s="1"/>
  <c r="BT44" i="3"/>
  <c r="CR55" i="3"/>
  <c r="CT56" i="3" s="1"/>
  <c r="BZ46" i="3"/>
  <c r="BN56" i="3"/>
  <c r="BO56" i="3" s="1"/>
  <c r="BM55" i="3"/>
  <c r="BN55" i="3" s="1"/>
  <c r="BO55" i="3" s="1"/>
  <c r="BS71" i="3"/>
  <c r="BT71" i="3" s="1"/>
  <c r="BH55" i="3"/>
  <c r="BM69" i="3"/>
  <c r="BN69" i="3" s="1"/>
  <c r="BO69" i="3" s="1"/>
  <c r="BS13" i="3"/>
  <c r="BT13" i="3" s="1"/>
  <c r="BT14" i="3"/>
  <c r="CQ73" i="3"/>
  <c r="CR73" i="3" s="1"/>
  <c r="CT74" i="3" s="1"/>
  <c r="CR74" i="3"/>
  <c r="CS74" i="3" s="1"/>
  <c r="AU21" i="3"/>
  <c r="AV21" i="3" s="1"/>
  <c r="AV22" i="3"/>
  <c r="CW55" i="3"/>
  <c r="CX55" i="3" s="1"/>
  <c r="BY8" i="3"/>
  <c r="BZ8" i="3" s="1"/>
  <c r="BZ9" i="3"/>
  <c r="CR31" i="3"/>
  <c r="CT32" i="3" s="1"/>
  <c r="CF42" i="3"/>
  <c r="BM51" i="2"/>
  <c r="BN51" i="2" s="1"/>
  <c r="BO51" i="2" s="1"/>
  <c r="BN52" i="2"/>
  <c r="BO52" i="2" s="1"/>
  <c r="BM53" i="2"/>
  <c r="BN53" i="2" s="1"/>
  <c r="BO53" i="2" s="1"/>
  <c r="CQ42" i="2"/>
  <c r="CR42" i="2" s="1"/>
  <c r="CT43" i="2" s="1"/>
  <c r="CR43" i="2"/>
  <c r="CT44" i="2" s="1"/>
  <c r="AV74" i="2"/>
  <c r="AW74" i="2" s="1"/>
  <c r="AU73" i="2"/>
  <c r="AV73" i="2" s="1"/>
  <c r="BY37" i="2"/>
  <c r="BZ37" i="2" s="1"/>
  <c r="BZ38" i="2"/>
  <c r="CQ31" i="2"/>
  <c r="CR31" i="2" s="1"/>
  <c r="CT32" i="2" s="1"/>
  <c r="CR28" i="2"/>
  <c r="CT29" i="2" s="1"/>
  <c r="CQ27" i="2"/>
  <c r="CR27" i="2" s="1"/>
  <c r="CT28" i="2" s="1"/>
  <c r="CW60" i="2"/>
  <c r="CX60" i="2" s="1"/>
  <c r="BN26" i="2"/>
  <c r="BO26" i="2" s="1"/>
  <c r="BM25" i="2"/>
  <c r="BN25" i="2" s="1"/>
  <c r="BO25" i="2" s="1"/>
  <c r="BY66" i="2"/>
  <c r="BZ66" i="2" s="1"/>
  <c r="CK66" i="2"/>
  <c r="CL66" i="2" s="1"/>
  <c r="BA17" i="2"/>
  <c r="BB17" i="2" s="1"/>
  <c r="BB18" i="2"/>
  <c r="BY45" i="2"/>
  <c r="BZ45" i="2" s="1"/>
  <c r="BZ46" i="2"/>
  <c r="CQ33" i="2"/>
  <c r="CR33" i="2" s="1"/>
  <c r="CT34" i="2" s="1"/>
  <c r="CR34" i="2"/>
  <c r="CT35" i="2" s="1"/>
  <c r="BB14" i="2"/>
  <c r="BA13" i="2"/>
  <c r="BB13" i="2" s="1"/>
  <c r="AI22" i="4"/>
  <c r="AJ22" i="4" s="1"/>
  <c r="AH43" i="6"/>
  <c r="BY54" i="3"/>
  <c r="BZ54" i="3" s="1"/>
  <c r="BZ55" i="3"/>
  <c r="BM19" i="3"/>
  <c r="BN19" i="3" s="1"/>
  <c r="BO19" i="3" s="1"/>
  <c r="BN20" i="3"/>
  <c r="BO20" i="3" s="1"/>
  <c r="BZ18" i="3"/>
  <c r="BZ56" i="3"/>
  <c r="BG36" i="3"/>
  <c r="BH36" i="3" s="1"/>
  <c r="BH37" i="3"/>
  <c r="CE36" i="3"/>
  <c r="CF36" i="3" s="1"/>
  <c r="CF37" i="3"/>
  <c r="BM73" i="3"/>
  <c r="BN73" i="3" s="1"/>
  <c r="BO73" i="3" s="1"/>
  <c r="BN74" i="3"/>
  <c r="BO74" i="3" s="1"/>
  <c r="BM36" i="3"/>
  <c r="BN36" i="3" s="1"/>
  <c r="BO36" i="3" s="1"/>
  <c r="BN37" i="3"/>
  <c r="BO37" i="3" s="1"/>
  <c r="BB38" i="3"/>
  <c r="BZ14" i="3"/>
  <c r="CW17" i="3"/>
  <c r="CX17" i="3" s="1"/>
  <c r="CX18" i="3"/>
  <c r="BB17" i="3"/>
  <c r="BM58" i="3"/>
  <c r="BN58" i="3" s="1"/>
  <c r="BO58" i="3" s="1"/>
  <c r="BN59" i="3"/>
  <c r="BO59" i="3" s="1"/>
  <c r="BY70" i="3"/>
  <c r="BZ70" i="3" s="1"/>
  <c r="CF38" i="3"/>
  <c r="CF34" i="3"/>
  <c r="CE33" i="3"/>
  <c r="CF33" i="3" s="1"/>
  <c r="BY30" i="3"/>
  <c r="BZ30" i="3" s="1"/>
  <c r="BZ31" i="3"/>
  <c r="CF60" i="3"/>
  <c r="BH44" i="3"/>
  <c r="CR66" i="3"/>
  <c r="CT67" i="3" s="1"/>
  <c r="BZ23" i="3"/>
  <c r="CL21" i="3"/>
  <c r="BA52" i="3"/>
  <c r="BB52" i="3" s="1"/>
  <c r="BB53" i="3"/>
  <c r="CL8" i="3"/>
  <c r="CK7" i="3"/>
  <c r="CL7" i="3" s="1"/>
  <c r="CR8" i="3"/>
  <c r="CT9" i="3" s="1"/>
  <c r="CQ7" i="3"/>
  <c r="CR7" i="3" s="1"/>
  <c r="CT8" i="3" s="1"/>
  <c r="CF48" i="3"/>
  <c r="CQ60" i="3"/>
  <c r="CR60" i="3" s="1"/>
  <c r="CT61" i="3" s="1"/>
  <c r="BS73" i="3"/>
  <c r="BT73" i="3" s="1"/>
  <c r="BT74" i="3"/>
  <c r="BU74" i="3" s="1"/>
  <c r="CX25" i="3"/>
  <c r="BB28" i="3"/>
  <c r="CF55" i="3"/>
  <c r="CX70" i="3"/>
  <c r="CW69" i="3"/>
  <c r="CX69" i="3" s="1"/>
  <c r="BZ52" i="3"/>
  <c r="CQ64" i="3"/>
  <c r="CR64" i="3" s="1"/>
  <c r="CT65" i="3" s="1"/>
  <c r="CR65" i="3"/>
  <c r="CT66" i="3" s="1"/>
  <c r="BS17" i="3"/>
  <c r="BT17" i="3" s="1"/>
  <c r="BT18" i="3"/>
  <c r="BT48" i="3"/>
  <c r="CF13" i="3"/>
  <c r="CX54" i="3"/>
  <c r="CL42" i="3"/>
  <c r="AU18" i="3"/>
  <c r="AV18" i="3" s="1"/>
  <c r="AV19" i="3"/>
  <c r="CX66" i="3"/>
  <c r="CE10" i="3"/>
  <c r="CF10" i="3" s="1"/>
  <c r="AU38" i="3"/>
  <c r="AV38" i="3" s="1"/>
  <c r="CW46" i="3"/>
  <c r="CX46" i="3" s="1"/>
  <c r="CX47" i="3"/>
  <c r="BN25" i="3"/>
  <c r="BO25" i="3" s="1"/>
  <c r="CX49" i="3"/>
  <c r="CR56" i="3"/>
  <c r="CT57" i="3" s="1"/>
  <c r="AU65" i="3"/>
  <c r="AV65" i="3" s="1"/>
  <c r="CW63" i="3"/>
  <c r="CX64" i="3"/>
  <c r="BG31" i="3"/>
  <c r="BH31" i="3" s="1"/>
  <c r="BH32" i="3"/>
  <c r="CF25" i="3"/>
  <c r="AU10" i="3"/>
  <c r="AV10" i="3" s="1"/>
  <c r="CL58" i="3"/>
  <c r="CK57" i="3"/>
  <c r="CL57" i="3" s="1"/>
  <c r="AU39" i="3"/>
  <c r="AV39" i="3" s="1"/>
  <c r="AV40" i="3"/>
  <c r="BN48" i="2"/>
  <c r="BO48" i="2" s="1"/>
  <c r="BM47" i="2"/>
  <c r="BN47" i="2" s="1"/>
  <c r="BO47" i="2" s="1"/>
  <c r="BB47" i="2"/>
  <c r="BM33" i="2"/>
  <c r="BN33" i="2" s="1"/>
  <c r="BO33" i="2" s="1"/>
  <c r="BN34" i="2"/>
  <c r="BO34" i="2" s="1"/>
  <c r="BA35" i="2"/>
  <c r="BB35" i="2" s="1"/>
  <c r="BB36" i="2"/>
  <c r="BZ10" i="2"/>
  <c r="BY9" i="2"/>
  <c r="BZ9" i="2" s="1"/>
  <c r="BB21" i="2"/>
  <c r="CK61" i="2"/>
  <c r="CL61" i="2" s="1"/>
  <c r="AW51" i="2"/>
  <c r="AX52" i="2"/>
  <c r="AY52" i="2" s="1"/>
  <c r="BA68" i="2"/>
  <c r="BB68" i="2" s="1"/>
  <c r="CF60" i="2"/>
  <c r="CE59" i="2"/>
  <c r="CF59" i="2" s="1"/>
  <c r="AV50" i="2"/>
  <c r="BS45" i="2"/>
  <c r="BT45" i="2" s="1"/>
  <c r="AU40" i="2"/>
  <c r="AV40" i="2" s="1"/>
  <c r="AV41" i="2"/>
  <c r="CL50" i="2"/>
  <c r="CK49" i="2"/>
  <c r="CL49" i="2" s="1"/>
  <c r="AV57" i="2"/>
  <c r="CR18" i="2"/>
  <c r="CT19" i="2" s="1"/>
  <c r="CQ17" i="2"/>
  <c r="CR17" i="2" s="1"/>
  <c r="CT18" i="2" s="1"/>
  <c r="BB38" i="2"/>
  <c r="BS70" i="2"/>
  <c r="BT70" i="2" s="1"/>
  <c r="BS33" i="2"/>
  <c r="BT33" i="2" s="1"/>
  <c r="BT34" i="2"/>
  <c r="BB41" i="2"/>
  <c r="BB9" i="2"/>
  <c r="BA8" i="2"/>
  <c r="BB8" i="2" s="1"/>
  <c r="AV42" i="2"/>
  <c r="BS16" i="2"/>
  <c r="BT16" i="2" s="1"/>
  <c r="BG61" i="2"/>
  <c r="BH61" i="2" s="1"/>
  <c r="CK17" i="2"/>
  <c r="CL17" i="2" s="1"/>
  <c r="CL18" i="2"/>
  <c r="CW59" i="2"/>
  <c r="CX59" i="2" s="1"/>
  <c r="CL25" i="2"/>
  <c r="CQ11" i="2"/>
  <c r="CR11" i="2" s="1"/>
  <c r="CT12" i="2" s="1"/>
  <c r="CR12" i="2"/>
  <c r="CT13" i="2" s="1"/>
  <c r="BM66" i="2"/>
  <c r="BN66" i="2" s="1"/>
  <c r="BO66" i="2" s="1"/>
  <c r="BS67" i="2"/>
  <c r="BT67" i="2" s="1"/>
  <c r="AU71" i="2"/>
  <c r="AV71" i="2" s="1"/>
  <c r="BM72" i="2"/>
  <c r="BN72" i="2" s="1"/>
  <c r="BO72" i="2" s="1"/>
  <c r="BT43" i="2"/>
  <c r="CE67" i="2"/>
  <c r="CF67" i="2" s="1"/>
  <c r="BZ52" i="2"/>
  <c r="BY69" i="2"/>
  <c r="BZ69" i="2" s="1"/>
  <c r="AU59" i="2"/>
  <c r="AV59" i="2" s="1"/>
  <c r="AV60" i="2"/>
  <c r="BT64" i="2"/>
  <c r="CF16" i="2"/>
  <c r="CE15" i="2"/>
  <c r="CF15" i="2" s="1"/>
  <c r="CL39" i="2"/>
  <c r="CK38" i="2"/>
  <c r="CL38" i="2" s="1"/>
  <c r="BY41" i="2"/>
  <c r="BZ41" i="2" s="1"/>
  <c r="BZ42" i="2"/>
  <c r="CW7" i="2"/>
  <c r="CX7" i="2" s="1"/>
  <c r="BH24" i="2"/>
  <c r="BG23" i="2"/>
  <c r="BH23" i="2" s="1"/>
  <c r="BN27" i="2"/>
  <c r="BO27" i="2" s="1"/>
  <c r="BY12" i="2"/>
  <c r="BZ12" i="2" s="1"/>
  <c r="BG10" i="2"/>
  <c r="BH10" i="2" s="1"/>
  <c r="CR72" i="2"/>
  <c r="CT73" i="2" s="1"/>
  <c r="CQ45" i="2"/>
  <c r="CR45" i="2" s="1"/>
  <c r="CT46" i="2" s="1"/>
  <c r="CR46" i="2"/>
  <c r="CT47" i="2" s="1"/>
  <c r="CR14" i="2"/>
  <c r="CT15" i="2" s="1"/>
  <c r="CQ13" i="2"/>
  <c r="CR13" i="2" s="1"/>
  <c r="CT14" i="2" s="1"/>
  <c r="BM38" i="2"/>
  <c r="BN38" i="2" s="1"/>
  <c r="BO38" i="2" s="1"/>
  <c r="BN20" i="2"/>
  <c r="BO20" i="2" s="1"/>
  <c r="BM19" i="2"/>
  <c r="BN19" i="2" s="1"/>
  <c r="BO19" i="2" s="1"/>
  <c r="BS53" i="2"/>
  <c r="BT53" i="2" s="1"/>
  <c r="BT54" i="2"/>
  <c r="BS49" i="2"/>
  <c r="BT49" i="2" s="1"/>
  <c r="BG49" i="2"/>
  <c r="BH49" i="2" s="1"/>
  <c r="BH50" i="2"/>
  <c r="CQ30" i="2"/>
  <c r="CR30" i="2" s="1"/>
  <c r="CT31" i="2" s="1"/>
  <c r="CL27" i="2"/>
  <c r="BS51" i="2"/>
  <c r="BT51" i="2" s="1"/>
  <c r="BN49" i="2"/>
  <c r="BO49" i="2" s="1"/>
  <c r="BZ22" i="3"/>
  <c r="BY21" i="3"/>
  <c r="BZ21" i="3" s="1"/>
  <c r="AU52" i="3"/>
  <c r="AV52" i="3" s="1"/>
  <c r="AV53" i="3"/>
  <c r="CQ33" i="3"/>
  <c r="CR33" i="3" s="1"/>
  <c r="CT34" i="3" s="1"/>
  <c r="CR34" i="3"/>
  <c r="CT35" i="3" s="1"/>
  <c r="CQ24" i="3"/>
  <c r="CR24" i="3" s="1"/>
  <c r="CT25" i="3" s="1"/>
  <c r="AU13" i="3"/>
  <c r="AV13" i="3" s="1"/>
  <c r="CQ57" i="3"/>
  <c r="CR57" i="3" s="1"/>
  <c r="CT58" i="3" s="1"/>
  <c r="AU64" i="2"/>
  <c r="AV64" i="2" s="1"/>
  <c r="CF22" i="2"/>
  <c r="CE21" i="2"/>
  <c r="CF21" i="2" s="1"/>
  <c r="BY35" i="2"/>
  <c r="BZ35" i="2" s="1"/>
  <c r="BZ36" i="2"/>
  <c r="AU69" i="2"/>
  <c r="AV69" i="2" s="1"/>
  <c r="CW27" i="2"/>
  <c r="CX27" i="2" s="1"/>
  <c r="BG51" i="2"/>
  <c r="BH51" i="2" s="1"/>
  <c r="CE57" i="2"/>
  <c r="CF57" i="2" s="1"/>
  <c r="CF58" i="2"/>
  <c r="CQ7" i="2"/>
  <c r="CR7" i="2" s="1"/>
  <c r="CT8" i="2" s="1"/>
  <c r="CE37" i="2"/>
  <c r="CF37" i="2" s="1"/>
  <c r="CF38" i="2"/>
  <c r="BG12" i="2"/>
  <c r="BH12" i="2" s="1"/>
  <c r="CW67" i="2"/>
  <c r="CX67" i="2" s="1"/>
  <c r="CX68" i="2"/>
  <c r="CK62" i="2"/>
  <c r="CL62" i="2" s="1"/>
  <c r="BS60" i="2"/>
  <c r="BT60" i="2" s="1"/>
  <c r="BS18" i="2"/>
  <c r="BT18" i="2" s="1"/>
  <c r="CQ32" i="2"/>
  <c r="CR32" i="2" s="1"/>
  <c r="CT33" i="2" s="1"/>
  <c r="CK73" i="3"/>
  <c r="CL73" i="3" s="1"/>
  <c r="CL74" i="3"/>
  <c r="CM74" i="3" s="1"/>
  <c r="BM68" i="3"/>
  <c r="BN68" i="3" s="1"/>
  <c r="BO68" i="3" s="1"/>
  <c r="CL9" i="3"/>
  <c r="BG38" i="3"/>
  <c r="BH38" i="3" s="1"/>
  <c r="BS64" i="3"/>
  <c r="BT64" i="3" s="1"/>
  <c r="CE19" i="3"/>
  <c r="CF19" i="3" s="1"/>
  <c r="BH51" i="3"/>
  <c r="BG50" i="3"/>
  <c r="BH50" i="3" s="1"/>
  <c r="CR11" i="3"/>
  <c r="CT12" i="3" s="1"/>
  <c r="CQ10" i="3"/>
  <c r="CR10" i="3" s="1"/>
  <c r="CT11" i="3" s="1"/>
  <c r="BG26" i="3"/>
  <c r="BH26" i="3" s="1"/>
  <c r="CE14" i="3"/>
  <c r="CF14" i="3" s="1"/>
  <c r="CF15" i="3"/>
  <c r="BS25" i="3"/>
  <c r="BT25" i="3" s="1"/>
  <c r="BH23" i="3"/>
  <c r="BG22" i="3"/>
  <c r="BH22" i="3" s="1"/>
  <c r="CK63" i="2"/>
  <c r="CL63" i="2" s="1"/>
  <c r="BM39" i="2"/>
  <c r="BN39" i="2" s="1"/>
  <c r="BO39" i="2" s="1"/>
  <c r="AV53" i="2"/>
  <c r="BB58" i="2"/>
  <c r="BS25" i="2"/>
  <c r="BT25" i="2" s="1"/>
  <c r="CF24" i="2"/>
  <c r="CE23" i="2"/>
  <c r="CF23" i="2" s="1"/>
  <c r="BY31" i="2"/>
  <c r="BZ31" i="2" s="1"/>
  <c r="CE33" i="2"/>
  <c r="CF33" i="2" s="1"/>
  <c r="CF34" i="2"/>
  <c r="CL12" i="2"/>
  <c r="CX50" i="2"/>
  <c r="CW49" i="2"/>
  <c r="CX49" i="2" s="1"/>
  <c r="BS71" i="2"/>
  <c r="BT71" i="2" s="1"/>
  <c r="CE64" i="2"/>
  <c r="CF64" i="2" s="1"/>
  <c r="CK48" i="2"/>
  <c r="CL48" i="2" s="1"/>
  <c r="CW25" i="2"/>
  <c r="CX25" i="2" s="1"/>
  <c r="CX26" i="2"/>
  <c r="BM67" i="2"/>
  <c r="BN67" i="2" s="1"/>
  <c r="BO67" i="2" s="1"/>
  <c r="CL37" i="2"/>
  <c r="CQ47" i="2"/>
  <c r="CR47" i="2" s="1"/>
  <c r="CT48" i="2" s="1"/>
  <c r="CR48" i="2"/>
  <c r="CT49" i="2" s="1"/>
  <c r="BM31" i="2"/>
  <c r="BN31" i="2" s="1"/>
  <c r="BO31" i="2" s="1"/>
  <c r="BN32" i="2"/>
  <c r="BO32" i="2" s="1"/>
  <c r="AI25" i="6"/>
  <c r="AJ25" i="6" s="1"/>
  <c r="BA43" i="3"/>
  <c r="BB43" i="3" s="1"/>
  <c r="BB44" i="3"/>
  <c r="CQ28" i="3"/>
  <c r="CR28" i="3" s="1"/>
  <c r="CT29" i="3" s="1"/>
  <c r="CR29" i="3"/>
  <c r="CT30" i="3" s="1"/>
  <c r="CW14" i="3"/>
  <c r="CX14" i="3" s="1"/>
  <c r="CX15" i="3"/>
  <c r="CE20" i="3"/>
  <c r="CF20" i="3" s="1"/>
  <c r="CX30" i="3"/>
  <c r="BG39" i="3"/>
  <c r="BH39" i="3" s="1"/>
  <c r="BH40" i="3"/>
  <c r="CL20" i="3"/>
  <c r="CK19" i="3"/>
  <c r="CL19" i="3" s="1"/>
  <c r="BT58" i="3"/>
  <c r="CE67" i="3"/>
  <c r="CF67" i="3" s="1"/>
  <c r="CX12" i="3"/>
  <c r="CR23" i="3"/>
  <c r="CT24" i="3" s="1"/>
  <c r="CQ22" i="3"/>
  <c r="CR22" i="3" s="1"/>
  <c r="CT23" i="3" s="1"/>
  <c r="BT53" i="3"/>
  <c r="AW55" i="3"/>
  <c r="AX56" i="3"/>
  <c r="AY56" i="3" s="1"/>
  <c r="BM7" i="3"/>
  <c r="BN7" i="3" s="1"/>
  <c r="BO7" i="3" s="1"/>
  <c r="CQ32" i="3"/>
  <c r="CR32" i="3" s="1"/>
  <c r="CT33" i="3" s="1"/>
  <c r="CK28" i="3"/>
  <c r="CL28" i="3" s="1"/>
  <c r="CL29" i="3"/>
  <c r="CF54" i="3"/>
  <c r="CW60" i="3"/>
  <c r="CX60" i="3" s="1"/>
  <c r="AU25" i="3"/>
  <c r="AV25" i="3" s="1"/>
  <c r="AV26" i="3"/>
  <c r="AU72" i="2"/>
  <c r="AV72" i="2" s="1"/>
  <c r="CW34" i="2"/>
  <c r="CX34" i="2" s="1"/>
  <c r="BB16" i="2"/>
  <c r="BA15" i="2"/>
  <c r="BB15" i="2" s="1"/>
  <c r="BA69" i="2"/>
  <c r="BB69" i="2" s="1"/>
  <c r="AU7" i="2"/>
  <c r="AV7" i="2" s="1"/>
  <c r="AV8" i="2"/>
  <c r="BT40" i="2"/>
  <c r="BS39" i="2"/>
  <c r="BT39" i="2" s="1"/>
  <c r="BY65" i="2"/>
  <c r="BZ65" i="2" s="1"/>
  <c r="CW57" i="2"/>
  <c r="CX57" i="2" s="1"/>
  <c r="CL43" i="2"/>
  <c r="CX22" i="2"/>
  <c r="CW21" i="2"/>
  <c r="CX21" i="2" s="1"/>
  <c r="CK67" i="2"/>
  <c r="CL67" i="2" s="1"/>
  <c r="CL68" i="2"/>
  <c r="BS13" i="2"/>
  <c r="BT13" i="2" s="1"/>
  <c r="BT14" i="2"/>
  <c r="CL8" i="2"/>
  <c r="CK60" i="2"/>
  <c r="CL60" i="2" s="1"/>
  <c r="Y10" i="7"/>
  <c r="Z10" i="7" s="1"/>
  <c r="AD48" i="6"/>
  <c r="AE48" i="6" s="1"/>
  <c r="AH30" i="8"/>
  <c r="AV44" i="3"/>
  <c r="CE68" i="3"/>
  <c r="CF68" i="3" s="1"/>
  <c r="CF69" i="3"/>
  <c r="CZ11" i="3"/>
  <c r="DA11" i="3" s="1"/>
  <c r="CY10" i="3"/>
  <c r="CK60" i="3"/>
  <c r="CL60" i="3" s="1"/>
  <c r="BZ10" i="3"/>
  <c r="BB61" i="3"/>
  <c r="BZ16" i="3"/>
  <c r="CW37" i="3"/>
  <c r="CX37" i="3" s="1"/>
  <c r="CX38" i="3"/>
  <c r="BT47" i="3"/>
  <c r="BN27" i="3"/>
  <c r="BO27" i="3" s="1"/>
  <c r="BM26" i="3"/>
  <c r="BN26" i="3" s="1"/>
  <c r="BO26" i="3" s="1"/>
  <c r="CL47" i="3"/>
  <c r="CQ27" i="3"/>
  <c r="CR27" i="3" s="1"/>
  <c r="CT28" i="3" s="1"/>
  <c r="CK65" i="3"/>
  <c r="CL65" i="3" s="1"/>
  <c r="CL44" i="3"/>
  <c r="CK66" i="3"/>
  <c r="CL66" i="3" s="1"/>
  <c r="BN42" i="3"/>
  <c r="BO42" i="3" s="1"/>
  <c r="BB13" i="3"/>
  <c r="CR48" i="3"/>
  <c r="CT49" i="3" s="1"/>
  <c r="CK34" i="3"/>
  <c r="CL34" i="3" s="1"/>
  <c r="CL35" i="3"/>
  <c r="BA71" i="3"/>
  <c r="BB71" i="3" s="1"/>
  <c r="CE73" i="3"/>
  <c r="CF73" i="3" s="1"/>
  <c r="CF74" i="3"/>
  <c r="CG74" i="3" s="1"/>
  <c r="CR21" i="3"/>
  <c r="CT22" i="3" s="1"/>
  <c r="BZ19" i="3"/>
  <c r="CL17" i="3"/>
  <c r="CK63" i="3"/>
  <c r="CL63" i="3" s="1"/>
  <c r="BB59" i="3"/>
  <c r="AU12" i="3"/>
  <c r="AV12" i="3" s="1"/>
  <c r="BZ36" i="3"/>
  <c r="BA67" i="3"/>
  <c r="BB67" i="3" s="1"/>
  <c r="BM66" i="3"/>
  <c r="BN66" i="3" s="1"/>
  <c r="BO66" i="3" s="1"/>
  <c r="CX9" i="3"/>
  <c r="BZ24" i="3"/>
  <c r="BN32" i="3"/>
  <c r="BO32" i="3" s="1"/>
  <c r="BB56" i="3"/>
  <c r="CE65" i="3"/>
  <c r="CF65" i="3" s="1"/>
  <c r="BZ49" i="3"/>
  <c r="CR53" i="3"/>
  <c r="CT54" i="3" s="1"/>
  <c r="CQ52" i="3"/>
  <c r="CR52" i="3" s="1"/>
  <c r="CT53" i="3" s="1"/>
  <c r="CQ58" i="3"/>
  <c r="CR58" i="3" s="1"/>
  <c r="CT59" i="3" s="1"/>
  <c r="BG67" i="3"/>
  <c r="BH67" i="3" s="1"/>
  <c r="CE11" i="3"/>
  <c r="CF11" i="3" s="1"/>
  <c r="CF12" i="3"/>
  <c r="CK64" i="3"/>
  <c r="CL64" i="3" s="1"/>
  <c r="CQ37" i="3"/>
  <c r="CR37" i="3" s="1"/>
  <c r="CT38" i="3" s="1"/>
  <c r="CR38" i="3"/>
  <c r="CT39" i="3" s="1"/>
  <c r="BS54" i="3"/>
  <c r="BT54" i="3" s="1"/>
  <c r="BT55" i="3"/>
  <c r="BT59" i="3"/>
  <c r="AU68" i="3"/>
  <c r="AV68" i="3" s="1"/>
  <c r="BZ32" i="3"/>
  <c r="AU20" i="3"/>
  <c r="AV20" i="3" s="1"/>
  <c r="BS16" i="3"/>
  <c r="BT16" i="3" s="1"/>
  <c r="AU66" i="3"/>
  <c r="AV66" i="3" s="1"/>
  <c r="AU28" i="3"/>
  <c r="AV28" i="3" s="1"/>
  <c r="AV29" i="3"/>
  <c r="BY41" i="3"/>
  <c r="BZ41" i="3" s="1"/>
  <c r="CF39" i="3"/>
  <c r="BM67" i="3"/>
  <c r="BN67" i="3" s="1"/>
  <c r="BO67" i="3" s="1"/>
  <c r="BN65" i="3"/>
  <c r="BO65" i="3" s="1"/>
  <c r="CE31" i="3"/>
  <c r="CF31" i="3" s="1"/>
  <c r="CF32" i="3"/>
  <c r="BG11" i="3"/>
  <c r="BH11" i="3" s="1"/>
  <c r="BH12" i="3"/>
  <c r="BC50" i="2"/>
  <c r="BD51" i="2"/>
  <c r="BE51" i="2" s="1"/>
  <c r="BA71" i="2"/>
  <c r="BB71" i="2" s="1"/>
  <c r="BB55" i="2"/>
  <c r="AU68" i="2"/>
  <c r="AV68" i="2" s="1"/>
  <c r="CM72" i="2"/>
  <c r="CN73" i="2"/>
  <c r="CO73" i="2" s="1"/>
  <c r="BG54" i="2"/>
  <c r="BH54" i="2" s="1"/>
  <c r="BH55" i="2"/>
  <c r="BM63" i="2"/>
  <c r="BN63" i="2" s="1"/>
  <c r="BO63" i="2" s="1"/>
  <c r="BN64" i="2"/>
  <c r="BO64" i="2" s="1"/>
  <c r="BA67" i="2"/>
  <c r="BB67" i="2" s="1"/>
  <c r="CE63" i="2"/>
  <c r="CF63" i="2" s="1"/>
  <c r="AU38" i="2"/>
  <c r="AV38" i="2" s="1"/>
  <c r="AV39" i="2"/>
  <c r="BB32" i="2"/>
  <c r="BA62" i="2"/>
  <c r="BB62" i="2" s="1"/>
  <c r="BB63" i="2"/>
  <c r="CW65" i="2"/>
  <c r="CX65" i="2" s="1"/>
  <c r="CX66" i="2"/>
  <c r="AV37" i="2"/>
  <c r="CE61" i="2"/>
  <c r="CF61" i="2" s="1"/>
  <c r="CW31" i="2"/>
  <c r="CX31" i="2" s="1"/>
  <c r="CX32" i="2"/>
  <c r="BN12" i="2"/>
  <c r="BO12" i="2" s="1"/>
  <c r="BS21" i="2"/>
  <c r="BT21" i="2" s="1"/>
  <c r="BT22" i="2"/>
  <c r="BA72" i="2"/>
  <c r="BB72" i="2" s="1"/>
  <c r="AU9" i="2"/>
  <c r="AV9" i="2" s="1"/>
  <c r="AV10" i="2"/>
  <c r="CQ40" i="2"/>
  <c r="CR40" i="2" s="1"/>
  <c r="CT41" i="2" s="1"/>
  <c r="CR41" i="2"/>
  <c r="CT42" i="2" s="1"/>
  <c r="CW24" i="2"/>
  <c r="CX24" i="2" s="1"/>
  <c r="CN72" i="2"/>
  <c r="CO72" i="2" s="1"/>
  <c r="CM71" i="2"/>
  <c r="CE35" i="2"/>
  <c r="CF35" i="2" s="1"/>
  <c r="CQ39" i="2"/>
  <c r="CR39" i="2" s="1"/>
  <c r="CT40" i="2" s="1"/>
  <c r="CE11" i="2"/>
  <c r="CF11" i="2" s="1"/>
  <c r="CF12" i="2"/>
  <c r="CE25" i="2"/>
  <c r="CF25" i="2" s="1"/>
  <c r="CF26" i="2"/>
  <c r="CQ73" i="2"/>
  <c r="CR73" i="2" s="1"/>
  <c r="CT74" i="2" s="1"/>
  <c r="CR74" i="2"/>
  <c r="CS74" i="2" s="1"/>
  <c r="CK44" i="2"/>
  <c r="CL44" i="2" s="1"/>
  <c r="BM54" i="2"/>
  <c r="BN54" i="2" s="1"/>
  <c r="BO54" i="2" s="1"/>
  <c r="CL70" i="2"/>
  <c r="BH20" i="2"/>
  <c r="BG19" i="2"/>
  <c r="BH19" i="2" s="1"/>
  <c r="CK15" i="2"/>
  <c r="CL15" i="2" s="1"/>
  <c r="CL16" i="2"/>
  <c r="BY63" i="2"/>
  <c r="BZ63" i="2" s="1"/>
  <c r="BH40" i="2"/>
  <c r="BG39" i="2"/>
  <c r="BH39" i="2" s="1"/>
  <c r="BS72" i="2"/>
  <c r="BT72" i="2" s="1"/>
  <c r="CQ8" i="2"/>
  <c r="CR8" i="2" s="1"/>
  <c r="CT9" i="2" s="1"/>
  <c r="CR9" i="2"/>
  <c r="CT10" i="2" s="1"/>
  <c r="BG69" i="2"/>
  <c r="BH69" i="2" s="1"/>
  <c r="CR26" i="2"/>
  <c r="CT27" i="2" s="1"/>
  <c r="CQ25" i="2"/>
  <c r="CR25" i="2" s="1"/>
  <c r="CT26" i="2" s="1"/>
  <c r="BN16" i="2"/>
  <c r="BO16" i="2" s="1"/>
  <c r="CR20" i="2"/>
  <c r="CT21" i="2" s="1"/>
  <c r="CX45" i="2"/>
  <c r="BG17" i="2"/>
  <c r="BH17" i="2" s="1"/>
  <c r="CW13" i="2"/>
  <c r="CX13" i="2" s="1"/>
  <c r="CX14" i="2"/>
  <c r="BY39" i="2"/>
  <c r="BZ39" i="2" s="1"/>
  <c r="BZ40" i="2"/>
  <c r="BH56" i="2"/>
  <c r="BM43" i="2"/>
  <c r="BN43" i="2" s="1"/>
  <c r="BO43" i="2" s="1"/>
  <c r="BN44" i="2"/>
  <c r="BO44" i="2" s="1"/>
  <c r="CW17" i="2"/>
  <c r="CX17" i="2" s="1"/>
  <c r="CX18" i="2"/>
  <c r="BG71" i="2"/>
  <c r="BH71" i="2" s="1"/>
  <c r="CR22" i="2"/>
  <c r="CT23" i="2" s="1"/>
  <c r="CQ21" i="2"/>
  <c r="CR21" i="2" s="1"/>
  <c r="CT22" i="2" s="1"/>
  <c r="BY53" i="2"/>
  <c r="BZ53" i="2" s="1"/>
  <c r="CE49" i="2"/>
  <c r="CF49" i="2" s="1"/>
  <c r="CF50" i="2"/>
  <c r="CX11" i="2"/>
  <c r="AM7" i="4"/>
  <c r="AD29" i="4"/>
  <c r="AE29" i="4" s="1"/>
  <c r="AH20" i="6"/>
  <c r="AH7" i="4"/>
  <c r="AI17" i="4"/>
  <c r="AJ17" i="4" s="1"/>
  <c r="AH16" i="6"/>
  <c r="AC21" i="4"/>
  <c r="AM9" i="6"/>
  <c r="AM12" i="6"/>
  <c r="AD30" i="6"/>
  <c r="AE30" i="6" s="1"/>
  <c r="AC23" i="6"/>
  <c r="AN23" i="6"/>
  <c r="AO23" i="6" s="1"/>
  <c r="AN24" i="6"/>
  <c r="AO24" i="6" s="1"/>
  <c r="AC28" i="6"/>
  <c r="AI48" i="6"/>
  <c r="AJ48" i="6" s="1"/>
  <c r="Y9" i="6"/>
  <c r="Z9" i="6" s="1"/>
  <c r="AO4" i="7"/>
  <c r="X40" i="6"/>
  <c r="AC12" i="6"/>
  <c r="AI16" i="6"/>
  <c r="AJ16" i="6" s="1"/>
  <c r="AH35" i="6"/>
  <c r="AC7" i="4"/>
  <c r="AM29" i="6"/>
  <c r="AN45" i="6"/>
  <c r="AO45" i="6" s="1"/>
  <c r="AH22" i="6"/>
  <c r="AM17" i="4"/>
  <c r="AH45" i="6"/>
  <c r="BG75" i="1"/>
  <c r="BI8" i="1"/>
  <c r="BI75" i="1" s="1"/>
  <c r="BH75" i="1"/>
  <c r="N27" i="1"/>
  <c r="O27" i="1" s="1"/>
  <c r="N58" i="1"/>
  <c r="O58" i="1" s="1"/>
  <c r="N33" i="1"/>
  <c r="O33" i="1" s="1"/>
  <c r="AC11" i="1"/>
  <c r="AD11" i="1" s="1"/>
  <c r="N14" i="1"/>
  <c r="O14" i="1" s="1"/>
  <c r="AC73" i="1"/>
  <c r="AD73" i="1" s="1"/>
  <c r="S60" i="1"/>
  <c r="T60" i="1" s="1"/>
  <c r="S18" i="1"/>
  <c r="T18" i="1" s="1"/>
  <c r="N61" i="1"/>
  <c r="O61" i="1" s="1"/>
  <c r="I73" i="1"/>
  <c r="J73" i="1" s="1"/>
  <c r="N52" i="1"/>
  <c r="O52" i="1" s="1"/>
  <c r="N48" i="1"/>
  <c r="O48" i="1" s="1"/>
  <c r="N54" i="1"/>
  <c r="O54" i="1" s="1"/>
  <c r="N32" i="1"/>
  <c r="O32" i="1" s="1"/>
  <c r="N43" i="1"/>
  <c r="O43" i="1" s="1"/>
  <c r="AC60" i="1"/>
  <c r="AD60" i="1" s="1"/>
  <c r="N39" i="1"/>
  <c r="O39" i="1" s="1"/>
  <c r="N7" i="1"/>
  <c r="O7" i="1" s="1"/>
  <c r="AC39" i="1"/>
  <c r="AD39" i="1" s="1"/>
  <c r="N40" i="1"/>
  <c r="O40" i="1" s="1"/>
  <c r="N69" i="1"/>
  <c r="O69" i="1" s="1"/>
  <c r="N28" i="1"/>
  <c r="O28" i="1" s="1"/>
  <c r="N44" i="1"/>
  <c r="O44" i="1" s="1"/>
  <c r="N16" i="1"/>
  <c r="O16" i="1" s="1"/>
  <c r="N57" i="1"/>
  <c r="O57" i="1" s="1"/>
  <c r="N45" i="1"/>
  <c r="O45" i="1" s="1"/>
  <c r="N25" i="1"/>
  <c r="O25" i="1" s="1"/>
  <c r="N55" i="1"/>
  <c r="O55" i="1" s="1"/>
  <c r="N13" i="1"/>
  <c r="O13" i="1" s="1"/>
  <c r="AM63" i="1"/>
  <c r="AN63" i="1" s="1"/>
  <c r="N47" i="1"/>
  <c r="O47" i="1" s="1"/>
  <c r="X32" i="1"/>
  <c r="Y32" i="1" s="1"/>
  <c r="N9" i="1"/>
  <c r="O9" i="1" s="1"/>
  <c r="N41" i="1"/>
  <c r="O41" i="1" s="1"/>
  <c r="N24" i="1"/>
  <c r="O24" i="1" s="1"/>
  <c r="N31" i="1"/>
  <c r="O31" i="1" s="1"/>
  <c r="N53" i="1"/>
  <c r="O53" i="1" s="1"/>
  <c r="N42" i="1"/>
  <c r="O42" i="1" s="1"/>
  <c r="N70" i="1"/>
  <c r="O70" i="1" s="1"/>
  <c r="N38" i="1"/>
  <c r="O38" i="1" s="1"/>
  <c r="N66" i="1"/>
  <c r="O66" i="1" s="1"/>
  <c r="N72" i="1"/>
  <c r="O72" i="1" s="1"/>
  <c r="N8" i="1"/>
  <c r="O8" i="1" s="1"/>
  <c r="N15" i="1"/>
  <c r="O15" i="1" s="1"/>
  <c r="N37" i="1"/>
  <c r="O37" i="1" s="1"/>
  <c r="N67" i="1"/>
  <c r="O67" i="1" s="1"/>
  <c r="N51" i="1"/>
  <c r="O51" i="1" s="1"/>
  <c r="N64" i="1"/>
  <c r="N71" i="1"/>
  <c r="O71" i="1" s="1"/>
  <c r="N30" i="1"/>
  <c r="O30" i="1" s="1"/>
  <c r="N29" i="1"/>
  <c r="O29" i="1" s="1"/>
  <c r="N65" i="1"/>
  <c r="O65" i="1" s="1"/>
  <c r="N56" i="1"/>
  <c r="O56" i="1" s="1"/>
  <c r="N63" i="1"/>
  <c r="O63" i="1" s="1"/>
  <c r="N22" i="1"/>
  <c r="O22" i="1" s="1"/>
  <c r="N21" i="1"/>
  <c r="O21" i="1" s="1"/>
  <c r="N12" i="1"/>
  <c r="O12" i="1" s="1"/>
  <c r="N17" i="1"/>
  <c r="O17" i="1" s="1"/>
  <c r="AC55" i="1"/>
  <c r="AD55" i="1" s="1"/>
  <c r="X19" i="1"/>
  <c r="Y19" i="1" s="1"/>
  <c r="AC26" i="1"/>
  <c r="AD26" i="1" s="1"/>
  <c r="AC32" i="1"/>
  <c r="AD32" i="1" s="1"/>
  <c r="AC22" i="1"/>
  <c r="AD22" i="1" s="1"/>
  <c r="X11" i="1"/>
  <c r="Y11" i="1" s="1"/>
  <c r="AC52" i="1"/>
  <c r="AD52" i="1" s="1"/>
  <c r="AC14" i="1"/>
  <c r="AD14" i="1" s="1"/>
  <c r="I45" i="1"/>
  <c r="J45" i="1" s="1"/>
  <c r="S63" i="1"/>
  <c r="T63" i="1" s="1"/>
  <c r="I10" i="1"/>
  <c r="J10" i="1" s="1"/>
  <c r="I63" i="1"/>
  <c r="J63" i="1" s="1"/>
  <c r="AM64" i="1"/>
  <c r="AN64" i="1" s="1"/>
  <c r="AC25" i="1"/>
  <c r="AD25" i="1" s="1"/>
  <c r="AC20" i="1"/>
  <c r="AD20" i="1" s="1"/>
  <c r="AC38" i="1"/>
  <c r="AD38" i="1" s="1"/>
  <c r="X17" i="1"/>
  <c r="Y17" i="1" s="1"/>
  <c r="AH20" i="1"/>
  <c r="AI20" i="1" s="1"/>
  <c r="S33" i="1"/>
  <c r="T33" i="1" s="1"/>
  <c r="I59" i="1"/>
  <c r="J59" i="1" s="1"/>
  <c r="I17" i="1"/>
  <c r="J17" i="1" s="1"/>
  <c r="X54" i="1"/>
  <c r="Y54" i="1" s="1"/>
  <c r="AC64" i="1"/>
  <c r="AD64" i="1" s="1"/>
  <c r="X43" i="1"/>
  <c r="Y43" i="1" s="1"/>
  <c r="I60" i="1"/>
  <c r="J60" i="1" s="1"/>
  <c r="S70" i="1"/>
  <c r="T70" i="1" s="1"/>
  <c r="S45" i="1"/>
  <c r="T45" i="1" s="1"/>
  <c r="I74" i="1"/>
  <c r="J74" i="1" s="1"/>
  <c r="I48" i="1"/>
  <c r="J48" i="1" s="1"/>
  <c r="S36" i="1"/>
  <c r="T36" i="1" s="1"/>
  <c r="I7" i="1"/>
  <c r="J7" i="1" s="1"/>
  <c r="I20" i="1"/>
  <c r="J20" i="1" s="1"/>
  <c r="AM38" i="1"/>
  <c r="AN38" i="1" s="1"/>
  <c r="AC58" i="1"/>
  <c r="AD58" i="1" s="1"/>
  <c r="AC53" i="1"/>
  <c r="AD53" i="1" s="1"/>
  <c r="X22" i="1"/>
  <c r="Y22" i="1" s="1"/>
  <c r="AH36" i="1"/>
  <c r="AI36" i="1" s="1"/>
  <c r="S13" i="1"/>
  <c r="T13" i="1" s="1"/>
  <c r="S62" i="1"/>
  <c r="T62" i="1" s="1"/>
  <c r="I66" i="1"/>
  <c r="J66" i="1" s="1"/>
  <c r="I24" i="1"/>
  <c r="J24" i="1" s="1"/>
  <c r="S64" i="1"/>
  <c r="T64" i="1" s="1"/>
  <c r="AC49" i="1"/>
  <c r="AD49" i="1" s="1"/>
  <c r="AC35" i="1"/>
  <c r="AD35" i="1" s="1"/>
  <c r="X12" i="1"/>
  <c r="Y12" i="1" s="1"/>
  <c r="AC50" i="1"/>
  <c r="AD50" i="1" s="1"/>
  <c r="AC13" i="1"/>
  <c r="AD13" i="1" s="1"/>
  <c r="AC66" i="1"/>
  <c r="AD66" i="1" s="1"/>
  <c r="AC28" i="1"/>
  <c r="AD28" i="1" s="1"/>
  <c r="AC72" i="1"/>
  <c r="AD72" i="1" s="1"/>
  <c r="AC62" i="1"/>
  <c r="AD62" i="1" s="1"/>
  <c r="S12" i="1"/>
  <c r="T12" i="1" s="1"/>
  <c r="S34" i="1"/>
  <c r="T34" i="1" s="1"/>
  <c r="AC34" i="1"/>
  <c r="AD34" i="1" s="1"/>
  <c r="AC48" i="1"/>
  <c r="AD48" i="1" s="1"/>
  <c r="AC10" i="1"/>
  <c r="AD10" i="1" s="1"/>
  <c r="AC63" i="1"/>
  <c r="AD63" i="1" s="1"/>
  <c r="AC46" i="1"/>
  <c r="AD46" i="1" s="1"/>
  <c r="AH60" i="1"/>
  <c r="AI60" i="1" s="1"/>
  <c r="AC43" i="1"/>
  <c r="AD43" i="1" s="1"/>
  <c r="AC33" i="1"/>
  <c r="AD33" i="1" s="1"/>
  <c r="AC31" i="1"/>
  <c r="AD31" i="1" s="1"/>
  <c r="AC65" i="1"/>
  <c r="AD65" i="1" s="1"/>
  <c r="AC36" i="1"/>
  <c r="AD36" i="1" s="1"/>
  <c r="AC8" i="1"/>
  <c r="AD8" i="1" s="1"/>
  <c r="AC69" i="1"/>
  <c r="AD69" i="1" s="1"/>
  <c r="AC59" i="1"/>
  <c r="AD59" i="1" s="1"/>
  <c r="AC21" i="1"/>
  <c r="AD21" i="1" s="1"/>
  <c r="AC56" i="1"/>
  <c r="AD56" i="1" s="1"/>
  <c r="AC27" i="1"/>
  <c r="AD27" i="1" s="1"/>
  <c r="AC7" i="1"/>
  <c r="AD7" i="1" s="1"/>
  <c r="AH44" i="1"/>
  <c r="AI44" i="1" s="1"/>
  <c r="AH68" i="1"/>
  <c r="AI68" i="1" s="1"/>
  <c r="AC24" i="1"/>
  <c r="AD24" i="1" s="1"/>
  <c r="AC12" i="1"/>
  <c r="AD12" i="1" s="1"/>
  <c r="AC37" i="1"/>
  <c r="AD37" i="1" s="1"/>
  <c r="AC9" i="1"/>
  <c r="AD9" i="1" s="1"/>
  <c r="AC70" i="1"/>
  <c r="AD70" i="1" s="1"/>
  <c r="AD31" i="8"/>
  <c r="AE31" i="8" s="1"/>
  <c r="AH27" i="8"/>
  <c r="Y30" i="8"/>
  <c r="Z30" i="8" s="1"/>
  <c r="AN28" i="8"/>
  <c r="AO28" i="8" s="1"/>
  <c r="AM28" i="8"/>
  <c r="AH29" i="8"/>
  <c r="AC35" i="8"/>
  <c r="AD36" i="8"/>
  <c r="AE36" i="8" s="1"/>
  <c r="X35" i="8"/>
  <c r="Y36" i="8"/>
  <c r="Z36" i="8" s="1"/>
  <c r="AH35" i="8"/>
  <c r="AI36" i="8"/>
  <c r="AJ36" i="8" s="1"/>
  <c r="AN30" i="8"/>
  <c r="AO30" i="8" s="1"/>
  <c r="AN36" i="8"/>
  <c r="AO36" i="8" s="1"/>
  <c r="AM35" i="8"/>
  <c r="AD27" i="8"/>
  <c r="AE27" i="8" s="1"/>
  <c r="AC20" i="4"/>
  <c r="AD21" i="4"/>
  <c r="AE21" i="4" s="1"/>
  <c r="AH20" i="4"/>
  <c r="AI21" i="4"/>
  <c r="AJ21" i="4" s="1"/>
  <c r="X25" i="4"/>
  <c r="AC29" i="4"/>
  <c r="AD30" i="4"/>
  <c r="AE30" i="4" s="1"/>
  <c r="Y23" i="4"/>
  <c r="Z23" i="4" s="1"/>
  <c r="X22" i="4"/>
  <c r="Y25" i="4"/>
  <c r="Z25" i="4" s="1"/>
  <c r="X24" i="4"/>
  <c r="AI19" i="4"/>
  <c r="AJ19" i="4" s="1"/>
  <c r="AH18" i="4"/>
  <c r="AN32" i="4"/>
  <c r="AO32" i="4" s="1"/>
  <c r="AM31" i="4"/>
  <c r="AH25" i="4"/>
  <c r="AM29" i="4"/>
  <c r="AN30" i="4"/>
  <c r="AO30" i="4" s="1"/>
  <c r="AH22" i="4"/>
  <c r="AI23" i="4"/>
  <c r="AJ23" i="4" s="1"/>
  <c r="AM24" i="4"/>
  <c r="AN25" i="4"/>
  <c r="AO25" i="4" s="1"/>
  <c r="AM18" i="4"/>
  <c r="AN19" i="4"/>
  <c r="AO19" i="4" s="1"/>
  <c r="AI32" i="4"/>
  <c r="AJ32" i="4" s="1"/>
  <c r="AH31" i="4"/>
  <c r="Y32" i="4"/>
  <c r="Z32" i="4" s="1"/>
  <c r="X31" i="4"/>
  <c r="AC32" i="4"/>
  <c r="AD33" i="4"/>
  <c r="AE33" i="4" s="1"/>
  <c r="AH32" i="4"/>
  <c r="AI33" i="4"/>
  <c r="AJ33" i="4" s="1"/>
  <c r="AD23" i="4"/>
  <c r="AE23" i="4" s="1"/>
  <c r="AC22" i="4"/>
  <c r="AD25" i="4"/>
  <c r="AE25" i="4" s="1"/>
  <c r="AC24" i="4"/>
  <c r="AN33" i="4"/>
  <c r="AO33" i="4" s="1"/>
  <c r="AM32" i="4"/>
  <c r="AN21" i="4"/>
  <c r="AO21" i="4" s="1"/>
  <c r="AM20" i="4"/>
  <c r="AI30" i="4"/>
  <c r="AJ30" i="4" s="1"/>
  <c r="AH29" i="4"/>
  <c r="AC18" i="4"/>
  <c r="AD19" i="4"/>
  <c r="AE19" i="4" s="1"/>
  <c r="AH24" i="4"/>
  <c r="AI25" i="4"/>
  <c r="AJ25" i="4" s="1"/>
  <c r="X18" i="4"/>
  <c r="Y19" i="4"/>
  <c r="Z19" i="4" s="1"/>
  <c r="AD10" i="8"/>
  <c r="AE10" i="8" s="1"/>
  <c r="X27" i="8"/>
  <c r="X25" i="8"/>
  <c r="Y26" i="8"/>
  <c r="Z26" i="8" s="1"/>
  <c r="AH13" i="8"/>
  <c r="AI14" i="8"/>
  <c r="AJ14" i="8" s="1"/>
  <c r="AC15" i="8"/>
  <c r="AD16" i="8"/>
  <c r="AE16" i="8" s="1"/>
  <c r="AC13" i="8"/>
  <c r="AD14" i="8"/>
  <c r="AE14" i="8" s="1"/>
  <c r="AH15" i="8"/>
  <c r="AI16" i="8"/>
  <c r="AJ16" i="8" s="1"/>
  <c r="AM13" i="8"/>
  <c r="AN14" i="8"/>
  <c r="AO14" i="8" s="1"/>
  <c r="AH26" i="8"/>
  <c r="AI27" i="8"/>
  <c r="AJ27" i="8" s="1"/>
  <c r="AM19" i="8"/>
  <c r="AN20" i="8"/>
  <c r="AO20" i="8" s="1"/>
  <c r="AC7" i="8"/>
  <c r="AD8" i="8"/>
  <c r="AE8" i="8" s="1"/>
  <c r="AM15" i="8"/>
  <c r="AN16" i="8"/>
  <c r="AO16" i="8" s="1"/>
  <c r="AC8" i="8"/>
  <c r="AD9" i="8"/>
  <c r="AE9" i="8" s="1"/>
  <c r="AM26" i="8"/>
  <c r="AN27" i="8"/>
  <c r="AO27" i="8" s="1"/>
  <c r="AC25" i="8"/>
  <c r="AD26" i="8"/>
  <c r="AE26" i="8" s="1"/>
  <c r="AC19" i="8"/>
  <c r="AD20" i="8"/>
  <c r="AE20" i="8" s="1"/>
  <c r="AH9" i="8"/>
  <c r="AI10" i="8"/>
  <c r="AJ10" i="8" s="1"/>
  <c r="AM7" i="8"/>
  <c r="AN8" i="8"/>
  <c r="AO8" i="8" s="1"/>
  <c r="AH8" i="8"/>
  <c r="AI9" i="8"/>
  <c r="AJ9" i="8" s="1"/>
  <c r="AH19" i="8"/>
  <c r="AI20" i="8"/>
  <c r="AJ20" i="8" s="1"/>
  <c r="AM25" i="8"/>
  <c r="AN26" i="8"/>
  <c r="AO26" i="8" s="1"/>
  <c r="AC6" i="7"/>
  <c r="AD7" i="7"/>
  <c r="AE7" i="7" s="1"/>
  <c r="AM9" i="7"/>
  <c r="AN10" i="7"/>
  <c r="AO10" i="7" s="1"/>
  <c r="AC3" i="7"/>
  <c r="AD4" i="7"/>
  <c r="AE4" i="7" s="1"/>
  <c r="AM7" i="7"/>
  <c r="AN8" i="7"/>
  <c r="AO8" i="7" s="1"/>
  <c r="AM6" i="7"/>
  <c r="AN7" i="7"/>
  <c r="AO7" i="7" s="1"/>
  <c r="AC9" i="7"/>
  <c r="AD10" i="7"/>
  <c r="AE10" i="7" s="1"/>
  <c r="AH8" i="7"/>
  <c r="AI9" i="7"/>
  <c r="AJ9" i="7" s="1"/>
  <c r="AM8" i="7"/>
  <c r="AN9" i="7"/>
  <c r="AO9" i="7" s="1"/>
  <c r="AC7" i="7"/>
  <c r="AD8" i="7"/>
  <c r="AE8" i="7" s="1"/>
  <c r="AH6" i="7"/>
  <c r="AI7" i="7"/>
  <c r="AJ7" i="7" s="1"/>
  <c r="AH7" i="7"/>
  <c r="AI8" i="7"/>
  <c r="AJ8" i="7" s="1"/>
  <c r="AD6" i="6"/>
  <c r="AE6" i="6" s="1"/>
  <c r="AC5" i="6"/>
  <c r="AD41" i="6"/>
  <c r="AE41" i="6" s="1"/>
  <c r="AC40" i="6"/>
  <c r="AI22" i="6"/>
  <c r="AJ22" i="6" s="1"/>
  <c r="AH21" i="6"/>
  <c r="AC38" i="6"/>
  <c r="AD39" i="6"/>
  <c r="AE39" i="6" s="1"/>
  <c r="AN32" i="6"/>
  <c r="AO32" i="6" s="1"/>
  <c r="AM31" i="6"/>
  <c r="X31" i="6"/>
  <c r="AM10" i="6"/>
  <c r="AN11" i="6"/>
  <c r="AO11" i="6" s="1"/>
  <c r="AI9" i="6"/>
  <c r="AJ9" i="6" s="1"/>
  <c r="AH8" i="6"/>
  <c r="AI12" i="6"/>
  <c r="AJ12" i="6" s="1"/>
  <c r="AH11" i="6"/>
  <c r="AD28" i="6"/>
  <c r="AE28" i="6" s="1"/>
  <c r="AC27" i="6"/>
  <c r="AN17" i="6"/>
  <c r="AO17" i="6" s="1"/>
  <c r="AM16" i="6"/>
  <c r="AI14" i="6"/>
  <c r="AJ14" i="6" s="1"/>
  <c r="AH13" i="6"/>
  <c r="AI7" i="6"/>
  <c r="AJ7" i="6" s="1"/>
  <c r="AH6" i="6"/>
  <c r="AI4" i="6"/>
  <c r="AG54" i="6"/>
  <c r="AH3" i="6"/>
  <c r="AN31" i="6"/>
  <c r="AO31" i="6" s="1"/>
  <c r="AM30" i="6"/>
  <c r="X27" i="6"/>
  <c r="X32" i="6"/>
  <c r="AI45" i="6"/>
  <c r="AJ45" i="6" s="1"/>
  <c r="AH44" i="6"/>
  <c r="AN33" i="6"/>
  <c r="AO33" i="6" s="1"/>
  <c r="AM32" i="6"/>
  <c r="AL54" i="6"/>
  <c r="AN8" i="6"/>
  <c r="AO8" i="6" s="1"/>
  <c r="AM7" i="6"/>
  <c r="AN26" i="6"/>
  <c r="AO26" i="6" s="1"/>
  <c r="AM25" i="6"/>
  <c r="AC10" i="6"/>
  <c r="AD11" i="6"/>
  <c r="AE11" i="6" s="1"/>
  <c r="AM27" i="6"/>
  <c r="AN28" i="6"/>
  <c r="AO28" i="6" s="1"/>
  <c r="AN41" i="6"/>
  <c r="AO41" i="6" s="1"/>
  <c r="AM40" i="6"/>
  <c r="AH34" i="6"/>
  <c r="AI35" i="6"/>
  <c r="AJ35" i="6" s="1"/>
  <c r="AD20" i="6"/>
  <c r="AE20" i="6" s="1"/>
  <c r="AC19" i="6"/>
  <c r="AI26" i="6"/>
  <c r="AJ26" i="6" s="1"/>
  <c r="AH25" i="6"/>
  <c r="AI18" i="6"/>
  <c r="AJ18" i="6" s="1"/>
  <c r="AH17" i="6"/>
  <c r="AB54" i="6"/>
  <c r="AC6" i="6"/>
  <c r="AD7" i="6"/>
  <c r="AM19" i="6"/>
  <c r="AN20" i="6"/>
  <c r="AO20" i="6" s="1"/>
  <c r="AD22" i="6"/>
  <c r="AE22" i="6" s="1"/>
  <c r="AC21" i="6"/>
  <c r="AN7" i="6"/>
  <c r="AO7" i="6" s="1"/>
  <c r="AM6" i="6"/>
  <c r="AN47" i="6"/>
  <c r="AO47" i="6" s="1"/>
  <c r="AM46" i="6"/>
  <c r="AC4" i="6"/>
  <c r="AD5" i="6"/>
  <c r="AE5" i="6" s="1"/>
  <c r="AI30" i="6"/>
  <c r="AJ30" i="6" s="1"/>
  <c r="AH29" i="6"/>
  <c r="AI42" i="6"/>
  <c r="AJ42" i="6" s="1"/>
  <c r="AH41" i="6"/>
  <c r="AN14" i="6"/>
  <c r="AO14" i="6" s="1"/>
  <c r="AM13" i="6"/>
  <c r="AH10" i="6"/>
  <c r="AI11" i="6"/>
  <c r="AJ11" i="6" s="1"/>
  <c r="AH42" i="6"/>
  <c r="AI43" i="6"/>
  <c r="AJ43" i="6" s="1"/>
  <c r="AI47" i="6"/>
  <c r="AJ47" i="6" s="1"/>
  <c r="AH46" i="6"/>
  <c r="AC42" i="6"/>
  <c r="AD43" i="6"/>
  <c r="AE43" i="6" s="1"/>
  <c r="AM4" i="6"/>
  <c r="AN5" i="6"/>
  <c r="AO5" i="6" s="1"/>
  <c r="AC34" i="6"/>
  <c r="AD35" i="6"/>
  <c r="AE35" i="6" s="1"/>
  <c r="AH7" i="6"/>
  <c r="AI8" i="6"/>
  <c r="AJ8" i="6" s="1"/>
  <c r="AN42" i="6"/>
  <c r="AO42" i="6" s="1"/>
  <c r="AM41" i="6"/>
  <c r="AM43" i="6"/>
  <c r="AN44" i="6"/>
  <c r="AO44" i="6" s="1"/>
  <c r="AD44" i="6"/>
  <c r="AE44" i="6" s="1"/>
  <c r="AC43" i="6"/>
  <c r="AN18" i="6"/>
  <c r="AO18" i="6" s="1"/>
  <c r="AM17" i="6"/>
  <c r="AC18" i="6"/>
  <c r="AD19" i="6"/>
  <c r="AE19" i="6" s="1"/>
  <c r="AM5" i="6"/>
  <c r="AN6" i="6"/>
  <c r="AO6" i="6" s="1"/>
  <c r="AM11" i="6"/>
  <c r="AN12" i="6"/>
  <c r="AO12" i="6" s="1"/>
  <c r="AI6" i="6"/>
  <c r="AJ6" i="6" s="1"/>
  <c r="AH5" i="6"/>
  <c r="AC7" i="6"/>
  <c r="AD8" i="6"/>
  <c r="AE8" i="6" s="1"/>
  <c r="AC46" i="6"/>
  <c r="AD47" i="6"/>
  <c r="AE47" i="6" s="1"/>
  <c r="AC30" i="6"/>
  <c r="AD31" i="6"/>
  <c r="AE31" i="6" s="1"/>
  <c r="AN40" i="6"/>
  <c r="AO40" i="6" s="1"/>
  <c r="AM39" i="6"/>
  <c r="AM28" i="6"/>
  <c r="AN29" i="6"/>
  <c r="AO29" i="6" s="1"/>
  <c r="AI31" i="6"/>
  <c r="AJ31" i="6" s="1"/>
  <c r="AH30" i="6"/>
  <c r="AN49" i="6"/>
  <c r="AO49" i="6" s="1"/>
  <c r="AM48" i="6"/>
  <c r="AI20" i="6"/>
  <c r="AJ20" i="6" s="1"/>
  <c r="AH19" i="6"/>
  <c r="AC17" i="6"/>
  <c r="AD18" i="6"/>
  <c r="AE18" i="6" s="1"/>
  <c r="AM34" i="6"/>
  <c r="AN35" i="6"/>
  <c r="AO35" i="6" s="1"/>
  <c r="AM20" i="6"/>
  <c r="AN21" i="6"/>
  <c r="AO21" i="6" s="1"/>
  <c r="AO10" i="6"/>
  <c r="AI15" i="6"/>
  <c r="AJ15" i="6" s="1"/>
  <c r="AH14" i="6"/>
  <c r="AC14" i="6"/>
  <c r="AD15" i="6"/>
  <c r="AE15" i="6" s="1"/>
  <c r="AN4" i="6"/>
  <c r="AO4" i="6" s="1"/>
  <c r="AM3" i="6"/>
  <c r="AN15" i="6"/>
  <c r="AO15" i="6" s="1"/>
  <c r="AM14" i="6"/>
  <c r="AI49" i="6"/>
  <c r="AJ49" i="6" s="1"/>
  <c r="AH48" i="6"/>
  <c r="AI29" i="6"/>
  <c r="AJ29" i="6" s="1"/>
  <c r="AH28" i="6"/>
  <c r="AC25" i="6"/>
  <c r="AD26" i="6"/>
  <c r="AE26" i="6" s="1"/>
  <c r="AC39" i="6"/>
  <c r="AD40" i="6"/>
  <c r="AE40" i="6" s="1"/>
  <c r="AC11" i="6"/>
  <c r="AD12" i="6"/>
  <c r="AE12" i="6" s="1"/>
  <c r="AM35" i="6"/>
  <c r="AN36" i="6"/>
  <c r="AO36" i="6" s="1"/>
  <c r="AD16" i="6"/>
  <c r="AE16" i="6" s="1"/>
  <c r="AC15" i="6"/>
  <c r="AI38" i="6"/>
  <c r="AJ38" i="6" s="1"/>
  <c r="AH37" i="6"/>
  <c r="AD14" i="6"/>
  <c r="AE14" i="6" s="1"/>
  <c r="AC13" i="6"/>
  <c r="AH18" i="6"/>
  <c r="AI19" i="6"/>
  <c r="AJ19" i="6" s="1"/>
  <c r="AH39" i="6"/>
  <c r="AI40" i="6"/>
  <c r="AJ40" i="6" s="1"/>
  <c r="AC44" i="6"/>
  <c r="AD45" i="6"/>
  <c r="AE45" i="6" s="1"/>
  <c r="AH31" i="6"/>
  <c r="AI32" i="6"/>
  <c r="AJ32" i="6" s="1"/>
  <c r="AC41" i="6"/>
  <c r="AD42" i="6"/>
  <c r="AE42" i="6" s="1"/>
  <c r="AC35" i="6"/>
  <c r="AD36" i="6"/>
  <c r="AE36" i="6" s="1"/>
  <c r="AI39" i="6"/>
  <c r="AJ39" i="6" s="1"/>
  <c r="AH38" i="6"/>
  <c r="AM18" i="6"/>
  <c r="AN19" i="6"/>
  <c r="AO19" i="6" s="1"/>
  <c r="AH8" i="4"/>
  <c r="AI9" i="4"/>
  <c r="AJ9" i="4" s="1"/>
  <c r="AD11" i="4"/>
  <c r="AE11" i="4" s="1"/>
  <c r="AC10" i="4"/>
  <c r="AD14" i="4"/>
  <c r="AE14" i="4" s="1"/>
  <c r="AC13" i="4"/>
  <c r="AH11" i="4"/>
  <c r="AI12" i="4"/>
  <c r="AJ12" i="4" s="1"/>
  <c r="AD9" i="4"/>
  <c r="AE9" i="4" s="1"/>
  <c r="AC8" i="4"/>
  <c r="AI11" i="4"/>
  <c r="AJ11" i="4" s="1"/>
  <c r="AH10" i="4"/>
  <c r="AM10" i="4"/>
  <c r="AN11" i="4"/>
  <c r="AO11" i="4" s="1"/>
  <c r="AN12" i="4"/>
  <c r="AO12" i="4" s="1"/>
  <c r="AM11" i="4"/>
  <c r="AH13" i="4"/>
  <c r="AI14" i="4"/>
  <c r="AJ14" i="4" s="1"/>
  <c r="AC3" i="4"/>
  <c r="AD4" i="4"/>
  <c r="AB84" i="4"/>
  <c r="AM13" i="4"/>
  <c r="AN14" i="4"/>
  <c r="AO14" i="4" s="1"/>
  <c r="X3" i="4"/>
  <c r="W84" i="4"/>
  <c r="Y4" i="4"/>
  <c r="X17" i="4"/>
  <c r="Y18" i="4"/>
  <c r="Z18" i="4" s="1"/>
  <c r="AH3" i="4"/>
  <c r="AI4" i="4"/>
  <c r="AG84" i="4"/>
  <c r="AD12" i="4"/>
  <c r="AE12" i="4" s="1"/>
  <c r="AC11" i="4"/>
  <c r="AN9" i="4"/>
  <c r="AO9" i="4" s="1"/>
  <c r="AM8" i="4"/>
  <c r="AI18" i="4"/>
  <c r="AJ18" i="4" s="1"/>
  <c r="AH17" i="4"/>
  <c r="AN4" i="4"/>
  <c r="AM3" i="4"/>
  <c r="AL84" i="4"/>
  <c r="X13" i="4"/>
  <c r="Y14" i="4"/>
  <c r="Z14" i="4" s="1"/>
  <c r="X11" i="4"/>
  <c r="Y12" i="4"/>
  <c r="Z12" i="4" s="1"/>
  <c r="X8" i="4"/>
  <c r="Y9" i="4"/>
  <c r="Z9" i="4" s="1"/>
  <c r="X9" i="8"/>
  <c r="W64" i="8"/>
  <c r="AO10" i="8"/>
  <c r="AO4" i="8"/>
  <c r="AB64" i="8"/>
  <c r="AH7" i="8"/>
  <c r="AG64" i="8"/>
  <c r="AE4" i="8"/>
  <c r="Y16" i="8"/>
  <c r="Z16" i="8" s="1"/>
  <c r="X15" i="8"/>
  <c r="AJ4" i="8"/>
  <c r="X13" i="8"/>
  <c r="Y14" i="8"/>
  <c r="Z14" i="8" s="1"/>
  <c r="AL64" i="8"/>
  <c r="Z4" i="8"/>
  <c r="X19" i="8"/>
  <c r="Y20" i="8"/>
  <c r="Z20" i="8" s="1"/>
  <c r="X7" i="8"/>
  <c r="AJ8" i="8"/>
  <c r="Y8" i="8"/>
  <c r="Z8" i="8" s="1"/>
  <c r="X8" i="8"/>
  <c r="AO9" i="8"/>
  <c r="Y9" i="8"/>
  <c r="Z9" i="8" s="1"/>
  <c r="AG44" i="7"/>
  <c r="Y4" i="7"/>
  <c r="Z4" i="7" s="1"/>
  <c r="X3" i="7"/>
  <c r="AB44" i="7"/>
  <c r="AJ4" i="7"/>
  <c r="X6" i="7"/>
  <c r="Y7" i="7"/>
  <c r="Z7" i="7" s="1"/>
  <c r="AL44" i="7"/>
  <c r="W44" i="7"/>
  <c r="W54" i="6"/>
  <c r="AM13" i="1"/>
  <c r="AN13" i="1" s="1"/>
  <c r="AM39" i="1"/>
  <c r="AN39" i="1" s="1"/>
  <c r="AM59" i="1"/>
  <c r="AN59" i="1" s="1"/>
  <c r="AM14" i="1"/>
  <c r="AN14" i="1" s="1"/>
  <c r="AM40" i="1"/>
  <c r="AN40" i="1" s="1"/>
  <c r="AM66" i="1"/>
  <c r="AN66" i="1" s="1"/>
  <c r="AM49" i="1"/>
  <c r="AN49" i="1" s="1"/>
  <c r="AM21" i="1"/>
  <c r="AN21" i="1" s="1"/>
  <c r="AM41" i="1"/>
  <c r="AN41" i="1" s="1"/>
  <c r="AM67" i="1"/>
  <c r="AN67" i="1" s="1"/>
  <c r="AM7" i="1"/>
  <c r="AN7" i="1" s="1"/>
  <c r="AM30" i="1"/>
  <c r="AN30" i="1" s="1"/>
  <c r="AM50" i="1"/>
  <c r="AN50" i="1" s="1"/>
  <c r="AM22" i="1"/>
  <c r="AN22" i="1" s="1"/>
  <c r="AM48" i="1"/>
  <c r="AN48" i="1" s="1"/>
  <c r="AM23" i="1"/>
  <c r="AN23" i="1" s="1"/>
  <c r="AM11" i="1"/>
  <c r="AN11" i="1" s="1"/>
  <c r="AM31" i="1"/>
  <c r="AN31" i="1" s="1"/>
  <c r="AM32" i="1"/>
  <c r="AN32" i="1" s="1"/>
  <c r="AM57" i="1"/>
  <c r="AN57" i="1" s="1"/>
  <c r="AM58" i="1"/>
  <c r="AN58" i="1" s="1"/>
  <c r="AM42" i="1"/>
  <c r="AN42" i="1" s="1"/>
  <c r="AM43" i="1"/>
  <c r="AN43" i="1" s="1"/>
  <c r="AM35" i="1"/>
  <c r="AN35" i="1" s="1"/>
  <c r="AM37" i="1"/>
  <c r="AN37" i="1" s="1"/>
  <c r="AM10" i="1"/>
  <c r="AN10" i="1" s="1"/>
  <c r="AM60" i="1"/>
  <c r="AN60" i="1" s="1"/>
  <c r="X37" i="1"/>
  <c r="Y37" i="1" s="1"/>
  <c r="X26" i="1"/>
  <c r="Y26" i="1" s="1"/>
  <c r="X70" i="1"/>
  <c r="Y70" i="1" s="1"/>
  <c r="X60" i="1"/>
  <c r="Y60" i="1" s="1"/>
  <c r="X50" i="1"/>
  <c r="Y50" i="1" s="1"/>
  <c r="X39" i="1"/>
  <c r="Y39" i="1" s="1"/>
  <c r="X38" i="1"/>
  <c r="Y38" i="1" s="1"/>
  <c r="X41" i="1"/>
  <c r="Y41" i="1" s="1"/>
  <c r="S11" i="1"/>
  <c r="T11" i="1" s="1"/>
  <c r="S32" i="1"/>
  <c r="T32" i="1" s="1"/>
  <c r="S58" i="1"/>
  <c r="T58" i="1" s="1"/>
  <c r="S39" i="1"/>
  <c r="T39" i="1" s="1"/>
  <c r="S59" i="1"/>
  <c r="T59" i="1" s="1"/>
  <c r="S8" i="1"/>
  <c r="T8" i="1" s="1"/>
  <c r="S40" i="1"/>
  <c r="T40" i="1" s="1"/>
  <c r="S66" i="1"/>
  <c r="T66" i="1" s="1"/>
  <c r="S19" i="1"/>
  <c r="T19" i="1" s="1"/>
  <c r="S48" i="1"/>
  <c r="T48" i="1" s="1"/>
  <c r="S68" i="1"/>
  <c r="T68" i="1" s="1"/>
  <c r="S22" i="1"/>
  <c r="T22" i="1" s="1"/>
  <c r="S17" i="1"/>
  <c r="T17" i="1" s="1"/>
  <c r="S41" i="1"/>
  <c r="T41" i="1" s="1"/>
  <c r="S67" i="1"/>
  <c r="T67" i="1" s="1"/>
  <c r="S49" i="1"/>
  <c r="T49" i="1" s="1"/>
  <c r="S50" i="1"/>
  <c r="T50" i="1" s="1"/>
  <c r="S57" i="1"/>
  <c r="T57" i="1" s="1"/>
  <c r="S75" i="1"/>
  <c r="T75" i="1" s="1"/>
  <c r="S30" i="1"/>
  <c r="T30" i="1" s="1"/>
  <c r="S31" i="1"/>
  <c r="T31" i="1" s="1"/>
  <c r="I15" i="1"/>
  <c r="J15" i="1" s="1"/>
  <c r="I21" i="1"/>
  <c r="J21" i="1" s="1"/>
  <c r="I55" i="1"/>
  <c r="J55" i="1" s="1"/>
  <c r="I22" i="1"/>
  <c r="J22" i="1" s="1"/>
  <c r="I69" i="1"/>
  <c r="J69" i="1" s="1"/>
  <c r="I23" i="1"/>
  <c r="J23" i="1" s="1"/>
  <c r="I70" i="1"/>
  <c r="J70" i="1" s="1"/>
  <c r="I38" i="1"/>
  <c r="J38" i="1" s="1"/>
  <c r="I37" i="1"/>
  <c r="J37" i="1" s="1"/>
  <c r="I71" i="1"/>
  <c r="J71" i="1" s="1"/>
  <c r="I39" i="1"/>
  <c r="J39" i="1" s="1"/>
  <c r="I54" i="1"/>
  <c r="J54" i="1" s="1"/>
  <c r="I53" i="1"/>
  <c r="J53" i="1" s="1"/>
  <c r="S42" i="1"/>
  <c r="T42" i="1" s="1"/>
  <c r="AM51" i="1"/>
  <c r="AN51" i="1" s="1"/>
  <c r="S69" i="1"/>
  <c r="T69" i="1" s="1"/>
  <c r="S28" i="1"/>
  <c r="T28" i="1" s="1"/>
  <c r="I61" i="1"/>
  <c r="J61" i="1" s="1"/>
  <c r="S43" i="1"/>
  <c r="T43" i="1" s="1"/>
  <c r="AM53" i="1"/>
  <c r="AN53" i="1" s="1"/>
  <c r="S7" i="1"/>
  <c r="T7" i="1" s="1"/>
  <c r="I62" i="1"/>
  <c r="J62" i="1" s="1"/>
  <c r="S44" i="1"/>
  <c r="T44" i="1" s="1"/>
  <c r="AM45" i="1"/>
  <c r="AN45" i="1" s="1"/>
  <c r="I19" i="1"/>
  <c r="J19" i="1" s="1"/>
  <c r="I26" i="1"/>
  <c r="J26" i="1" s="1"/>
  <c r="I33" i="1"/>
  <c r="J33" i="1" s="1"/>
  <c r="I40" i="1"/>
  <c r="J40" i="1" s="1"/>
  <c r="S46" i="1"/>
  <c r="T46" i="1" s="1"/>
  <c r="AM46" i="1"/>
  <c r="AN46" i="1" s="1"/>
  <c r="I36" i="1"/>
  <c r="J36" i="1" s="1"/>
  <c r="S16" i="1"/>
  <c r="T16" i="1" s="1"/>
  <c r="AM19" i="1"/>
  <c r="AN19" i="1" s="1"/>
  <c r="AM52" i="1"/>
  <c r="AN52" i="1" s="1"/>
  <c r="X63" i="1"/>
  <c r="Y63" i="1" s="1"/>
  <c r="X46" i="1"/>
  <c r="Y46" i="1" s="1"/>
  <c r="X61" i="1"/>
  <c r="Y61" i="1" s="1"/>
  <c r="X51" i="1"/>
  <c r="Y51" i="1" s="1"/>
  <c r="X40" i="1"/>
  <c r="Y40" i="1" s="1"/>
  <c r="X30" i="1"/>
  <c r="Y30" i="1" s="1"/>
  <c r="X29" i="1"/>
  <c r="Y29" i="1" s="1"/>
  <c r="X33" i="1"/>
  <c r="Y33" i="1" s="1"/>
  <c r="S51" i="1"/>
  <c r="T51" i="1" s="1"/>
  <c r="AM61" i="1"/>
  <c r="AN61" i="1" s="1"/>
  <c r="S61" i="1"/>
  <c r="T61" i="1" s="1"/>
  <c r="S20" i="1"/>
  <c r="T20" i="1" s="1"/>
  <c r="S52" i="1"/>
  <c r="T52" i="1" s="1"/>
  <c r="AM62" i="1"/>
  <c r="AN62" i="1" s="1"/>
  <c r="S54" i="1"/>
  <c r="T54" i="1" s="1"/>
  <c r="AM54" i="1"/>
  <c r="AN54" i="1" s="1"/>
  <c r="I11" i="1"/>
  <c r="J11" i="1" s="1"/>
  <c r="I18" i="1"/>
  <c r="J18" i="1" s="1"/>
  <c r="I25" i="1"/>
  <c r="J25" i="1" s="1"/>
  <c r="I32" i="1"/>
  <c r="J32" i="1" s="1"/>
  <c r="S55" i="1"/>
  <c r="T55" i="1" s="1"/>
  <c r="AM55" i="1"/>
  <c r="AN55" i="1" s="1"/>
  <c r="I52" i="1"/>
  <c r="J52" i="1" s="1"/>
  <c r="S27" i="1"/>
  <c r="T27" i="1" s="1"/>
  <c r="AM29" i="1"/>
  <c r="AN29" i="1" s="1"/>
  <c r="AM44" i="1"/>
  <c r="AN44" i="1" s="1"/>
  <c r="AC23" i="1"/>
  <c r="AD23" i="1" s="1"/>
  <c r="AC71" i="1"/>
  <c r="AD71" i="1" s="1"/>
  <c r="X72" i="1"/>
  <c r="Y72" i="1" s="1"/>
  <c r="X28" i="1"/>
  <c r="Y28" i="1" s="1"/>
  <c r="AC40" i="1"/>
  <c r="AD40" i="1" s="1"/>
  <c r="AC29" i="1"/>
  <c r="AD29" i="1" s="1"/>
  <c r="AC19" i="1"/>
  <c r="AD19" i="1" s="1"/>
  <c r="AC18" i="1"/>
  <c r="AD18" i="1" s="1"/>
  <c r="AC17" i="1"/>
  <c r="AD17" i="1" s="1"/>
  <c r="X52" i="1"/>
  <c r="Y52" i="1" s="1"/>
  <c r="X42" i="1"/>
  <c r="Y42" i="1" s="1"/>
  <c r="X31" i="1"/>
  <c r="Y31" i="1" s="1"/>
  <c r="X21" i="1"/>
  <c r="Y21" i="1" s="1"/>
  <c r="X20" i="1"/>
  <c r="Y20" i="1" s="1"/>
  <c r="X62" i="1"/>
  <c r="Y62" i="1" s="1"/>
  <c r="X10" i="1"/>
  <c r="Y10" i="1" s="1"/>
  <c r="X36" i="1"/>
  <c r="Y36" i="1" s="1"/>
  <c r="AM28" i="1"/>
  <c r="AN28" i="1" s="1"/>
  <c r="X23" i="1"/>
  <c r="Y23" i="1" s="1"/>
  <c r="X73" i="1"/>
  <c r="Y73" i="1" s="1"/>
  <c r="S10" i="1"/>
  <c r="T10" i="1" s="1"/>
  <c r="I51" i="1"/>
  <c r="J51" i="1" s="1"/>
  <c r="I58" i="1"/>
  <c r="J58" i="1" s="1"/>
  <c r="I65" i="1"/>
  <c r="I72" i="1"/>
  <c r="J72" i="1" s="1"/>
  <c r="I8" i="1"/>
  <c r="J8" i="1" s="1"/>
  <c r="AM9" i="1"/>
  <c r="AN9" i="1" s="1"/>
  <c r="S56" i="1"/>
  <c r="T56" i="1" s="1"/>
  <c r="AM56" i="1"/>
  <c r="AN56" i="1" s="1"/>
  <c r="AM20" i="1"/>
  <c r="AN20" i="1" s="1"/>
  <c r="X18" i="1"/>
  <c r="Y18" i="1" s="1"/>
  <c r="X71" i="1"/>
  <c r="Y71" i="1" s="1"/>
  <c r="X27" i="1"/>
  <c r="Y27" i="1" s="1"/>
  <c r="X8" i="1"/>
  <c r="Y8" i="1" s="1"/>
  <c r="X24" i="1"/>
  <c r="Y24" i="1" s="1"/>
  <c r="X14" i="1"/>
  <c r="Y14" i="1" s="1"/>
  <c r="X67" i="1"/>
  <c r="Y67" i="1" s="1"/>
  <c r="X66" i="1"/>
  <c r="Y66" i="1" s="1"/>
  <c r="X65" i="1"/>
  <c r="Y65" i="1" s="1"/>
  <c r="AH12" i="1"/>
  <c r="AI12" i="1" s="1"/>
  <c r="AH9" i="1"/>
  <c r="AI9" i="1" s="1"/>
  <c r="AH18" i="1"/>
  <c r="AI18" i="1" s="1"/>
  <c r="AH27" i="1"/>
  <c r="AI27" i="1" s="1"/>
  <c r="AH37" i="1"/>
  <c r="AI37" i="1" s="1"/>
  <c r="AH46" i="1"/>
  <c r="AI46" i="1" s="1"/>
  <c r="AH55" i="1"/>
  <c r="AI55" i="1" s="1"/>
  <c r="AH64" i="1"/>
  <c r="AI64" i="1" s="1"/>
  <c r="AH10" i="1"/>
  <c r="AI10" i="1" s="1"/>
  <c r="AH19" i="1"/>
  <c r="AI19" i="1" s="1"/>
  <c r="AH29" i="1"/>
  <c r="AI29" i="1" s="1"/>
  <c r="AH38" i="1"/>
  <c r="AI38" i="1" s="1"/>
  <c r="AH47" i="1"/>
  <c r="AI47" i="1" s="1"/>
  <c r="AH56" i="1"/>
  <c r="AI56" i="1" s="1"/>
  <c r="AH65" i="1"/>
  <c r="AI65" i="1" s="1"/>
  <c r="AH11" i="1"/>
  <c r="AI11" i="1" s="1"/>
  <c r="AH21" i="1"/>
  <c r="AI21" i="1" s="1"/>
  <c r="AH30" i="1"/>
  <c r="AI30" i="1" s="1"/>
  <c r="AH39" i="1"/>
  <c r="AI39" i="1" s="1"/>
  <c r="AH48" i="1"/>
  <c r="AI48" i="1" s="1"/>
  <c r="AH57" i="1"/>
  <c r="AI57" i="1" s="1"/>
  <c r="AH66" i="1"/>
  <c r="AI66" i="1" s="1"/>
  <c r="AH14" i="1"/>
  <c r="AI14" i="1" s="1"/>
  <c r="AH23" i="1"/>
  <c r="AI23" i="1" s="1"/>
  <c r="AH41" i="1"/>
  <c r="AI41" i="1" s="1"/>
  <c r="AH50" i="1"/>
  <c r="AI50" i="1" s="1"/>
  <c r="AH69" i="1"/>
  <c r="AI69" i="1" s="1"/>
  <c r="AH24" i="1"/>
  <c r="AI24" i="1" s="1"/>
  <c r="AH42" i="1"/>
  <c r="AI42" i="1" s="1"/>
  <c r="AH61" i="1"/>
  <c r="AI61" i="1" s="1"/>
  <c r="AH13" i="1"/>
  <c r="AI13" i="1" s="1"/>
  <c r="AH22" i="1"/>
  <c r="AI22" i="1" s="1"/>
  <c r="AH31" i="1"/>
  <c r="AI31" i="1" s="1"/>
  <c r="AH40" i="1"/>
  <c r="AI40" i="1" s="1"/>
  <c r="AH49" i="1"/>
  <c r="AI49" i="1" s="1"/>
  <c r="AH58" i="1"/>
  <c r="AI58" i="1" s="1"/>
  <c r="AH67" i="1"/>
  <c r="AI67" i="1" s="1"/>
  <c r="AH7" i="1"/>
  <c r="AI7" i="1" s="1"/>
  <c r="AH32" i="1"/>
  <c r="AI32" i="1" s="1"/>
  <c r="AH59" i="1"/>
  <c r="AI59" i="1" s="1"/>
  <c r="AH15" i="1"/>
  <c r="AI15" i="1" s="1"/>
  <c r="AH33" i="1"/>
  <c r="AI33" i="1" s="1"/>
  <c r="AH51" i="1"/>
  <c r="AI51" i="1" s="1"/>
  <c r="AH70" i="1"/>
  <c r="AI70" i="1" s="1"/>
  <c r="AH25" i="1"/>
  <c r="AI25" i="1" s="1"/>
  <c r="AH62" i="1"/>
  <c r="AI62" i="1" s="1"/>
  <c r="AH26" i="1"/>
  <c r="AI26" i="1" s="1"/>
  <c r="AH63" i="1"/>
  <c r="AI63" i="1" s="1"/>
  <c r="AH43" i="1"/>
  <c r="AI43" i="1" s="1"/>
  <c r="AH8" i="1"/>
  <c r="AI8" i="1" s="1"/>
  <c r="AH45" i="1"/>
  <c r="AI45" i="1" s="1"/>
  <c r="AH16" i="1"/>
  <c r="AI16" i="1" s="1"/>
  <c r="AH53" i="1"/>
  <c r="AI53" i="1" s="1"/>
  <c r="AH17" i="1"/>
  <c r="AI17" i="1" s="1"/>
  <c r="AH54" i="1"/>
  <c r="AI54" i="1" s="1"/>
  <c r="AH34" i="1"/>
  <c r="AI34" i="1" s="1"/>
  <c r="AH71" i="1"/>
  <c r="AI71" i="1" s="1"/>
  <c r="AH35" i="1"/>
  <c r="AI35" i="1" s="1"/>
  <c r="AM47" i="1"/>
  <c r="AN47" i="1" s="1"/>
  <c r="X45" i="1"/>
  <c r="Y45" i="1" s="1"/>
  <c r="X13" i="1"/>
  <c r="Y13" i="1" s="1"/>
  <c r="AM16" i="1"/>
  <c r="AN16" i="1" s="1"/>
  <c r="AM8" i="1"/>
  <c r="AN8" i="1" s="1"/>
  <c r="S9" i="1"/>
  <c r="T9" i="1" s="1"/>
  <c r="I13" i="1"/>
  <c r="J13" i="1" s="1"/>
  <c r="AM25" i="1"/>
  <c r="AN25" i="1" s="1"/>
  <c r="S14" i="1"/>
  <c r="T14" i="1" s="1"/>
  <c r="I43" i="1"/>
  <c r="J43" i="1" s="1"/>
  <c r="I57" i="1"/>
  <c r="J57" i="1" s="1"/>
  <c r="I31" i="1"/>
  <c r="J31" i="1" s="1"/>
  <c r="AM18" i="1"/>
  <c r="AN18" i="1" s="1"/>
  <c r="AM65" i="1"/>
  <c r="AN65" i="1" s="1"/>
  <c r="X35" i="1"/>
  <c r="Y35" i="1" s="1"/>
  <c r="X15" i="1"/>
  <c r="Y15" i="1" s="1"/>
  <c r="X68" i="1"/>
  <c r="Y68" i="1" s="1"/>
  <c r="X58" i="1"/>
  <c r="Y58" i="1" s="1"/>
  <c r="X56" i="1"/>
  <c r="Y56" i="1" s="1"/>
  <c r="AC15" i="1"/>
  <c r="AD15" i="1" s="1"/>
  <c r="AC16" i="1"/>
  <c r="AD16" i="1" s="1"/>
  <c r="AC42" i="1"/>
  <c r="AD42" i="1" s="1"/>
  <c r="AC61" i="1"/>
  <c r="AD61" i="1" s="1"/>
  <c r="AC41" i="1"/>
  <c r="AD41" i="1" s="1"/>
  <c r="AC68" i="1"/>
  <c r="AD68" i="1" s="1"/>
  <c r="X34" i="1"/>
  <c r="Y34" i="1" s="1"/>
  <c r="X7" i="1"/>
  <c r="Y7" i="1" s="1"/>
  <c r="X9" i="1"/>
  <c r="Y9" i="1" s="1"/>
  <c r="I12" i="1"/>
  <c r="J12" i="1" s="1"/>
  <c r="AM15" i="1"/>
  <c r="AN15" i="1" s="1"/>
  <c r="S37" i="1"/>
  <c r="T37" i="1" s="1"/>
  <c r="I28" i="1"/>
  <c r="J28" i="1" s="1"/>
  <c r="AM24" i="1"/>
  <c r="AN24" i="1" s="1"/>
  <c r="S29" i="1"/>
  <c r="T29" i="1" s="1"/>
  <c r="I14" i="1"/>
  <c r="J14" i="1" s="1"/>
  <c r="AM17" i="1"/>
  <c r="AN17" i="1" s="1"/>
  <c r="I50" i="1"/>
  <c r="J50" i="1" s="1"/>
  <c r="I64" i="1"/>
  <c r="J64" i="1" s="1"/>
  <c r="S15" i="1"/>
  <c r="T15" i="1" s="1"/>
  <c r="S65" i="1"/>
  <c r="T65" i="1" s="1"/>
  <c r="AM12" i="1"/>
  <c r="AN12" i="1" s="1"/>
  <c r="X44" i="1"/>
  <c r="Y44" i="1" s="1"/>
  <c r="X53" i="1"/>
  <c r="Y53" i="1" s="1"/>
  <c r="X57" i="1"/>
  <c r="Y57" i="1" s="1"/>
  <c r="AH28" i="1"/>
  <c r="AI28" i="1" s="1"/>
  <c r="I44" i="1"/>
  <c r="J44" i="1" s="1"/>
  <c r="S23" i="1"/>
  <c r="T23" i="1" s="1"/>
  <c r="AM33" i="1"/>
  <c r="AN33" i="1" s="1"/>
  <c r="S21" i="1"/>
  <c r="T21" i="1" s="1"/>
  <c r="I29" i="1"/>
  <c r="J29" i="1" s="1"/>
  <c r="S24" i="1"/>
  <c r="T24" i="1" s="1"/>
  <c r="AM34" i="1"/>
  <c r="AN34" i="1" s="1"/>
  <c r="I30" i="1"/>
  <c r="J30" i="1" s="1"/>
  <c r="S25" i="1"/>
  <c r="T25" i="1" s="1"/>
  <c r="AM26" i="1"/>
  <c r="AN26" i="1" s="1"/>
  <c r="I35" i="1"/>
  <c r="J35" i="1" s="1"/>
  <c r="I42" i="1"/>
  <c r="J42" i="1" s="1"/>
  <c r="I49" i="1"/>
  <c r="J49" i="1" s="1"/>
  <c r="I56" i="1"/>
  <c r="J56" i="1" s="1"/>
  <c r="I47" i="1"/>
  <c r="J47" i="1" s="1"/>
  <c r="S26" i="1"/>
  <c r="T26" i="1" s="1"/>
  <c r="AM27" i="1"/>
  <c r="AN27" i="1" s="1"/>
  <c r="S74" i="1"/>
  <c r="T74" i="1" s="1"/>
  <c r="AM68" i="1"/>
  <c r="AN68" i="1" s="1"/>
  <c r="X16" i="1"/>
  <c r="Y16" i="1" s="1"/>
  <c r="X64" i="1"/>
  <c r="Y64" i="1" s="1"/>
  <c r="AC51" i="1"/>
  <c r="AD51" i="1" s="1"/>
  <c r="X74" i="1"/>
  <c r="Y74" i="1" s="1"/>
  <c r="AC67" i="1"/>
  <c r="AD67" i="1" s="1"/>
  <c r="AC57" i="1"/>
  <c r="AD57" i="1" s="1"/>
  <c r="AC47" i="1"/>
  <c r="AD47" i="1" s="1"/>
  <c r="AC45" i="1"/>
  <c r="AD45" i="1" s="1"/>
  <c r="AC44" i="1"/>
  <c r="AD44" i="1" s="1"/>
  <c r="AC54" i="1"/>
  <c r="AD54" i="1" s="1"/>
  <c r="X55" i="1"/>
  <c r="Y55" i="1" s="1"/>
  <c r="X69" i="1"/>
  <c r="Y69" i="1" s="1"/>
  <c r="X59" i="1"/>
  <c r="Y59" i="1" s="1"/>
  <c r="X48" i="1"/>
  <c r="Y48" i="1" s="1"/>
  <c r="X47" i="1"/>
  <c r="Y47" i="1" s="1"/>
  <c r="X49" i="1"/>
  <c r="Y49" i="1" s="1"/>
  <c r="N11" i="1"/>
  <c r="O11" i="1" s="1"/>
  <c r="N35" i="1"/>
  <c r="O35" i="1" s="1"/>
  <c r="N73" i="1"/>
  <c r="O73" i="1" s="1"/>
  <c r="N36" i="1"/>
  <c r="O36" i="1" s="1"/>
  <c r="N74" i="1"/>
  <c r="O74" i="1" s="1"/>
  <c r="N46" i="1"/>
  <c r="O46" i="1" s="1"/>
  <c r="N18" i="1"/>
  <c r="O18" i="1" s="1"/>
  <c r="N19" i="1"/>
  <c r="O19" i="1" s="1"/>
  <c r="N49" i="1"/>
  <c r="O49" i="1" s="1"/>
  <c r="N50" i="1"/>
  <c r="O50" i="1" s="1"/>
  <c r="N59" i="1"/>
  <c r="O59" i="1" s="1"/>
  <c r="N20" i="1"/>
  <c r="O20" i="1" s="1"/>
  <c r="N62" i="1"/>
  <c r="O62" i="1" s="1"/>
  <c r="N34" i="1"/>
  <c r="O34" i="1" s="1"/>
  <c r="N60" i="1"/>
  <c r="O60" i="1" s="1"/>
  <c r="AX18" i="3" l="1"/>
  <c r="AY18" i="3" s="1"/>
  <c r="AW33" i="2"/>
  <c r="CN39" i="3"/>
  <c r="CO39" i="3" s="1"/>
  <c r="BC22" i="2"/>
  <c r="BD43" i="2"/>
  <c r="BE43" i="2" s="1"/>
  <c r="CS45" i="3"/>
  <c r="CZ11" i="2"/>
  <c r="DA11" i="2" s="1"/>
  <c r="CH30" i="3"/>
  <c r="CI30" i="3" s="1"/>
  <c r="BJ60" i="3"/>
  <c r="BK60" i="3" s="1"/>
  <c r="CG58" i="3"/>
  <c r="CZ49" i="3"/>
  <c r="DA49" i="3" s="1"/>
  <c r="AW9" i="3"/>
  <c r="AX62" i="3"/>
  <c r="AY62" i="3" s="1"/>
  <c r="BC57" i="3"/>
  <c r="BJ59" i="3"/>
  <c r="BK59" i="3" s="1"/>
  <c r="CZ23" i="3"/>
  <c r="DA23" i="3" s="1"/>
  <c r="CM16" i="3"/>
  <c r="CZ41" i="3"/>
  <c r="DA41" i="3" s="1"/>
  <c r="BC10" i="3"/>
  <c r="CH52" i="3"/>
  <c r="CI52" i="3" s="1"/>
  <c r="AW54" i="3"/>
  <c r="CN44" i="3"/>
  <c r="CO44" i="3" s="1"/>
  <c r="BC37" i="2"/>
  <c r="BB7" i="1"/>
  <c r="CG47" i="2"/>
  <c r="CZ66" i="3"/>
  <c r="DA66" i="3" s="1"/>
  <c r="BP19" i="3"/>
  <c r="BQ19" i="3" s="1"/>
  <c r="BU32" i="2"/>
  <c r="BD38" i="3"/>
  <c r="BE38" i="3" s="1"/>
  <c r="BD54" i="2"/>
  <c r="BE54" i="2" s="1"/>
  <c r="CM34" i="2"/>
  <c r="BC51" i="2"/>
  <c r="CN19" i="3"/>
  <c r="CO19" i="3" s="1"/>
  <c r="BU55" i="2"/>
  <c r="AW49" i="2"/>
  <c r="AX46" i="3"/>
  <c r="AY46" i="3" s="1"/>
  <c r="BP65" i="3"/>
  <c r="BQ65" i="3" s="1"/>
  <c r="BP63" i="2"/>
  <c r="BQ63" i="2" s="1"/>
  <c r="CB58" i="3"/>
  <c r="CC58" i="3" s="1"/>
  <c r="BI35" i="3"/>
  <c r="CH54" i="3"/>
  <c r="CI54" i="3" s="1"/>
  <c r="CM52" i="2"/>
  <c r="BC33" i="2"/>
  <c r="CZ29" i="3"/>
  <c r="DA29" i="3" s="1"/>
  <c r="BP24" i="2"/>
  <c r="BQ24" i="2" s="1"/>
  <c r="BO23" i="2"/>
  <c r="CS54" i="3"/>
  <c r="CT55" i="3"/>
  <c r="CU55" i="3" s="1"/>
  <c r="BP32" i="3"/>
  <c r="BQ32" i="3" s="1"/>
  <c r="BO31" i="3"/>
  <c r="CS15" i="3"/>
  <c r="CT16" i="3"/>
  <c r="CU16" i="3" s="1"/>
  <c r="CS35" i="3"/>
  <c r="CT36" i="3"/>
  <c r="CU36" i="3" s="1"/>
  <c r="BP34" i="3"/>
  <c r="BQ34" i="3" s="1"/>
  <c r="BO33" i="3"/>
  <c r="BP51" i="3"/>
  <c r="BQ51" i="3" s="1"/>
  <c r="BO50" i="3"/>
  <c r="CT10" i="3"/>
  <c r="CU10" i="3" s="1"/>
  <c r="BP9" i="2"/>
  <c r="BQ9" i="2" s="1"/>
  <c r="BO8" i="2"/>
  <c r="CT43" i="3"/>
  <c r="CU43" i="3" s="1"/>
  <c r="BP51" i="2"/>
  <c r="BQ51" i="2" s="1"/>
  <c r="BO50" i="2"/>
  <c r="CT31" i="3"/>
  <c r="CU31" i="3" s="1"/>
  <c r="CT47" i="3"/>
  <c r="CU47" i="3" s="1"/>
  <c r="BP29" i="2"/>
  <c r="BQ29" i="2" s="1"/>
  <c r="BO28" i="2"/>
  <c r="BP24" i="3"/>
  <c r="BQ24" i="3" s="1"/>
  <c r="BO23" i="3"/>
  <c r="BP25" i="2"/>
  <c r="BQ25" i="2" s="1"/>
  <c r="BO24" i="2"/>
  <c r="CS49" i="3"/>
  <c r="CT50" i="3"/>
  <c r="CU50" i="3" s="1"/>
  <c r="BP54" i="3"/>
  <c r="BQ54" i="3" s="1"/>
  <c r="BO53" i="3"/>
  <c r="CT71" i="3"/>
  <c r="CU71" i="3" s="1"/>
  <c r="BP46" i="3"/>
  <c r="BQ46" i="3" s="1"/>
  <c r="BO45" i="3"/>
  <c r="CS71" i="2"/>
  <c r="CT72" i="2"/>
  <c r="CU72" i="2" s="1"/>
  <c r="CT68" i="3"/>
  <c r="CU68" i="3" s="1"/>
  <c r="BP58" i="3"/>
  <c r="BQ58" i="3" s="1"/>
  <c r="BO57" i="3"/>
  <c r="CS19" i="2"/>
  <c r="CT20" i="2"/>
  <c r="CU20" i="2" s="1"/>
  <c r="BP13" i="3"/>
  <c r="BQ13" i="3" s="1"/>
  <c r="BO12" i="3"/>
  <c r="CA26" i="3"/>
  <c r="AX25" i="2"/>
  <c r="AY25" i="2" s="1"/>
  <c r="BV57" i="2"/>
  <c r="BW57" i="2" s="1"/>
  <c r="AX37" i="2"/>
  <c r="AY37" i="2" s="1"/>
  <c r="BD11" i="2"/>
  <c r="BE11" i="2" s="1"/>
  <c r="BC30" i="3"/>
  <c r="BC51" i="3"/>
  <c r="CS67" i="3"/>
  <c r="CN29" i="2"/>
  <c r="CO29" i="2" s="1"/>
  <c r="CA12" i="3"/>
  <c r="CG56" i="3"/>
  <c r="CN54" i="3"/>
  <c r="CO54" i="3" s="1"/>
  <c r="BP31" i="3"/>
  <c r="BQ31" i="3" s="1"/>
  <c r="CY43" i="3"/>
  <c r="CN42" i="2"/>
  <c r="CO42" i="2" s="1"/>
  <c r="BJ66" i="2"/>
  <c r="BK66" i="2" s="1"/>
  <c r="CY29" i="3"/>
  <c r="CH41" i="2"/>
  <c r="CI41" i="2" s="1"/>
  <c r="CG29" i="2"/>
  <c r="CZ14" i="3"/>
  <c r="DA14" i="3" s="1"/>
  <c r="BU12" i="3"/>
  <c r="BC39" i="3"/>
  <c r="BU63" i="2"/>
  <c r="BD30" i="3"/>
  <c r="BE30" i="3" s="1"/>
  <c r="AX17" i="2"/>
  <c r="AY17" i="2" s="1"/>
  <c r="CY52" i="3"/>
  <c r="BU56" i="3"/>
  <c r="CG8" i="3"/>
  <c r="CM55" i="3"/>
  <c r="CZ13" i="2"/>
  <c r="DA13" i="2" s="1"/>
  <c r="CY11" i="3"/>
  <c r="BI31" i="2"/>
  <c r="CZ51" i="3"/>
  <c r="DA51" i="3" s="1"/>
  <c r="CA20" i="3"/>
  <c r="CZ9" i="3"/>
  <c r="DA9" i="3" s="1"/>
  <c r="CS46" i="3"/>
  <c r="BC23" i="3"/>
  <c r="BJ64" i="3"/>
  <c r="BK64" i="3" s="1"/>
  <c r="BD41" i="3"/>
  <c r="BE41" i="3" s="1"/>
  <c r="BC45" i="3"/>
  <c r="BJ8" i="3"/>
  <c r="BK8" i="3" s="1"/>
  <c r="BD57" i="2"/>
  <c r="BE57" i="2" s="1"/>
  <c r="BU32" i="3"/>
  <c r="CN52" i="2"/>
  <c r="CO52" i="2" s="1"/>
  <c r="AX44" i="2"/>
  <c r="AY44" i="2" s="1"/>
  <c r="CS30" i="3"/>
  <c r="BC20" i="3"/>
  <c r="CM33" i="3"/>
  <c r="BC23" i="2"/>
  <c r="BD28" i="2"/>
  <c r="BE28" i="2" s="1"/>
  <c r="CS9" i="3"/>
  <c r="CM7" i="2"/>
  <c r="BV25" i="2"/>
  <c r="BW25" i="2" s="1"/>
  <c r="CH36" i="3"/>
  <c r="CI36" i="3" s="1"/>
  <c r="CN54" i="2"/>
  <c r="CO54" i="2" s="1"/>
  <c r="CB12" i="3"/>
  <c r="CC12" i="3" s="1"/>
  <c r="BD61" i="3"/>
  <c r="BE61" i="3" s="1"/>
  <c r="BU12" i="2"/>
  <c r="AX57" i="3"/>
  <c r="AY57" i="3" s="1"/>
  <c r="CM22" i="2"/>
  <c r="AX17" i="3"/>
  <c r="AY17" i="3" s="1"/>
  <c r="CH55" i="2"/>
  <c r="CI55" i="2" s="1"/>
  <c r="CA27" i="3"/>
  <c r="CY23" i="3"/>
  <c r="CZ68" i="3"/>
  <c r="DA68" i="3" s="1"/>
  <c r="BP17" i="3"/>
  <c r="BQ17" i="3" s="1"/>
  <c r="AX62" i="2"/>
  <c r="AY62" i="2" s="1"/>
  <c r="CZ52" i="3"/>
  <c r="DA52" i="3" s="1"/>
  <c r="CS70" i="3"/>
  <c r="BP55" i="3"/>
  <c r="BQ55" i="3" s="1"/>
  <c r="AX20" i="2"/>
  <c r="AY20" i="2" s="1"/>
  <c r="AX44" i="3"/>
  <c r="AY44" i="3" s="1"/>
  <c r="CY46" i="2"/>
  <c r="CM11" i="3"/>
  <c r="CG49" i="3"/>
  <c r="CA33" i="3"/>
  <c r="CA27" i="2"/>
  <c r="BU48" i="2"/>
  <c r="CA17" i="3"/>
  <c r="BU49" i="3"/>
  <c r="CN51" i="3"/>
  <c r="CO51" i="3" s="1"/>
  <c r="CG59" i="3"/>
  <c r="CM36" i="3"/>
  <c r="CN14" i="3"/>
  <c r="CO14" i="3" s="1"/>
  <c r="BD10" i="3"/>
  <c r="BE10" i="3" s="1"/>
  <c r="CM58" i="2"/>
  <c r="BC14" i="3"/>
  <c r="AX61" i="3"/>
  <c r="AY61" i="3" s="1"/>
  <c r="BP42" i="3"/>
  <c r="BQ42" i="3" s="1"/>
  <c r="CN33" i="2"/>
  <c r="CO33" i="2" s="1"/>
  <c r="CM11" i="2"/>
  <c r="BP61" i="3"/>
  <c r="BQ61" i="3" s="1"/>
  <c r="CS42" i="3"/>
  <c r="BD32" i="2"/>
  <c r="BE32" i="2" s="1"/>
  <c r="BC55" i="3"/>
  <c r="CM22" i="3"/>
  <c r="BU8" i="2"/>
  <c r="BJ42" i="3"/>
  <c r="BK42" i="3" s="1"/>
  <c r="BC57" i="2"/>
  <c r="CN36" i="2"/>
  <c r="CO36" i="2" s="1"/>
  <c r="BD13" i="2"/>
  <c r="BE13" i="2" s="1"/>
  <c r="CM23" i="2"/>
  <c r="CZ46" i="3"/>
  <c r="DA46" i="3" s="1"/>
  <c r="AW44" i="2"/>
  <c r="AX53" i="2"/>
  <c r="AY53" i="2" s="1"/>
  <c r="Y54" i="6"/>
  <c r="BC47" i="3"/>
  <c r="AX19" i="2"/>
  <c r="AY19" i="2" s="1"/>
  <c r="CM31" i="3"/>
  <c r="BD17" i="3"/>
  <c r="BE17" i="3" s="1"/>
  <c r="BJ43" i="3"/>
  <c r="BK43" i="3" s="1"/>
  <c r="CA15" i="3"/>
  <c r="BI64" i="3"/>
  <c r="AX35" i="2"/>
  <c r="AY35" i="2" s="1"/>
  <c r="CM10" i="2"/>
  <c r="CZ8" i="3"/>
  <c r="DA8" i="3" s="1"/>
  <c r="CU40" i="2"/>
  <c r="CS39" i="2"/>
  <c r="CZ25" i="2"/>
  <c r="DA25" i="2" s="1"/>
  <c r="CY24" i="2"/>
  <c r="BV22" i="2"/>
  <c r="BW22" i="2" s="1"/>
  <c r="BU21" i="2"/>
  <c r="BU51" i="2"/>
  <c r="BV52" i="2"/>
  <c r="BW52" i="2" s="1"/>
  <c r="BV54" i="2"/>
  <c r="BW54" i="2" s="1"/>
  <c r="BU53" i="2"/>
  <c r="CM49" i="2"/>
  <c r="CN50" i="2"/>
  <c r="CO50" i="2" s="1"/>
  <c r="CS33" i="2"/>
  <c r="CU34" i="2"/>
  <c r="CU32" i="2"/>
  <c r="CS31" i="2"/>
  <c r="BI53" i="2"/>
  <c r="BJ54" i="2"/>
  <c r="BK54" i="2" s="1"/>
  <c r="BJ47" i="2"/>
  <c r="BK47" i="2" s="1"/>
  <c r="BI46" i="2"/>
  <c r="CB18" i="2"/>
  <c r="CC18" i="2" s="1"/>
  <c r="CA17" i="2"/>
  <c r="BU58" i="2"/>
  <c r="BV59" i="2"/>
  <c r="BW59" i="2" s="1"/>
  <c r="BV27" i="3"/>
  <c r="BW27" i="3" s="1"/>
  <c r="BU26" i="3"/>
  <c r="AW25" i="3"/>
  <c r="AX26" i="3"/>
  <c r="AY26" i="3" s="1"/>
  <c r="BP32" i="2"/>
  <c r="BQ32" i="2" s="1"/>
  <c r="BV19" i="2"/>
  <c r="BW19" i="2" s="1"/>
  <c r="BU18" i="2"/>
  <c r="CG57" i="2"/>
  <c r="CH58" i="2"/>
  <c r="CI58" i="2" s="1"/>
  <c r="AW59" i="2"/>
  <c r="AX60" i="2"/>
  <c r="AY60" i="2" s="1"/>
  <c r="CU12" i="2"/>
  <c r="CS11" i="2"/>
  <c r="BV46" i="2"/>
  <c r="BW46" i="2" s="1"/>
  <c r="BU45" i="2"/>
  <c r="BV11" i="2"/>
  <c r="BW11" i="2" s="1"/>
  <c r="BU10" i="2"/>
  <c r="CG45" i="2"/>
  <c r="CH46" i="2"/>
  <c r="CI46" i="2" s="1"/>
  <c r="CG14" i="2"/>
  <c r="CH15" i="2"/>
  <c r="CI15" i="2" s="1"/>
  <c r="BI13" i="2"/>
  <c r="BJ14" i="2"/>
  <c r="BK14" i="2" s="1"/>
  <c r="BJ63" i="2"/>
  <c r="BK63" i="2" s="1"/>
  <c r="BI62" i="2"/>
  <c r="CU9" i="2"/>
  <c r="CS8" i="2"/>
  <c r="CS40" i="2"/>
  <c r="CU41" i="2"/>
  <c r="BI11" i="3"/>
  <c r="BJ12" i="3"/>
  <c r="BK12" i="3" s="1"/>
  <c r="CS37" i="3"/>
  <c r="CU38" i="3"/>
  <c r="CU29" i="3"/>
  <c r="CS28" i="3"/>
  <c r="BJ13" i="2"/>
  <c r="BK13" i="2" s="1"/>
  <c r="BI12" i="2"/>
  <c r="CU31" i="2"/>
  <c r="CS30" i="2"/>
  <c r="BJ11" i="2"/>
  <c r="BK11" i="2" s="1"/>
  <c r="BI10" i="2"/>
  <c r="AW39" i="3"/>
  <c r="AX40" i="3"/>
  <c r="AY40" i="3" s="1"/>
  <c r="BI31" i="3"/>
  <c r="BJ32" i="3"/>
  <c r="BK32" i="3" s="1"/>
  <c r="BP41" i="2"/>
  <c r="BQ41" i="2" s="1"/>
  <c r="BI18" i="2"/>
  <c r="BJ19" i="2"/>
  <c r="BK19" i="2" s="1"/>
  <c r="CA62" i="2"/>
  <c r="CB63" i="2"/>
  <c r="CC63" i="2" s="1"/>
  <c r="BJ64" i="2"/>
  <c r="BK64" i="2" s="1"/>
  <c r="BI63" i="2"/>
  <c r="CY29" i="2"/>
  <c r="CZ30" i="2"/>
  <c r="DA30" i="2" s="1"/>
  <c r="CU53" i="3"/>
  <c r="CS52" i="3"/>
  <c r="BP40" i="2"/>
  <c r="BQ40" i="2" s="1"/>
  <c r="CA23" i="2"/>
  <c r="CB24" i="2"/>
  <c r="CC24" i="2" s="1"/>
  <c r="BD66" i="3"/>
  <c r="BE66" i="3" s="1"/>
  <c r="BC65" i="3"/>
  <c r="BI39" i="2"/>
  <c r="BJ40" i="2"/>
  <c r="BK40" i="2" s="1"/>
  <c r="BJ55" i="2"/>
  <c r="BK55" i="2" s="1"/>
  <c r="BI54" i="2"/>
  <c r="CG15" i="2"/>
  <c r="CH16" i="2"/>
  <c r="CI16" i="2" s="1"/>
  <c r="CG10" i="3"/>
  <c r="CH11" i="3"/>
  <c r="CI11" i="3" s="1"/>
  <c r="BV11" i="3"/>
  <c r="BW11" i="3" s="1"/>
  <c r="BU10" i="3"/>
  <c r="CN58" i="3"/>
  <c r="CO58" i="3" s="1"/>
  <c r="CM57" i="3"/>
  <c r="BV31" i="3"/>
  <c r="BW31" i="3" s="1"/>
  <c r="BU30" i="3"/>
  <c r="BI15" i="2"/>
  <c r="BJ16" i="2"/>
  <c r="BK16" i="2" s="1"/>
  <c r="BJ48" i="2"/>
  <c r="BK48" i="2" s="1"/>
  <c r="BI47" i="2"/>
  <c r="CH32" i="3"/>
  <c r="CI32" i="3" s="1"/>
  <c r="CG31" i="3"/>
  <c r="AW13" i="3"/>
  <c r="AX14" i="3"/>
  <c r="AY14" i="3" s="1"/>
  <c r="BI49" i="2"/>
  <c r="BJ50" i="2"/>
  <c r="BK50" i="2" s="1"/>
  <c r="CB9" i="3"/>
  <c r="CC9" i="3" s="1"/>
  <c r="CA8" i="3"/>
  <c r="CZ29" i="2"/>
  <c r="DA29" i="2" s="1"/>
  <c r="CY28" i="2"/>
  <c r="CG11" i="3"/>
  <c r="CH12" i="3"/>
  <c r="CI12" i="3" s="1"/>
  <c r="CG20" i="3"/>
  <c r="CH21" i="3"/>
  <c r="CI21" i="3" s="1"/>
  <c r="BI23" i="2"/>
  <c r="BJ24" i="2"/>
  <c r="BK24" i="2" s="1"/>
  <c r="CZ18" i="3"/>
  <c r="DA18" i="3" s="1"/>
  <c r="CY17" i="3"/>
  <c r="AW47" i="3"/>
  <c r="AX48" i="3"/>
  <c r="AY48" i="3" s="1"/>
  <c r="BI26" i="2"/>
  <c r="BJ27" i="2"/>
  <c r="BK27" i="2" s="1"/>
  <c r="CU39" i="2"/>
  <c r="CS38" i="2"/>
  <c r="AW12" i="3"/>
  <c r="AX13" i="3"/>
  <c r="AY13" i="3" s="1"/>
  <c r="BP39" i="2"/>
  <c r="BQ39" i="2" s="1"/>
  <c r="CU14" i="3"/>
  <c r="CS13" i="3"/>
  <c r="CA54" i="2"/>
  <c r="CB55" i="2"/>
  <c r="CC55" i="2" s="1"/>
  <c r="CS27" i="3"/>
  <c r="CU28" i="3"/>
  <c r="CA12" i="2"/>
  <c r="CB13" i="2"/>
  <c r="CC13" i="2" s="1"/>
  <c r="CA33" i="2"/>
  <c r="CB34" i="2"/>
  <c r="CC34" i="2" s="1"/>
  <c r="CY8" i="2"/>
  <c r="CZ9" i="2"/>
  <c r="DA9" i="2" s="1"/>
  <c r="CB64" i="2"/>
  <c r="CC64" i="2" s="1"/>
  <c r="CA63" i="2"/>
  <c r="CY21" i="2"/>
  <c r="CZ22" i="2"/>
  <c r="DA22" i="2" s="1"/>
  <c r="CS45" i="2"/>
  <c r="CU46" i="2"/>
  <c r="BP67" i="2"/>
  <c r="BQ67" i="2" s="1"/>
  <c r="CA22" i="2"/>
  <c r="CB23" i="2"/>
  <c r="CC23" i="2" s="1"/>
  <c r="BD8" i="3"/>
  <c r="BC7" i="3"/>
  <c r="BB75" i="3"/>
  <c r="BI52" i="2"/>
  <c r="BJ53" i="2"/>
  <c r="BK53" i="2" s="1"/>
  <c r="BI56" i="2"/>
  <c r="BJ57" i="2"/>
  <c r="BK57" i="2" s="1"/>
  <c r="CM44" i="2"/>
  <c r="CN45" i="2"/>
  <c r="CO45" i="2" s="1"/>
  <c r="CY65" i="2"/>
  <c r="CZ66" i="2"/>
  <c r="DA66" i="2" s="1"/>
  <c r="BV55" i="3"/>
  <c r="BW55" i="3" s="1"/>
  <c r="BU54" i="3"/>
  <c r="BP27" i="3"/>
  <c r="BQ27" i="3" s="1"/>
  <c r="CM28" i="3"/>
  <c r="CN29" i="3"/>
  <c r="CO29" i="3" s="1"/>
  <c r="BV27" i="2"/>
  <c r="BW27" i="2" s="1"/>
  <c r="BU26" i="2"/>
  <c r="CR75" i="2"/>
  <c r="CR76" i="2" s="1"/>
  <c r="CS7" i="2"/>
  <c r="CB22" i="3"/>
  <c r="CC22" i="3" s="1"/>
  <c r="CA21" i="3"/>
  <c r="CB43" i="2"/>
  <c r="CC43" i="2" s="1"/>
  <c r="CA42" i="2"/>
  <c r="BV47" i="2"/>
  <c r="BW47" i="2" s="1"/>
  <c r="BU46" i="2"/>
  <c r="CY66" i="3"/>
  <c r="CZ67" i="3"/>
  <c r="DA67" i="3" s="1"/>
  <c r="CM8" i="3"/>
  <c r="CN9" i="3"/>
  <c r="CO9" i="3" s="1"/>
  <c r="CA54" i="3"/>
  <c r="CB55" i="3"/>
  <c r="CC55" i="3" s="1"/>
  <c r="BD18" i="2"/>
  <c r="BE18" i="2" s="1"/>
  <c r="BC17" i="2"/>
  <c r="BP30" i="2"/>
  <c r="BQ30" i="2" s="1"/>
  <c r="BD68" i="2"/>
  <c r="BE68" i="2" s="1"/>
  <c r="BC67" i="2"/>
  <c r="CS44" i="3"/>
  <c r="CU45" i="3"/>
  <c r="CM72" i="3"/>
  <c r="CN73" i="3"/>
  <c r="CO73" i="3" s="1"/>
  <c r="BJ10" i="2"/>
  <c r="BK10" i="2" s="1"/>
  <c r="BI9" i="2"/>
  <c r="AW26" i="2"/>
  <c r="AX27" i="2"/>
  <c r="AY27" i="2" s="1"/>
  <c r="CZ74" i="3"/>
  <c r="DA74" i="3" s="1"/>
  <c r="CY73" i="3"/>
  <c r="BC35" i="3"/>
  <c r="BD36" i="3"/>
  <c r="BE36" i="3" s="1"/>
  <c r="CZ54" i="3"/>
  <c r="DA54" i="3" s="1"/>
  <c r="CY53" i="3"/>
  <c r="CS56" i="2"/>
  <c r="CU57" i="2"/>
  <c r="BP47" i="3"/>
  <c r="BQ47" i="3" s="1"/>
  <c r="CM33" i="2"/>
  <c r="CN34" i="2"/>
  <c r="CO34" i="2" s="1"/>
  <c r="CM26" i="2"/>
  <c r="CN27" i="2"/>
  <c r="CO27" i="2" s="1"/>
  <c r="CS57" i="2"/>
  <c r="CU58" i="2"/>
  <c r="CA56" i="2"/>
  <c r="CB57" i="2"/>
  <c r="CC57" i="2" s="1"/>
  <c r="CM31" i="2"/>
  <c r="CN32" i="2"/>
  <c r="CO32" i="2" s="1"/>
  <c r="BV23" i="3"/>
  <c r="BW23" i="3" s="1"/>
  <c r="BU22" i="3"/>
  <c r="AW31" i="3"/>
  <c r="AX32" i="3"/>
  <c r="AY32" i="3" s="1"/>
  <c r="CN38" i="3"/>
  <c r="CO38" i="3" s="1"/>
  <c r="CM37" i="3"/>
  <c r="CN64" i="3"/>
  <c r="CO64" i="3" s="1"/>
  <c r="CM63" i="3"/>
  <c r="CY19" i="3"/>
  <c r="CZ20" i="3"/>
  <c r="DA20" i="3" s="1"/>
  <c r="CZ33" i="3"/>
  <c r="DA33" i="3" s="1"/>
  <c r="CY32" i="3"/>
  <c r="AW36" i="3"/>
  <c r="AX37" i="3"/>
  <c r="AY37" i="3" s="1"/>
  <c r="BP62" i="3"/>
  <c r="BQ62" i="3" s="1"/>
  <c r="BP43" i="2"/>
  <c r="BQ43" i="2" s="1"/>
  <c r="CM59" i="2"/>
  <c r="CN60" i="2"/>
  <c r="CO60" i="2" s="1"/>
  <c r="BP71" i="2"/>
  <c r="BQ71" i="2" s="1"/>
  <c r="CZ39" i="2"/>
  <c r="DA39" i="2" s="1"/>
  <c r="CY38" i="2"/>
  <c r="BP14" i="2"/>
  <c r="BQ14" i="2" s="1"/>
  <c r="CU55" i="2"/>
  <c r="CS54" i="2"/>
  <c r="BI35" i="2"/>
  <c r="BJ36" i="2"/>
  <c r="BK36" i="2" s="1"/>
  <c r="CG51" i="2"/>
  <c r="CH52" i="2"/>
  <c r="CI52" i="2" s="1"/>
  <c r="AW20" i="2"/>
  <c r="AX21" i="2"/>
  <c r="AY21" i="2" s="1"/>
  <c r="AW62" i="2"/>
  <c r="AX63" i="2"/>
  <c r="AY63" i="2" s="1"/>
  <c r="BV10" i="2"/>
  <c r="BW10" i="2" s="1"/>
  <c r="BU9" i="2"/>
  <c r="BJ31" i="3"/>
  <c r="BK31" i="3" s="1"/>
  <c r="BI30" i="3"/>
  <c r="BP35" i="3"/>
  <c r="BQ35" i="3" s="1"/>
  <c r="BV36" i="3"/>
  <c r="BW36" i="3" s="1"/>
  <c r="BU35" i="3"/>
  <c r="BP40" i="3"/>
  <c r="BQ40" i="3" s="1"/>
  <c r="BC73" i="3"/>
  <c r="BD74" i="3"/>
  <c r="BE74" i="3" s="1"/>
  <c r="CZ21" i="3"/>
  <c r="DA21" i="3" s="1"/>
  <c r="CY20" i="3"/>
  <c r="BV46" i="3"/>
  <c r="BW46" i="3" s="1"/>
  <c r="BU45" i="3"/>
  <c r="CU63" i="3"/>
  <c r="CS62" i="3"/>
  <c r="CM70" i="3"/>
  <c r="CN71" i="3"/>
  <c r="CO71" i="3" s="1"/>
  <c r="BV10" i="3"/>
  <c r="BW10" i="3" s="1"/>
  <c r="BU9" i="3"/>
  <c r="CU24" i="2"/>
  <c r="CS23" i="2"/>
  <c r="BP22" i="3"/>
  <c r="BQ22" i="3" s="1"/>
  <c r="CU23" i="2"/>
  <c r="CS22" i="2"/>
  <c r="CA40" i="2"/>
  <c r="CB41" i="2"/>
  <c r="CC41" i="2" s="1"/>
  <c r="BP17" i="2"/>
  <c r="BQ17" i="2" s="1"/>
  <c r="CN16" i="2"/>
  <c r="CO16" i="2" s="1"/>
  <c r="CM15" i="2"/>
  <c r="CH37" i="2"/>
  <c r="CI37" i="2" s="1"/>
  <c r="CG36" i="2"/>
  <c r="CU42" i="2"/>
  <c r="CS41" i="2"/>
  <c r="BP13" i="2"/>
  <c r="BQ13" i="2" s="1"/>
  <c r="BC63" i="2"/>
  <c r="BD64" i="2"/>
  <c r="BE64" i="2" s="1"/>
  <c r="AW69" i="2"/>
  <c r="AX70" i="2"/>
  <c r="AY70" i="2" s="1"/>
  <c r="BI12" i="3"/>
  <c r="BJ13" i="3"/>
  <c r="BK13" i="3" s="1"/>
  <c r="CA42" i="3"/>
  <c r="CB43" i="3"/>
  <c r="CC43" i="3" s="1"/>
  <c r="AW21" i="3"/>
  <c r="AX22" i="3"/>
  <c r="AY22" i="3" s="1"/>
  <c r="CU39" i="3"/>
  <c r="CS38" i="3"/>
  <c r="CU60" i="3"/>
  <c r="CS59" i="3"/>
  <c r="BP33" i="3"/>
  <c r="BQ33" i="3" s="1"/>
  <c r="CA19" i="3"/>
  <c r="CB20" i="3"/>
  <c r="CC20" i="3" s="1"/>
  <c r="BP28" i="3"/>
  <c r="BQ28" i="3" s="1"/>
  <c r="CM61" i="2"/>
  <c r="CN62" i="2"/>
  <c r="CO62" i="2" s="1"/>
  <c r="CB67" i="2"/>
  <c r="CC67" i="2" s="1"/>
  <c r="CA66" i="2"/>
  <c r="CS32" i="3"/>
  <c r="CU33" i="3"/>
  <c r="BV54" i="3"/>
  <c r="BW54" i="3" s="1"/>
  <c r="BU53" i="3"/>
  <c r="BV59" i="3"/>
  <c r="BW59" i="3" s="1"/>
  <c r="BU58" i="3"/>
  <c r="CY15" i="3"/>
  <c r="CZ16" i="3"/>
  <c r="DA16" i="3" s="1"/>
  <c r="CZ27" i="2"/>
  <c r="DA27" i="2" s="1"/>
  <c r="CY26" i="2"/>
  <c r="CG34" i="2"/>
  <c r="CH35" i="2"/>
  <c r="CI35" i="2" s="1"/>
  <c r="BD59" i="2"/>
  <c r="BE59" i="2" s="1"/>
  <c r="BC58" i="2"/>
  <c r="CH16" i="3"/>
  <c r="CI16" i="3" s="1"/>
  <c r="CG15" i="3"/>
  <c r="BJ51" i="3"/>
  <c r="BK51" i="3" s="1"/>
  <c r="BI50" i="3"/>
  <c r="BV65" i="3"/>
  <c r="BW65" i="3" s="1"/>
  <c r="BU64" i="3"/>
  <c r="CZ68" i="2"/>
  <c r="DA68" i="2" s="1"/>
  <c r="CY67" i="2"/>
  <c r="AW70" i="2"/>
  <c r="AX71" i="2"/>
  <c r="AY71" i="2" s="1"/>
  <c r="AX15" i="3"/>
  <c r="AY15" i="3" s="1"/>
  <c r="AW14" i="3"/>
  <c r="AW52" i="3"/>
  <c r="AX53" i="3"/>
  <c r="AY53" i="3" s="1"/>
  <c r="CA22" i="3"/>
  <c r="CB23" i="3"/>
  <c r="CC23" i="3" s="1"/>
  <c r="CB14" i="2"/>
  <c r="CC14" i="2" s="1"/>
  <c r="CA13" i="2"/>
  <c r="CB42" i="2"/>
  <c r="CC42" i="2" s="1"/>
  <c r="CA41" i="2"/>
  <c r="AW72" i="2"/>
  <c r="AX73" i="2"/>
  <c r="AY73" i="2" s="1"/>
  <c r="CM25" i="2"/>
  <c r="CN26" i="2"/>
  <c r="CO26" i="2" s="1"/>
  <c r="BV17" i="2"/>
  <c r="BW17" i="2" s="1"/>
  <c r="BU16" i="2"/>
  <c r="BV34" i="2"/>
  <c r="BW34" i="2" s="1"/>
  <c r="BU33" i="2"/>
  <c r="CN51" i="2"/>
  <c r="CO51" i="2" s="1"/>
  <c r="CM50" i="2"/>
  <c r="CN63" i="2"/>
  <c r="CO63" i="2" s="1"/>
  <c r="CM62" i="2"/>
  <c r="BP34" i="2"/>
  <c r="BQ34" i="2" s="1"/>
  <c r="AW40" i="3"/>
  <c r="AX41" i="3"/>
  <c r="AY41" i="3" s="1"/>
  <c r="BI32" i="3"/>
  <c r="BJ33" i="3"/>
  <c r="BK33" i="3" s="1"/>
  <c r="BP26" i="3"/>
  <c r="BQ26" i="3" s="1"/>
  <c r="AW19" i="3"/>
  <c r="AX20" i="3"/>
  <c r="AY20" i="3" s="1"/>
  <c r="BV49" i="3"/>
  <c r="BW49" i="3" s="1"/>
  <c r="BU48" i="3"/>
  <c r="CY69" i="3"/>
  <c r="CZ70" i="3"/>
  <c r="DA70" i="3" s="1"/>
  <c r="BC53" i="3"/>
  <c r="BD54" i="3"/>
  <c r="BE54" i="3" s="1"/>
  <c r="BI44" i="3"/>
  <c r="BJ45" i="3"/>
  <c r="BK45" i="3" s="1"/>
  <c r="CA71" i="3"/>
  <c r="CB72" i="3"/>
  <c r="CC72" i="3" s="1"/>
  <c r="CZ19" i="3"/>
  <c r="DA19" i="3" s="1"/>
  <c r="CY18" i="3"/>
  <c r="CH38" i="3"/>
  <c r="CI38" i="3" s="1"/>
  <c r="CG37" i="3"/>
  <c r="CU28" i="2"/>
  <c r="CS27" i="2"/>
  <c r="CU44" i="2"/>
  <c r="CS43" i="2"/>
  <c r="BP53" i="2"/>
  <c r="BQ53" i="2" s="1"/>
  <c r="CZ57" i="3"/>
  <c r="DA57" i="3" s="1"/>
  <c r="CY56" i="3"/>
  <c r="BP71" i="3"/>
  <c r="BQ71" i="3" s="1"/>
  <c r="CS55" i="3"/>
  <c r="CU56" i="3"/>
  <c r="BC49" i="2"/>
  <c r="BD50" i="2"/>
  <c r="BE50" i="2" s="1"/>
  <c r="CS59" i="2"/>
  <c r="CU60" i="2"/>
  <c r="CM46" i="2"/>
  <c r="CN47" i="2"/>
  <c r="CO47" i="2" s="1"/>
  <c r="BV36" i="2"/>
  <c r="BW36" i="2" s="1"/>
  <c r="BU35" i="2"/>
  <c r="AW29" i="2"/>
  <c r="AX30" i="2"/>
  <c r="AY30" i="2" s="1"/>
  <c r="CH67" i="2"/>
  <c r="CI67" i="2" s="1"/>
  <c r="CG66" i="2"/>
  <c r="BV70" i="2"/>
  <c r="BW70" i="2" s="1"/>
  <c r="BU69" i="2"/>
  <c r="AW45" i="2"/>
  <c r="AX46" i="2"/>
  <c r="AY46" i="2" s="1"/>
  <c r="CU44" i="3"/>
  <c r="CS43" i="3"/>
  <c r="CN28" i="3"/>
  <c r="CO28" i="3" s="1"/>
  <c r="CM27" i="3"/>
  <c r="BP70" i="2"/>
  <c r="BQ70" i="2" s="1"/>
  <c r="CG28" i="2"/>
  <c r="CH29" i="2"/>
  <c r="CI29" i="2" s="1"/>
  <c r="BV48" i="2"/>
  <c r="BW48" i="2" s="1"/>
  <c r="BU47" i="2"/>
  <c r="CG30" i="2"/>
  <c r="CH31" i="2"/>
  <c r="CI31" i="2" s="1"/>
  <c r="CH64" i="2"/>
  <c r="CI64" i="2" s="1"/>
  <c r="CG63" i="2"/>
  <c r="CB35" i="2"/>
  <c r="CC35" i="2" s="1"/>
  <c r="CA34" i="2"/>
  <c r="AW48" i="2"/>
  <c r="AX49" i="2"/>
  <c r="AY49" i="2" s="1"/>
  <c r="BI45" i="2"/>
  <c r="BJ46" i="2"/>
  <c r="BK46" i="2" s="1"/>
  <c r="BP12" i="2"/>
  <c r="BQ12" i="2" s="1"/>
  <c r="AW7" i="2"/>
  <c r="AX8" i="2"/>
  <c r="AY8" i="2" s="1"/>
  <c r="AW25" i="2"/>
  <c r="AX26" i="2"/>
  <c r="AY26" i="2" s="1"/>
  <c r="BJ59" i="2"/>
  <c r="BK59" i="2" s="1"/>
  <c r="BI58" i="2"/>
  <c r="CG28" i="3"/>
  <c r="CH29" i="3"/>
  <c r="CI29" i="3" s="1"/>
  <c r="BP73" i="3"/>
  <c r="BQ73" i="3" s="1"/>
  <c r="BV24" i="3"/>
  <c r="BW24" i="3" s="1"/>
  <c r="BU23" i="3"/>
  <c r="CH65" i="3"/>
  <c r="CI65" i="3" s="1"/>
  <c r="CG64" i="3"/>
  <c r="CG47" i="3"/>
  <c r="CH48" i="3"/>
  <c r="CI48" i="3" s="1"/>
  <c r="BD37" i="3"/>
  <c r="BE37" i="3" s="1"/>
  <c r="BC36" i="3"/>
  <c r="AW62" i="3"/>
  <c r="AX63" i="3"/>
  <c r="AY63" i="3" s="1"/>
  <c r="BV32" i="3"/>
  <c r="BW32" i="3" s="1"/>
  <c r="BU31" i="3"/>
  <c r="CB35" i="3"/>
  <c r="CC35" i="3" s="1"/>
  <c r="CA34" i="3"/>
  <c r="BI15" i="3"/>
  <c r="BJ16" i="3"/>
  <c r="BK16" i="3" s="1"/>
  <c r="BC49" i="3"/>
  <c r="BD50" i="3"/>
  <c r="BE50" i="3" s="1"/>
  <c r="CM29" i="2"/>
  <c r="CN30" i="2"/>
  <c r="CO30" i="2" s="1"/>
  <c r="CS67" i="2"/>
  <c r="CU68" i="2"/>
  <c r="CH47" i="2"/>
  <c r="CI47" i="2" s="1"/>
  <c r="CG46" i="2"/>
  <c r="CG17" i="2"/>
  <c r="CH18" i="2"/>
  <c r="CI18" i="2" s="1"/>
  <c r="BC67" i="3"/>
  <c r="BD68" i="3"/>
  <c r="BE68" i="3" s="1"/>
  <c r="BP58" i="2"/>
  <c r="BQ58" i="2" s="1"/>
  <c r="BD55" i="2"/>
  <c r="BE55" i="2" s="1"/>
  <c r="BC54" i="2"/>
  <c r="CG24" i="3"/>
  <c r="CH25" i="3"/>
  <c r="CI25" i="3" s="1"/>
  <c r="BV52" i="3"/>
  <c r="BW52" i="3" s="1"/>
  <c r="BU51" i="3"/>
  <c r="BD63" i="3"/>
  <c r="BE63" i="3" s="1"/>
  <c r="BC62" i="3"/>
  <c r="CH56" i="2"/>
  <c r="CI56" i="2" s="1"/>
  <c r="CG55" i="2"/>
  <c r="BJ68" i="2"/>
  <c r="BK68" i="2" s="1"/>
  <c r="BI67" i="2"/>
  <c r="AW71" i="2"/>
  <c r="AX72" i="2"/>
  <c r="AY72" i="2" s="1"/>
  <c r="BI49" i="3"/>
  <c r="BJ50" i="3"/>
  <c r="BK50" i="3" s="1"/>
  <c r="AX25" i="3"/>
  <c r="AY25" i="3" s="1"/>
  <c r="AW24" i="3"/>
  <c r="CM73" i="2"/>
  <c r="CN74" i="2"/>
  <c r="CO74" i="2" s="1"/>
  <c r="CS15" i="2"/>
  <c r="CU16" i="2"/>
  <c r="BJ9" i="2"/>
  <c r="BK9" i="2" s="1"/>
  <c r="BI8" i="2"/>
  <c r="CU65" i="2"/>
  <c r="CS64" i="2"/>
  <c r="BV8" i="2"/>
  <c r="BW8" i="2" s="1"/>
  <c r="BU7" i="2"/>
  <c r="BC60" i="2"/>
  <c r="BD61" i="2"/>
  <c r="BE61" i="2" s="1"/>
  <c r="BJ61" i="2"/>
  <c r="BK61" i="2" s="1"/>
  <c r="BI60" i="2"/>
  <c r="BC65" i="2"/>
  <c r="BD66" i="2"/>
  <c r="BE66" i="2" s="1"/>
  <c r="BD55" i="3"/>
  <c r="BE55" i="3" s="1"/>
  <c r="BC54" i="3"/>
  <c r="CS18" i="3"/>
  <c r="CU19" i="3"/>
  <c r="CA68" i="3"/>
  <c r="CB69" i="3"/>
  <c r="CC69" i="3" s="1"/>
  <c r="AW30" i="3"/>
  <c r="AX31" i="3"/>
  <c r="AY31" i="3" s="1"/>
  <c r="BI60" i="3"/>
  <c r="BJ61" i="3"/>
  <c r="BK61" i="3" s="1"/>
  <c r="BV63" i="3"/>
  <c r="BW63" i="3" s="1"/>
  <c r="BU62" i="3"/>
  <c r="BI69" i="3"/>
  <c r="BJ70" i="3"/>
  <c r="BK70" i="3" s="1"/>
  <c r="BI20" i="3"/>
  <c r="BJ21" i="3"/>
  <c r="BK21" i="3" s="1"/>
  <c r="CN31" i="3"/>
  <c r="CO31" i="3" s="1"/>
  <c r="CM30" i="3"/>
  <c r="AW35" i="3"/>
  <c r="AX36" i="3"/>
  <c r="AY36" i="3" s="1"/>
  <c r="BC46" i="3"/>
  <c r="BD47" i="3"/>
  <c r="BE47" i="3" s="1"/>
  <c r="CZ37" i="2"/>
  <c r="DA37" i="2" s="1"/>
  <c r="CY36" i="2"/>
  <c r="CN61" i="2"/>
  <c r="CO61" i="2" s="1"/>
  <c r="CM60" i="2"/>
  <c r="CY37" i="2"/>
  <c r="CZ38" i="2"/>
  <c r="DA38" i="2" s="1"/>
  <c r="BP15" i="2"/>
  <c r="BQ15" i="2" s="1"/>
  <c r="CU54" i="2"/>
  <c r="CS53" i="2"/>
  <c r="BI36" i="2"/>
  <c r="BJ37" i="2"/>
  <c r="BK37" i="2" s="1"/>
  <c r="AW54" i="2"/>
  <c r="AX55" i="2"/>
  <c r="AY55" i="2" s="1"/>
  <c r="AW21" i="2"/>
  <c r="AX22" i="2"/>
  <c r="AY22" i="2" s="1"/>
  <c r="BP36" i="3"/>
  <c r="BQ36" i="3" s="1"/>
  <c r="BP39" i="3"/>
  <c r="BQ39" i="3" s="1"/>
  <c r="AW71" i="3"/>
  <c r="AX72" i="3"/>
  <c r="AY72" i="3" s="1"/>
  <c r="CY21" i="3"/>
  <c r="CZ22" i="3"/>
  <c r="DA22" i="3" s="1"/>
  <c r="BV47" i="3"/>
  <c r="BW47" i="3" s="1"/>
  <c r="BU46" i="3"/>
  <c r="BV30" i="3"/>
  <c r="BW30" i="3" s="1"/>
  <c r="BU29" i="3"/>
  <c r="BV58" i="3"/>
  <c r="BW58" i="3" s="1"/>
  <c r="BU57" i="3"/>
  <c r="BV8" i="3"/>
  <c r="BT75" i="3"/>
  <c r="BT76" i="3" s="1"/>
  <c r="BU7" i="3"/>
  <c r="CN50" i="3"/>
  <c r="CO50" i="3" s="1"/>
  <c r="CM49" i="3"/>
  <c r="CU52" i="3"/>
  <c r="CS51" i="3"/>
  <c r="CA50" i="2"/>
  <c r="CB51" i="2"/>
  <c r="CC51" i="2" s="1"/>
  <c r="CS37" i="2"/>
  <c r="CU38" i="2"/>
  <c r="BP10" i="3"/>
  <c r="BQ10" i="3" s="1"/>
  <c r="CH31" i="3"/>
  <c r="CI31" i="3" s="1"/>
  <c r="CG30" i="3"/>
  <c r="BJ10" i="3"/>
  <c r="BK10" i="3" s="1"/>
  <c r="BI9" i="3"/>
  <c r="CB40" i="2"/>
  <c r="CC40" i="2" s="1"/>
  <c r="CA39" i="2"/>
  <c r="CU74" i="2"/>
  <c r="CS73" i="2"/>
  <c r="CH36" i="2"/>
  <c r="CI36" i="2" s="1"/>
  <c r="CG35" i="2"/>
  <c r="CY32" i="2"/>
  <c r="CZ33" i="2"/>
  <c r="DA33" i="2" s="1"/>
  <c r="BD63" i="2"/>
  <c r="BE63" i="2" s="1"/>
  <c r="BC62" i="2"/>
  <c r="BP65" i="2"/>
  <c r="BQ65" i="2" s="1"/>
  <c r="CA41" i="3"/>
  <c r="CB42" i="3"/>
  <c r="CC42" i="3" s="1"/>
  <c r="AW20" i="3"/>
  <c r="AX21" i="3"/>
  <c r="AY21" i="3" s="1"/>
  <c r="CB25" i="3"/>
  <c r="CC25" i="3" s="1"/>
  <c r="CA24" i="3"/>
  <c r="CB37" i="3"/>
  <c r="CC37" i="3" s="1"/>
  <c r="CA36" i="3"/>
  <c r="CS21" i="3"/>
  <c r="CU22" i="3"/>
  <c r="CN45" i="3"/>
  <c r="CO45" i="3" s="1"/>
  <c r="CM44" i="3"/>
  <c r="BV48" i="3"/>
  <c r="BW48" i="3" s="1"/>
  <c r="BU47" i="3"/>
  <c r="CN62" i="3"/>
  <c r="CO62" i="3" s="1"/>
  <c r="CM61" i="3"/>
  <c r="CN9" i="2"/>
  <c r="CO9" i="2" s="1"/>
  <c r="CM8" i="2"/>
  <c r="CZ23" i="2"/>
  <c r="DA23" i="2" s="1"/>
  <c r="CY22" i="2"/>
  <c r="BV40" i="2"/>
  <c r="BW40" i="2" s="1"/>
  <c r="BU39" i="2"/>
  <c r="BC15" i="2"/>
  <c r="BD16" i="2"/>
  <c r="BE16" i="2" s="1"/>
  <c r="AW26" i="3"/>
  <c r="AX27" i="3"/>
  <c r="AY27" i="3" s="1"/>
  <c r="CS33" i="3"/>
  <c r="CU34" i="3"/>
  <c r="CU23" i="3"/>
  <c r="CS22" i="3"/>
  <c r="CN20" i="3"/>
  <c r="CO20" i="3" s="1"/>
  <c r="CM19" i="3"/>
  <c r="CY14" i="3"/>
  <c r="CZ15" i="3"/>
  <c r="DA15" i="3" s="1"/>
  <c r="BP33" i="2"/>
  <c r="BQ33" i="2" s="1"/>
  <c r="CG33" i="2"/>
  <c r="CH34" i="2"/>
  <c r="CI34" i="2" s="1"/>
  <c r="AW53" i="2"/>
  <c r="AX54" i="2"/>
  <c r="AY54" i="2" s="1"/>
  <c r="CN65" i="2"/>
  <c r="CO65" i="2" s="1"/>
  <c r="CM64" i="2"/>
  <c r="CG14" i="3"/>
  <c r="CH15" i="3"/>
  <c r="CI15" i="3" s="1"/>
  <c r="BI51" i="3"/>
  <c r="BJ52" i="3"/>
  <c r="BK52" i="3" s="1"/>
  <c r="BV66" i="3"/>
  <c r="BW66" i="3" s="1"/>
  <c r="BU65" i="3"/>
  <c r="BV61" i="2"/>
  <c r="BW61" i="2" s="1"/>
  <c r="BU60" i="2"/>
  <c r="CH59" i="2"/>
  <c r="CI59" i="2" s="1"/>
  <c r="CG58" i="2"/>
  <c r="CB37" i="2"/>
  <c r="CC37" i="2" s="1"/>
  <c r="CA36" i="2"/>
  <c r="BP50" i="2"/>
  <c r="BQ50" i="2" s="1"/>
  <c r="BV50" i="2"/>
  <c r="BW50" i="2" s="1"/>
  <c r="BU49" i="2"/>
  <c r="CS13" i="2"/>
  <c r="CU14" i="2"/>
  <c r="CN39" i="2"/>
  <c r="CO39" i="2" s="1"/>
  <c r="CM38" i="2"/>
  <c r="CB71" i="2"/>
  <c r="CC71" i="2" s="1"/>
  <c r="CA70" i="2"/>
  <c r="AW42" i="2"/>
  <c r="AX43" i="2"/>
  <c r="AY43" i="2" s="1"/>
  <c r="AW41" i="2"/>
  <c r="AX42" i="2"/>
  <c r="AY42" i="2" s="1"/>
  <c r="AW50" i="2"/>
  <c r="AX51" i="2"/>
  <c r="AY51" i="2" s="1"/>
  <c r="BC47" i="2"/>
  <c r="BD48" i="2"/>
  <c r="BE48" i="2" s="1"/>
  <c r="CY47" i="3"/>
  <c r="CZ48" i="3"/>
  <c r="DA48" i="3" s="1"/>
  <c r="AW18" i="3"/>
  <c r="AX19" i="3"/>
  <c r="AY19" i="3" s="1"/>
  <c r="CZ71" i="3"/>
  <c r="DA71" i="3" s="1"/>
  <c r="CY70" i="3"/>
  <c r="CU62" i="3"/>
  <c r="CS61" i="3"/>
  <c r="BD53" i="3"/>
  <c r="BE53" i="3" s="1"/>
  <c r="BC52" i="3"/>
  <c r="CG60" i="3"/>
  <c r="CH61" i="3"/>
  <c r="CI61" i="3" s="1"/>
  <c r="BP60" i="3"/>
  <c r="BQ60" i="3" s="1"/>
  <c r="BD39" i="3"/>
  <c r="BE39" i="3" s="1"/>
  <c r="BC38" i="3"/>
  <c r="CG36" i="3"/>
  <c r="CH37" i="3"/>
  <c r="CI37" i="3" s="1"/>
  <c r="CN68" i="2"/>
  <c r="CO68" i="2" s="1"/>
  <c r="CM67" i="2"/>
  <c r="CS28" i="2"/>
  <c r="CU29" i="2"/>
  <c r="CU43" i="2"/>
  <c r="CS42" i="2"/>
  <c r="BP52" i="2"/>
  <c r="BQ52" i="2" s="1"/>
  <c r="CZ56" i="3"/>
  <c r="DA56" i="3" s="1"/>
  <c r="CY55" i="3"/>
  <c r="BV73" i="3"/>
  <c r="BW73" i="3" s="1"/>
  <c r="BU72" i="3"/>
  <c r="BV45" i="3"/>
  <c r="BW45" i="3" s="1"/>
  <c r="BU44" i="3"/>
  <c r="BD49" i="2"/>
  <c r="BE49" i="2" s="1"/>
  <c r="BC48" i="2"/>
  <c r="BI29" i="2"/>
  <c r="BJ30" i="2"/>
  <c r="BK30" i="2" s="1"/>
  <c r="AW30" i="2"/>
  <c r="AX31" i="2"/>
  <c r="AY31" i="2" s="1"/>
  <c r="BV28" i="2"/>
  <c r="BW28" i="2" s="1"/>
  <c r="BU27" i="2"/>
  <c r="CA15" i="2"/>
  <c r="CB16" i="2"/>
  <c r="CC16" i="2" s="1"/>
  <c r="BP44" i="3"/>
  <c r="BQ44" i="3" s="1"/>
  <c r="CB48" i="2"/>
  <c r="CC48" i="2" s="1"/>
  <c r="CA47" i="2"/>
  <c r="CN20" i="2"/>
  <c r="CO20" i="2" s="1"/>
  <c r="CM19" i="2"/>
  <c r="CG39" i="2"/>
  <c r="CH40" i="2"/>
  <c r="CI40" i="2" s="1"/>
  <c r="CH28" i="2"/>
  <c r="CI28" i="2" s="1"/>
  <c r="CG27" i="2"/>
  <c r="CB59" i="2"/>
  <c r="CC59" i="2" s="1"/>
  <c r="CA58" i="2"/>
  <c r="BC34" i="2"/>
  <c r="BD35" i="2"/>
  <c r="BE35" i="2" s="1"/>
  <c r="BI57" i="2"/>
  <c r="BJ58" i="2"/>
  <c r="BK58" i="2" s="1"/>
  <c r="BI18" i="3"/>
  <c r="BJ19" i="3"/>
  <c r="BK19" i="3" s="1"/>
  <c r="BP52" i="3"/>
  <c r="BQ52" i="3" s="1"/>
  <c r="BC50" i="3"/>
  <c r="BD51" i="3"/>
  <c r="BE51" i="3" s="1"/>
  <c r="BV71" i="3"/>
  <c r="BW71" i="3" s="1"/>
  <c r="BU70" i="3"/>
  <c r="CU41" i="3"/>
  <c r="CS40" i="3"/>
  <c r="BP11" i="3"/>
  <c r="BQ11" i="3" s="1"/>
  <c r="BD27" i="3"/>
  <c r="BE27" i="3" s="1"/>
  <c r="BC26" i="3"/>
  <c r="AW63" i="3"/>
  <c r="AX64" i="3"/>
  <c r="AY64" i="3" s="1"/>
  <c r="BV51" i="3"/>
  <c r="BW51" i="3" s="1"/>
  <c r="BU50" i="3"/>
  <c r="CA51" i="3"/>
  <c r="CB52" i="3"/>
  <c r="CC52" i="3" s="1"/>
  <c r="BP48" i="3"/>
  <c r="BQ48" i="3" s="1"/>
  <c r="CZ69" i="3"/>
  <c r="DA69" i="3" s="1"/>
  <c r="CY68" i="3"/>
  <c r="BD49" i="3"/>
  <c r="BE49" i="3" s="1"/>
  <c r="BC48" i="3"/>
  <c r="CU69" i="2"/>
  <c r="CS68" i="2"/>
  <c r="CG18" i="2"/>
  <c r="CH19" i="2"/>
  <c r="CI19" i="2" s="1"/>
  <c r="BI53" i="3"/>
  <c r="BJ54" i="3"/>
  <c r="BK54" i="3" s="1"/>
  <c r="AW27" i="3"/>
  <c r="AX28" i="3"/>
  <c r="AY28" i="3" s="1"/>
  <c r="CH72" i="2"/>
  <c r="CI72" i="2" s="1"/>
  <c r="CG71" i="2"/>
  <c r="CU71" i="2"/>
  <c r="CS70" i="2"/>
  <c r="CS35" i="2"/>
  <c r="CU36" i="2"/>
  <c r="CS50" i="3"/>
  <c r="CU51" i="3"/>
  <c r="CH24" i="3"/>
  <c r="CI24" i="3" s="1"/>
  <c r="CG23" i="3"/>
  <c r="BV53" i="3"/>
  <c r="BW53" i="3" s="1"/>
  <c r="BU52" i="3"/>
  <c r="BC63" i="3"/>
  <c r="BD64" i="3"/>
  <c r="BE64" i="3" s="1"/>
  <c r="BI41" i="2"/>
  <c r="BJ42" i="2"/>
  <c r="BK42" i="2" s="1"/>
  <c r="BD12" i="3"/>
  <c r="BE12" i="3" s="1"/>
  <c r="BC11" i="3"/>
  <c r="CG69" i="2"/>
  <c r="CH70" i="2"/>
  <c r="CI70" i="2" s="1"/>
  <c r="CG53" i="2"/>
  <c r="CH54" i="2"/>
  <c r="CI54" i="2" s="1"/>
  <c r="CG67" i="2"/>
  <c r="CH68" i="2"/>
  <c r="CI68" i="2" s="1"/>
  <c r="CZ65" i="2"/>
  <c r="DA65" i="2" s="1"/>
  <c r="CY64" i="2"/>
  <c r="CU17" i="2"/>
  <c r="CS16" i="2"/>
  <c r="CB22" i="2"/>
  <c r="CC22" i="2" s="1"/>
  <c r="CA21" i="2"/>
  <c r="BI7" i="2"/>
  <c r="BJ8" i="2"/>
  <c r="BK8" i="2" s="1"/>
  <c r="BC26" i="2"/>
  <c r="BD27" i="2"/>
  <c r="BE27" i="2" s="1"/>
  <c r="BD47" i="2"/>
  <c r="BE47" i="2" s="1"/>
  <c r="BC46" i="2"/>
  <c r="BI59" i="2"/>
  <c r="BJ60" i="2"/>
  <c r="BK60" i="2" s="1"/>
  <c r="BC66" i="2"/>
  <c r="BD67" i="2"/>
  <c r="BE67" i="2" s="1"/>
  <c r="CB54" i="3"/>
  <c r="CC54" i="3" s="1"/>
  <c r="CA53" i="3"/>
  <c r="BV28" i="3"/>
  <c r="BW28" i="3" s="1"/>
  <c r="BU27" i="3"/>
  <c r="BV64" i="3"/>
  <c r="BW64" i="3" s="1"/>
  <c r="BU63" i="3"/>
  <c r="CY57" i="3"/>
  <c r="CZ58" i="3"/>
  <c r="DA58" i="3" s="1"/>
  <c r="BH75" i="3"/>
  <c r="CN42" i="3"/>
  <c r="CO42" i="3" s="1"/>
  <c r="CM41" i="3"/>
  <c r="CG62" i="3"/>
  <c r="CH63" i="3"/>
  <c r="CI63" i="3" s="1"/>
  <c r="CU73" i="3"/>
  <c r="CS72" i="3"/>
  <c r="BJ74" i="2"/>
  <c r="BK74" i="2" s="1"/>
  <c r="BI73" i="2"/>
  <c r="BV68" i="2"/>
  <c r="BW68" i="2" s="1"/>
  <c r="BU67" i="2"/>
  <c r="CY9" i="2"/>
  <c r="CZ10" i="2"/>
  <c r="DA10" i="2" s="1"/>
  <c r="BI21" i="2"/>
  <c r="BJ22" i="2"/>
  <c r="BK22" i="2" s="1"/>
  <c r="CY54" i="2"/>
  <c r="CZ55" i="2"/>
  <c r="DA55" i="2" s="1"/>
  <c r="AW55" i="2"/>
  <c r="AX56" i="2"/>
  <c r="AY56" i="2" s="1"/>
  <c r="BP38" i="2"/>
  <c r="BQ38" i="2" s="1"/>
  <c r="BV74" i="3"/>
  <c r="BW74" i="3" s="1"/>
  <c r="BU73" i="3"/>
  <c r="CN52" i="3"/>
  <c r="CO52" i="3" s="1"/>
  <c r="CM51" i="3"/>
  <c r="CB45" i="3"/>
  <c r="CC45" i="3" s="1"/>
  <c r="CA44" i="3"/>
  <c r="BV9" i="3"/>
  <c r="BW9" i="3" s="1"/>
  <c r="BU8" i="3"/>
  <c r="CN49" i="3"/>
  <c r="CO49" i="3" s="1"/>
  <c r="CM48" i="3"/>
  <c r="CS60" i="3"/>
  <c r="CU61" i="3"/>
  <c r="CA49" i="2"/>
  <c r="CB50" i="2"/>
  <c r="CC50" i="2" s="1"/>
  <c r="BI8" i="3"/>
  <c r="BJ9" i="3"/>
  <c r="BK9" i="3" s="1"/>
  <c r="CU21" i="2"/>
  <c r="CS20" i="2"/>
  <c r="CM16" i="2"/>
  <c r="CN17" i="2"/>
  <c r="CO17" i="2" s="1"/>
  <c r="BC68" i="2"/>
  <c r="BD69" i="2"/>
  <c r="BE69" i="2" s="1"/>
  <c r="CH40" i="3"/>
  <c r="CI40" i="3" s="1"/>
  <c r="CG39" i="3"/>
  <c r="BV18" i="3"/>
  <c r="BW18" i="3" s="1"/>
  <c r="BU17" i="3"/>
  <c r="BD57" i="3"/>
  <c r="BE57" i="3" s="1"/>
  <c r="BC56" i="3"/>
  <c r="CM17" i="3"/>
  <c r="CN18" i="3"/>
  <c r="CO18" i="3" s="1"/>
  <c r="CN68" i="3"/>
  <c r="CO68" i="3" s="1"/>
  <c r="CM67" i="3"/>
  <c r="CG69" i="3"/>
  <c r="CH70" i="3"/>
  <c r="CI70" i="3" s="1"/>
  <c r="CN13" i="2"/>
  <c r="CO13" i="2" s="1"/>
  <c r="CM12" i="2"/>
  <c r="BV20" i="2"/>
  <c r="BW20" i="2" s="1"/>
  <c r="BU19" i="2"/>
  <c r="BI50" i="2"/>
  <c r="BJ51" i="2"/>
  <c r="BK51" i="2" s="1"/>
  <c r="BP74" i="2"/>
  <c r="BQ74" i="2" s="1"/>
  <c r="BU34" i="2"/>
  <c r="BV35" i="2"/>
  <c r="BW35" i="2" s="1"/>
  <c r="BP35" i="2"/>
  <c r="BQ35" i="2" s="1"/>
  <c r="CZ50" i="3"/>
  <c r="DA50" i="3" s="1"/>
  <c r="CY49" i="3"/>
  <c r="CA52" i="3"/>
  <c r="CB53" i="3"/>
  <c r="CC53" i="3" s="1"/>
  <c r="BV14" i="3"/>
  <c r="BW14" i="3" s="1"/>
  <c r="BU13" i="3"/>
  <c r="CM62" i="3"/>
  <c r="CN63" i="3"/>
  <c r="CO63" i="3" s="1"/>
  <c r="BP10" i="2"/>
  <c r="BQ10" i="2" s="1"/>
  <c r="CA43" i="3"/>
  <c r="CB44" i="3"/>
  <c r="CC44" i="3" s="1"/>
  <c r="BJ20" i="2"/>
  <c r="BK20" i="2" s="1"/>
  <c r="BI19" i="2"/>
  <c r="CA69" i="2"/>
  <c r="CB70" i="2"/>
  <c r="CC70" i="2" s="1"/>
  <c r="CY52" i="2"/>
  <c r="CZ53" i="2"/>
  <c r="DA53" i="2" s="1"/>
  <c r="BD44" i="2"/>
  <c r="BE44" i="2" s="1"/>
  <c r="BC43" i="2"/>
  <c r="BU24" i="3"/>
  <c r="BV25" i="3"/>
  <c r="BW25" i="3" s="1"/>
  <c r="CH47" i="3"/>
  <c r="CI47" i="3" s="1"/>
  <c r="CG46" i="3"/>
  <c r="BP59" i="2"/>
  <c r="BQ59" i="2" s="1"/>
  <c r="BI71" i="3"/>
  <c r="BJ72" i="3"/>
  <c r="BK72" i="3" s="1"/>
  <c r="BV67" i="3"/>
  <c r="BW67" i="3" s="1"/>
  <c r="BU66" i="3"/>
  <c r="CH57" i="2"/>
  <c r="CI57" i="2" s="1"/>
  <c r="CG56" i="2"/>
  <c r="BJ49" i="3"/>
  <c r="BK49" i="3" s="1"/>
  <c r="BI48" i="3"/>
  <c r="BV16" i="2"/>
  <c r="BW16" i="2" s="1"/>
  <c r="BU15" i="2"/>
  <c r="CM9" i="2"/>
  <c r="CN10" i="2"/>
  <c r="CO10" i="2" s="1"/>
  <c r="AW8" i="3"/>
  <c r="AX9" i="3"/>
  <c r="AY9" i="3" s="1"/>
  <c r="CZ15" i="2"/>
  <c r="DA15" i="2" s="1"/>
  <c r="CY14" i="2"/>
  <c r="BI20" i="2"/>
  <c r="BJ21" i="2"/>
  <c r="BK21" i="2" s="1"/>
  <c r="BD33" i="2"/>
  <c r="BE33" i="2" s="1"/>
  <c r="BC32" i="2"/>
  <c r="AW29" i="3"/>
  <c r="AX30" i="3"/>
  <c r="AY30" i="3" s="1"/>
  <c r="CZ10" i="3"/>
  <c r="DA10" i="3" s="1"/>
  <c r="CY9" i="3"/>
  <c r="BC16" i="2"/>
  <c r="BD17" i="2"/>
  <c r="BE17" i="2" s="1"/>
  <c r="CS23" i="3"/>
  <c r="CU24" i="3"/>
  <c r="CM48" i="2"/>
  <c r="CN49" i="2"/>
  <c r="CO49" i="2" s="1"/>
  <c r="CH20" i="3"/>
  <c r="CI20" i="3" s="1"/>
  <c r="CG19" i="3"/>
  <c r="BP70" i="3"/>
  <c r="BQ70" i="3" s="1"/>
  <c r="BU50" i="2"/>
  <c r="BV51" i="2"/>
  <c r="BW51" i="2" s="1"/>
  <c r="CN40" i="2"/>
  <c r="CO40" i="2" s="1"/>
  <c r="CM39" i="2"/>
  <c r="CZ61" i="2"/>
  <c r="DA61" i="2" s="1"/>
  <c r="CY60" i="2"/>
  <c r="CH60" i="2"/>
  <c r="CI60" i="2" s="1"/>
  <c r="CG59" i="2"/>
  <c r="CN43" i="3"/>
  <c r="CO43" i="3" s="1"/>
  <c r="CM42" i="3"/>
  <c r="CA31" i="3"/>
  <c r="CB32" i="3"/>
  <c r="CC32" i="3" s="1"/>
  <c r="BP38" i="3"/>
  <c r="BQ38" i="3" s="1"/>
  <c r="CS32" i="2"/>
  <c r="CU33" i="2"/>
  <c r="AW22" i="3"/>
  <c r="AX23" i="3"/>
  <c r="AY23" i="3" s="1"/>
  <c r="BV44" i="3"/>
  <c r="BW44" i="3" s="1"/>
  <c r="BU43" i="3"/>
  <c r="CB26" i="2"/>
  <c r="CC26" i="2" s="1"/>
  <c r="CA25" i="2"/>
  <c r="BJ31" i="2"/>
  <c r="BK31" i="2" s="1"/>
  <c r="BI30" i="2"/>
  <c r="BC66" i="3"/>
  <c r="BD67" i="3"/>
  <c r="BE67" i="3" s="1"/>
  <c r="CB17" i="2"/>
  <c r="CC17" i="2" s="1"/>
  <c r="CA16" i="2"/>
  <c r="BC34" i="3"/>
  <c r="BD35" i="3"/>
  <c r="BE35" i="3" s="1"/>
  <c r="CN21" i="2"/>
  <c r="CO21" i="2" s="1"/>
  <c r="CM20" i="2"/>
  <c r="CG20" i="2"/>
  <c r="CH21" i="2"/>
  <c r="CI21" i="2" s="1"/>
  <c r="CA57" i="2"/>
  <c r="CB58" i="2"/>
  <c r="CC58" i="2" s="1"/>
  <c r="CB73" i="2"/>
  <c r="CC73" i="2" s="1"/>
  <c r="CA72" i="2"/>
  <c r="AW35" i="2"/>
  <c r="AX36" i="2"/>
  <c r="AY36" i="2" s="1"/>
  <c r="BJ20" i="3"/>
  <c r="BK20" i="3" s="1"/>
  <c r="BI19" i="3"/>
  <c r="BV62" i="3"/>
  <c r="BW62" i="3" s="1"/>
  <c r="BU61" i="3"/>
  <c r="BP12" i="3"/>
  <c r="BQ12" i="3" s="1"/>
  <c r="BP16" i="3"/>
  <c r="BQ16" i="3" s="1"/>
  <c r="CA66" i="3"/>
  <c r="CB67" i="3"/>
  <c r="CC67" i="3" s="1"/>
  <c r="BI54" i="3"/>
  <c r="BJ55" i="3"/>
  <c r="BK55" i="3" s="1"/>
  <c r="CY24" i="3"/>
  <c r="CZ25" i="3"/>
  <c r="DA25" i="3" s="1"/>
  <c r="BI42" i="2"/>
  <c r="BJ43" i="2"/>
  <c r="BK43" i="2" s="1"/>
  <c r="BC12" i="3"/>
  <c r="BD13" i="3"/>
  <c r="BE13" i="3" s="1"/>
  <c r="BV45" i="2"/>
  <c r="BW45" i="2" s="1"/>
  <c r="BU44" i="2"/>
  <c r="CA61" i="2"/>
  <c r="CB62" i="2"/>
  <c r="CC62" i="2" s="1"/>
  <c r="CB36" i="3"/>
  <c r="CC36" i="3" s="1"/>
  <c r="CA35" i="3"/>
  <c r="BV72" i="3"/>
  <c r="BW72" i="3" s="1"/>
  <c r="BU71" i="3"/>
  <c r="AW27" i="2"/>
  <c r="AX28" i="2"/>
  <c r="AY28" i="2" s="1"/>
  <c r="BD65" i="3"/>
  <c r="BE65" i="3" s="1"/>
  <c r="BC64" i="3"/>
  <c r="AW70" i="3"/>
  <c r="AX71" i="3"/>
  <c r="AY71" i="3" s="1"/>
  <c r="CZ42" i="3"/>
  <c r="DA42" i="3" s="1"/>
  <c r="CY41" i="3"/>
  <c r="CG50" i="2"/>
  <c r="CH51" i="2"/>
  <c r="CI51" i="2" s="1"/>
  <c r="CS25" i="2"/>
  <c r="CU26" i="2"/>
  <c r="CN71" i="2"/>
  <c r="CO71" i="2" s="1"/>
  <c r="CM70" i="2"/>
  <c r="AW39" i="2"/>
  <c r="AX40" i="2"/>
  <c r="AY40" i="2" s="1"/>
  <c r="CG73" i="3"/>
  <c r="CH74" i="3"/>
  <c r="CI74" i="3" s="1"/>
  <c r="CY37" i="3"/>
  <c r="CZ38" i="3"/>
  <c r="DA38" i="3" s="1"/>
  <c r="AW44" i="3"/>
  <c r="AX45" i="3"/>
  <c r="AY45" i="3" s="1"/>
  <c r="AW8" i="2"/>
  <c r="AX9" i="2"/>
  <c r="AY9" i="2" s="1"/>
  <c r="CZ13" i="3"/>
  <c r="DA13" i="3" s="1"/>
  <c r="CY12" i="3"/>
  <c r="BV73" i="2"/>
  <c r="BW73" i="2" s="1"/>
  <c r="BU72" i="2"/>
  <c r="BJ39" i="3"/>
  <c r="BK39" i="3" s="1"/>
  <c r="BI38" i="3"/>
  <c r="BV55" i="2"/>
  <c r="BW55" i="2" s="1"/>
  <c r="BU54" i="2"/>
  <c r="BD10" i="2"/>
  <c r="BE10" i="2" s="1"/>
  <c r="BC9" i="2"/>
  <c r="CN59" i="3"/>
  <c r="CO59" i="3" s="1"/>
  <c r="CM58" i="3"/>
  <c r="BV19" i="3"/>
  <c r="BW19" i="3" s="1"/>
  <c r="BU18" i="3"/>
  <c r="CB31" i="3"/>
  <c r="CC31" i="3" s="1"/>
  <c r="CA30" i="3"/>
  <c r="BI36" i="3"/>
  <c r="BJ37" i="3"/>
  <c r="BK37" i="3" s="1"/>
  <c r="CS31" i="3"/>
  <c r="CU32" i="3"/>
  <c r="CM56" i="3"/>
  <c r="CN57" i="3"/>
  <c r="CO57" i="3" s="1"/>
  <c r="CM36" i="2"/>
  <c r="CN37" i="2"/>
  <c r="CO37" i="2" s="1"/>
  <c r="CG26" i="3"/>
  <c r="CH27" i="3"/>
  <c r="CI27" i="3" s="1"/>
  <c r="BV38" i="2"/>
  <c r="BW38" i="2" s="1"/>
  <c r="BU37" i="2"/>
  <c r="BC20" i="2"/>
  <c r="BD21" i="2"/>
  <c r="BE21" i="2" s="1"/>
  <c r="CA45" i="2"/>
  <c r="CB46" i="2"/>
  <c r="CC46" i="2" s="1"/>
  <c r="BV63" i="2"/>
  <c r="BW63" i="2" s="1"/>
  <c r="BU62" i="2"/>
  <c r="CA60" i="2"/>
  <c r="CB61" i="2"/>
  <c r="CC61" i="2" s="1"/>
  <c r="AW63" i="2"/>
  <c r="AX64" i="2"/>
  <c r="AY64" i="2" s="1"/>
  <c r="CB74" i="3"/>
  <c r="CC74" i="3" s="1"/>
  <c r="CA73" i="3"/>
  <c r="BJ67" i="3"/>
  <c r="BK67" i="3" s="1"/>
  <c r="BI66" i="3"/>
  <c r="BV16" i="3"/>
  <c r="BW16" i="3" s="1"/>
  <c r="BU15" i="3"/>
  <c r="CN69" i="3"/>
  <c r="CO69" i="3" s="1"/>
  <c r="CM68" i="3"/>
  <c r="CB31" i="2"/>
  <c r="CC31" i="2" s="1"/>
  <c r="CA30" i="2"/>
  <c r="CZ35" i="2"/>
  <c r="DA35" i="2" s="1"/>
  <c r="CY34" i="2"/>
  <c r="AW58" i="2"/>
  <c r="AX59" i="2"/>
  <c r="AY59" i="2" s="1"/>
  <c r="BJ57" i="3"/>
  <c r="BK57" i="3" s="1"/>
  <c r="BI56" i="3"/>
  <c r="BP41" i="3"/>
  <c r="BQ41" i="3" s="1"/>
  <c r="CU63" i="2"/>
  <c r="CS62" i="2"/>
  <c r="AW67" i="2"/>
  <c r="AX68" i="2"/>
  <c r="AY68" i="2" s="1"/>
  <c r="CZ59" i="3"/>
  <c r="DA59" i="3" s="1"/>
  <c r="CY58" i="3"/>
  <c r="AW15" i="3"/>
  <c r="AX16" i="3"/>
  <c r="AY16" i="3" s="1"/>
  <c r="BD32" i="3"/>
  <c r="BE32" i="3" s="1"/>
  <c r="BC31" i="3"/>
  <c r="BJ35" i="3"/>
  <c r="BK35" i="3" s="1"/>
  <c r="BI34" i="3"/>
  <c r="BU20" i="3"/>
  <c r="BV21" i="3"/>
  <c r="BW21" i="3" s="1"/>
  <c r="CZ43" i="3"/>
  <c r="DA43" i="3" s="1"/>
  <c r="CY42" i="3"/>
  <c r="CH50" i="2"/>
  <c r="CI50" i="2" s="1"/>
  <c r="CG49" i="2"/>
  <c r="CZ18" i="2"/>
  <c r="DA18" i="2" s="1"/>
  <c r="CY17" i="2"/>
  <c r="BI17" i="2"/>
  <c r="BJ18" i="2"/>
  <c r="BK18" i="2" s="1"/>
  <c r="CS26" i="2"/>
  <c r="CU27" i="2"/>
  <c r="BI40" i="2"/>
  <c r="BJ41" i="2"/>
  <c r="BK41" i="2" s="1"/>
  <c r="BP56" i="2"/>
  <c r="BQ56" i="2" s="1"/>
  <c r="CG12" i="2"/>
  <c r="CH13" i="2"/>
  <c r="CI13" i="2" s="1"/>
  <c r="BC73" i="2"/>
  <c r="BD74" i="2"/>
  <c r="BE74" i="2" s="1"/>
  <c r="CH63" i="2"/>
  <c r="CI63" i="2" s="1"/>
  <c r="CG62" i="2"/>
  <c r="AW38" i="2"/>
  <c r="AX39" i="2"/>
  <c r="AY39" i="2" s="1"/>
  <c r="BC72" i="2"/>
  <c r="BD73" i="2"/>
  <c r="BE73" i="2" s="1"/>
  <c r="BP66" i="3"/>
  <c r="BQ66" i="3" s="1"/>
  <c r="AW69" i="3"/>
  <c r="AX70" i="3"/>
  <c r="AY70" i="3" s="1"/>
  <c r="CG12" i="3"/>
  <c r="CH13" i="3"/>
  <c r="CI13" i="3" s="1"/>
  <c r="CB50" i="3"/>
  <c r="CC50" i="3" s="1"/>
  <c r="CA49" i="3"/>
  <c r="BP67" i="3"/>
  <c r="BQ67" i="3" s="1"/>
  <c r="BD60" i="3"/>
  <c r="BE60" i="3" s="1"/>
  <c r="BC59" i="3"/>
  <c r="CS48" i="3"/>
  <c r="CU49" i="3"/>
  <c r="CA16" i="3"/>
  <c r="CB17" i="3"/>
  <c r="CC17" i="3" s="1"/>
  <c r="BU14" i="2"/>
  <c r="BV15" i="2"/>
  <c r="BW15" i="2" s="1"/>
  <c r="CZ59" i="2"/>
  <c r="DA59" i="2" s="1"/>
  <c r="CY58" i="2"/>
  <c r="BC44" i="3"/>
  <c r="BD45" i="3"/>
  <c r="BE45" i="3" s="1"/>
  <c r="CS47" i="2"/>
  <c r="CU48" i="2"/>
  <c r="CH66" i="2"/>
  <c r="CI66" i="2" s="1"/>
  <c r="CG65" i="2"/>
  <c r="CG23" i="2"/>
  <c r="CH24" i="2"/>
  <c r="CI24" i="2" s="1"/>
  <c r="BU25" i="3"/>
  <c r="BV26" i="3"/>
  <c r="BW26" i="3" s="1"/>
  <c r="CN10" i="3"/>
  <c r="CO10" i="3" s="1"/>
  <c r="CM9" i="3"/>
  <c r="BJ52" i="2"/>
  <c r="BK52" i="2" s="1"/>
  <c r="BI51" i="2"/>
  <c r="CG22" i="2"/>
  <c r="CH23" i="2"/>
  <c r="CI23" i="2" s="1"/>
  <c r="CU59" i="3"/>
  <c r="CS58" i="3"/>
  <c r="CU25" i="3"/>
  <c r="CS24" i="3"/>
  <c r="CN28" i="2"/>
  <c r="CO28" i="2" s="1"/>
  <c r="CM27" i="2"/>
  <c r="BJ25" i="2"/>
  <c r="BK25" i="2" s="1"/>
  <c r="BI24" i="2"/>
  <c r="CH17" i="2"/>
  <c r="CI17" i="2" s="1"/>
  <c r="CG16" i="2"/>
  <c r="CH69" i="2"/>
  <c r="CI69" i="2" s="1"/>
  <c r="CG68" i="2"/>
  <c r="BP68" i="2"/>
  <c r="BQ68" i="2" s="1"/>
  <c r="CM17" i="2"/>
  <c r="CN18" i="2"/>
  <c r="CO18" i="2" s="1"/>
  <c r="BD42" i="2"/>
  <c r="BE42" i="2" s="1"/>
  <c r="BC41" i="2"/>
  <c r="CS17" i="2"/>
  <c r="CU18" i="2"/>
  <c r="BC69" i="2"/>
  <c r="BD70" i="2"/>
  <c r="BE70" i="2" s="1"/>
  <c r="CA10" i="2"/>
  <c r="CB11" i="2"/>
  <c r="CC11" i="2" s="1"/>
  <c r="BP48" i="2"/>
  <c r="BQ48" i="2" s="1"/>
  <c r="AW10" i="3"/>
  <c r="AX11" i="3"/>
  <c r="AY11" i="3" s="1"/>
  <c r="AW66" i="3"/>
  <c r="AX67" i="3"/>
  <c r="AY67" i="3" s="1"/>
  <c r="CG13" i="3"/>
  <c r="CH14" i="3"/>
  <c r="CI14" i="3" s="1"/>
  <c r="CZ26" i="3"/>
  <c r="DA26" i="3" s="1"/>
  <c r="CY25" i="3"/>
  <c r="CR75" i="3"/>
  <c r="CR76" i="3" s="1"/>
  <c r="CS7" i="3"/>
  <c r="CX75" i="3"/>
  <c r="CG33" i="3"/>
  <c r="CH34" i="3"/>
  <c r="CI34" i="3" s="1"/>
  <c r="CB15" i="3"/>
  <c r="CC15" i="3" s="1"/>
  <c r="CA14" i="3"/>
  <c r="CA56" i="3"/>
  <c r="CB57" i="3"/>
  <c r="CC57" i="3" s="1"/>
  <c r="BD14" i="2"/>
  <c r="BE14" i="2" s="1"/>
  <c r="BC13" i="2"/>
  <c r="CB47" i="2"/>
  <c r="CC47" i="2" s="1"/>
  <c r="CA46" i="2"/>
  <c r="BP26" i="2"/>
  <c r="BQ26" i="2" s="1"/>
  <c r="CB39" i="2"/>
  <c r="CC39" i="2" s="1"/>
  <c r="CA38" i="2"/>
  <c r="BI55" i="3"/>
  <c r="BJ56" i="3"/>
  <c r="BK56" i="3" s="1"/>
  <c r="BP49" i="3"/>
  <c r="BQ49" i="3" s="1"/>
  <c r="CZ40" i="2"/>
  <c r="DA40" i="2" s="1"/>
  <c r="CY39" i="2"/>
  <c r="CA43" i="2"/>
  <c r="CB44" i="2"/>
  <c r="CC44" i="2" s="1"/>
  <c r="BV12" i="2"/>
  <c r="BW12" i="2" s="1"/>
  <c r="BU11" i="2"/>
  <c r="CG73" i="2"/>
  <c r="CH74" i="2"/>
  <c r="CI74" i="2" s="1"/>
  <c r="CU53" i="2"/>
  <c r="CS52" i="2"/>
  <c r="BI65" i="3"/>
  <c r="BJ66" i="3"/>
  <c r="BK66" i="3" s="1"/>
  <c r="CG27" i="3"/>
  <c r="CH28" i="3"/>
  <c r="CI28" i="3" s="1"/>
  <c r="CN60" i="3"/>
  <c r="CO60" i="3" s="1"/>
  <c r="CM59" i="3"/>
  <c r="BV37" i="2"/>
  <c r="BW37" i="2" s="1"/>
  <c r="BU36" i="2"/>
  <c r="BD20" i="2"/>
  <c r="BE20" i="2" s="1"/>
  <c r="BC19" i="2"/>
  <c r="CG44" i="3"/>
  <c r="CH45" i="3"/>
  <c r="CI45" i="3" s="1"/>
  <c r="CU37" i="3"/>
  <c r="CS36" i="3"/>
  <c r="BV24" i="2"/>
  <c r="BW24" i="2" s="1"/>
  <c r="BU23" i="2"/>
  <c r="CY47" i="2"/>
  <c r="CZ48" i="2"/>
  <c r="DA48" i="2" s="1"/>
  <c r="CA24" i="2"/>
  <c r="CB25" i="2"/>
  <c r="CC25" i="2" s="1"/>
  <c r="CB29" i="2"/>
  <c r="CC29" i="2" s="1"/>
  <c r="CA28" i="2"/>
  <c r="CG43" i="2"/>
  <c r="CH44" i="2"/>
  <c r="CI44" i="2" s="1"/>
  <c r="CZ58" i="2"/>
  <c r="DA58" i="2" s="1"/>
  <c r="CY57" i="2"/>
  <c r="CG13" i="2"/>
  <c r="CH14" i="2"/>
  <c r="CI14" i="2" s="1"/>
  <c r="AW32" i="2"/>
  <c r="AX33" i="2"/>
  <c r="AY33" i="2" s="1"/>
  <c r="BJ26" i="2"/>
  <c r="BK26" i="2" s="1"/>
  <c r="BI25" i="2"/>
  <c r="BI25" i="3"/>
  <c r="BJ26" i="3"/>
  <c r="BK26" i="3" s="1"/>
  <c r="CY39" i="3"/>
  <c r="CZ40" i="3"/>
  <c r="DA40" i="3" s="1"/>
  <c r="CU64" i="3"/>
  <c r="CS63" i="3"/>
  <c r="BC58" i="3"/>
  <c r="BD59" i="3"/>
  <c r="BE59" i="3" s="1"/>
  <c r="BV38" i="3"/>
  <c r="BW38" i="3" s="1"/>
  <c r="BU37" i="3"/>
  <c r="CG16" i="3"/>
  <c r="CH17" i="3"/>
  <c r="CI17" i="3" s="1"/>
  <c r="BV39" i="3"/>
  <c r="BW39" i="3" s="1"/>
  <c r="BU38" i="3"/>
  <c r="BD22" i="3"/>
  <c r="BE22" i="3" s="1"/>
  <c r="BC21" i="3"/>
  <c r="CG50" i="3"/>
  <c r="CH51" i="3"/>
  <c r="CI51" i="3" s="1"/>
  <c r="CB65" i="3"/>
  <c r="CC65" i="3" s="1"/>
  <c r="CA64" i="3"/>
  <c r="CZ71" i="2"/>
  <c r="DA71" i="2" s="1"/>
  <c r="CY70" i="2"/>
  <c r="BJ68" i="3"/>
  <c r="BK68" i="3" s="1"/>
  <c r="BI67" i="3"/>
  <c r="CZ35" i="3"/>
  <c r="DA35" i="3" s="1"/>
  <c r="CY34" i="3"/>
  <c r="BU70" i="2"/>
  <c r="BV71" i="2"/>
  <c r="BW71" i="2" s="1"/>
  <c r="CU27" i="3"/>
  <c r="CS26" i="3"/>
  <c r="CU15" i="3"/>
  <c r="CS14" i="3"/>
  <c r="CS20" i="3"/>
  <c r="CU21" i="3"/>
  <c r="CA29" i="2"/>
  <c r="CB30" i="2"/>
  <c r="CC30" i="2" s="1"/>
  <c r="CU51" i="2"/>
  <c r="CS50" i="2"/>
  <c r="CB19" i="2"/>
  <c r="CC19" i="2" s="1"/>
  <c r="CA18" i="2"/>
  <c r="BC8" i="3"/>
  <c r="BD9" i="3"/>
  <c r="BE9" i="3" s="1"/>
  <c r="BD42" i="3"/>
  <c r="BE42" i="3" s="1"/>
  <c r="BC41" i="3"/>
  <c r="CM14" i="2"/>
  <c r="CN15" i="2"/>
  <c r="CO15" i="2" s="1"/>
  <c r="CA65" i="2"/>
  <c r="CB66" i="2"/>
  <c r="CC66" i="2" s="1"/>
  <c r="AW22" i="2"/>
  <c r="AX23" i="2"/>
  <c r="AY23" i="2" s="1"/>
  <c r="BP57" i="2"/>
  <c r="BQ57" i="2" s="1"/>
  <c r="BV39" i="2"/>
  <c r="BW39" i="2" s="1"/>
  <c r="BU38" i="2"/>
  <c r="BI44" i="2"/>
  <c r="BJ45" i="2"/>
  <c r="BK45" i="2" s="1"/>
  <c r="BD30" i="2"/>
  <c r="BE30" i="2" s="1"/>
  <c r="BC29" i="2"/>
  <c r="BI10" i="3"/>
  <c r="BJ11" i="3"/>
  <c r="BK11" i="3" s="1"/>
  <c r="CN16" i="3"/>
  <c r="CO16" i="3" s="1"/>
  <c r="CM15" i="3"/>
  <c r="CZ45" i="3"/>
  <c r="DA45" i="3" s="1"/>
  <c r="CY44" i="3"/>
  <c r="CH66" i="3"/>
  <c r="CI66" i="3" s="1"/>
  <c r="CG65" i="3"/>
  <c r="CB41" i="3"/>
  <c r="CC41" i="3" s="1"/>
  <c r="CA40" i="3"/>
  <c r="CN26" i="3"/>
  <c r="CO26" i="3" s="1"/>
  <c r="CM25" i="3"/>
  <c r="CM10" i="3"/>
  <c r="CN11" i="3"/>
  <c r="CO11" i="3" s="1"/>
  <c r="BI57" i="3"/>
  <c r="BJ58" i="3"/>
  <c r="BK58" i="3" s="1"/>
  <c r="CS41" i="3"/>
  <c r="CU42" i="3"/>
  <c r="BP25" i="3"/>
  <c r="BQ25" i="3" s="1"/>
  <c r="CM32" i="3"/>
  <c r="CN33" i="3"/>
  <c r="CO33" i="3" s="1"/>
  <c r="CM65" i="2"/>
  <c r="CN66" i="2"/>
  <c r="CO66" i="2" s="1"/>
  <c r="CM69" i="2"/>
  <c r="CN70" i="2"/>
  <c r="CO70" i="2" s="1"/>
  <c r="CM13" i="2"/>
  <c r="CN14" i="2"/>
  <c r="CO14" i="2" s="1"/>
  <c r="CG72" i="2"/>
  <c r="CH73" i="2"/>
  <c r="CI73" i="2" s="1"/>
  <c r="CG41" i="2"/>
  <c r="CH42" i="2"/>
  <c r="CI42" i="2" s="1"/>
  <c r="CA20" i="2"/>
  <c r="CB21" i="2"/>
  <c r="CC21" i="2" s="1"/>
  <c r="CB69" i="2"/>
  <c r="CC69" i="2" s="1"/>
  <c r="CA68" i="2"/>
  <c r="CY19" i="2"/>
  <c r="CZ20" i="2"/>
  <c r="DA20" i="2" s="1"/>
  <c r="AW47" i="2"/>
  <c r="AX48" i="2"/>
  <c r="AY48" i="2" s="1"/>
  <c r="BC11" i="2"/>
  <c r="BD12" i="2"/>
  <c r="BE12" i="2" s="1"/>
  <c r="BD40" i="2"/>
  <c r="BE40" i="2" s="1"/>
  <c r="BC39" i="2"/>
  <c r="BP37" i="2"/>
  <c r="BQ37" i="2" s="1"/>
  <c r="CH71" i="3"/>
  <c r="CI71" i="3" s="1"/>
  <c r="CG70" i="3"/>
  <c r="CS17" i="3"/>
  <c r="CU18" i="3"/>
  <c r="CN47" i="3"/>
  <c r="CO47" i="3" s="1"/>
  <c r="CM46" i="3"/>
  <c r="BD33" i="3"/>
  <c r="BE33" i="3" s="1"/>
  <c r="BC32" i="3"/>
  <c r="BD16" i="3"/>
  <c r="BE16" i="3" s="1"/>
  <c r="BC15" i="3"/>
  <c r="CZ61" i="3"/>
  <c r="DA61" i="3" s="1"/>
  <c r="CY60" i="3"/>
  <c r="CH42" i="3"/>
  <c r="CI42" i="3" s="1"/>
  <c r="CG41" i="3"/>
  <c r="BP74" i="3"/>
  <c r="BQ74" i="3" s="1"/>
  <c r="CA65" i="3"/>
  <c r="CB66" i="3"/>
  <c r="CC66" i="3" s="1"/>
  <c r="BP72" i="2"/>
  <c r="BQ72" i="2" s="1"/>
  <c r="CH68" i="3"/>
  <c r="CI68" i="3" s="1"/>
  <c r="CG67" i="3"/>
  <c r="CS21" i="2"/>
  <c r="CU22" i="2"/>
  <c r="CS9" i="2"/>
  <c r="CU10" i="2"/>
  <c r="CM34" i="3"/>
  <c r="CN35" i="3"/>
  <c r="CO35" i="3" s="1"/>
  <c r="CO8" i="2"/>
  <c r="CS11" i="3"/>
  <c r="CU12" i="3"/>
  <c r="CZ69" i="2"/>
  <c r="DA69" i="2" s="1"/>
  <c r="CY68" i="2"/>
  <c r="AW53" i="3"/>
  <c r="AX54" i="3"/>
  <c r="AY54" i="3" s="1"/>
  <c r="BV18" i="2"/>
  <c r="BW18" i="2" s="1"/>
  <c r="BU17" i="2"/>
  <c r="BP8" i="3"/>
  <c r="BN75" i="3"/>
  <c r="CS66" i="3"/>
  <c r="CU67" i="3"/>
  <c r="CB47" i="3"/>
  <c r="CC47" i="3" s="1"/>
  <c r="CA46" i="3"/>
  <c r="CZ72" i="2"/>
  <c r="DA72" i="2" s="1"/>
  <c r="CY71" i="2"/>
  <c r="BV69" i="3"/>
  <c r="BW69" i="3" s="1"/>
  <c r="BU68" i="3"/>
  <c r="CY62" i="3"/>
  <c r="CZ63" i="3"/>
  <c r="DA63" i="3" s="1"/>
  <c r="BP42" i="2"/>
  <c r="BQ42" i="2" s="1"/>
  <c r="AW46" i="2"/>
  <c r="AX47" i="2"/>
  <c r="AY47" i="2" s="1"/>
  <c r="CU61" i="2"/>
  <c r="CS60" i="2"/>
  <c r="CH32" i="2"/>
  <c r="CI32" i="2" s="1"/>
  <c r="CG31" i="2"/>
  <c r="AW14" i="2"/>
  <c r="AX15" i="2"/>
  <c r="AY15" i="2" s="1"/>
  <c r="AW64" i="3"/>
  <c r="AX65" i="3"/>
  <c r="AY65" i="3" s="1"/>
  <c r="BJ15" i="3"/>
  <c r="BK15" i="3" s="1"/>
  <c r="BI14" i="3"/>
  <c r="CB72" i="2"/>
  <c r="CC72" i="2" s="1"/>
  <c r="CA71" i="2"/>
  <c r="CB48" i="3"/>
  <c r="CC48" i="3" s="1"/>
  <c r="CA47" i="3"/>
  <c r="BI27" i="2"/>
  <c r="BJ28" i="2"/>
  <c r="BK28" i="2" s="1"/>
  <c r="BJ49" i="2"/>
  <c r="BK49" i="2" s="1"/>
  <c r="BI48" i="2"/>
  <c r="CZ73" i="3"/>
  <c r="DA73" i="3" s="1"/>
  <c r="CY72" i="3"/>
  <c r="BI72" i="2"/>
  <c r="BJ73" i="2"/>
  <c r="BK73" i="2" s="1"/>
  <c r="BV74" i="2"/>
  <c r="BW74" i="2" s="1"/>
  <c r="BU73" i="2"/>
  <c r="AW10" i="2"/>
  <c r="AX11" i="2"/>
  <c r="AY11" i="2" s="1"/>
  <c r="BP64" i="2"/>
  <c r="BQ64" i="2" s="1"/>
  <c r="CH33" i="3"/>
  <c r="CI33" i="3" s="1"/>
  <c r="CG32" i="3"/>
  <c r="CN66" i="3"/>
  <c r="CO66" i="3" s="1"/>
  <c r="CM65" i="3"/>
  <c r="CN44" i="2"/>
  <c r="CO44" i="2" s="1"/>
  <c r="CM43" i="2"/>
  <c r="CN21" i="3"/>
  <c r="CO21" i="3" s="1"/>
  <c r="CM20" i="3"/>
  <c r="CA32" i="2"/>
  <c r="CB33" i="2"/>
  <c r="CC33" i="2" s="1"/>
  <c r="BJ28" i="3"/>
  <c r="BK28" i="3" s="1"/>
  <c r="BI27" i="3"/>
  <c r="CU15" i="2"/>
  <c r="CS14" i="2"/>
  <c r="AW40" i="2"/>
  <c r="AX41" i="2"/>
  <c r="AY41" i="2" s="1"/>
  <c r="CY64" i="3"/>
  <c r="CZ65" i="3"/>
  <c r="DA65" i="3" s="1"/>
  <c r="CN22" i="3"/>
  <c r="CO22" i="3" s="1"/>
  <c r="CM21" i="3"/>
  <c r="BP21" i="3"/>
  <c r="BQ21" i="3" s="1"/>
  <c r="CB68" i="2"/>
  <c r="CC68" i="2" s="1"/>
  <c r="CA67" i="2"/>
  <c r="CH43" i="3"/>
  <c r="CI43" i="3" s="1"/>
  <c r="CG42" i="3"/>
  <c r="CZ44" i="2"/>
  <c r="DA44" i="2" s="1"/>
  <c r="CY43" i="2"/>
  <c r="BP45" i="3"/>
  <c r="BQ45" i="3" s="1"/>
  <c r="CB60" i="2"/>
  <c r="CC60" i="2" s="1"/>
  <c r="CA59" i="2"/>
  <c r="BI47" i="3"/>
  <c r="BJ48" i="3"/>
  <c r="BK48" i="3" s="1"/>
  <c r="AW46" i="3"/>
  <c r="AX47" i="3"/>
  <c r="AY47" i="3" s="1"/>
  <c r="CZ27" i="3"/>
  <c r="DA27" i="3" s="1"/>
  <c r="CY26" i="3"/>
  <c r="CZ24" i="2"/>
  <c r="DA24" i="2" s="1"/>
  <c r="CY23" i="2"/>
  <c r="BD25" i="2"/>
  <c r="BE25" i="2" s="1"/>
  <c r="BC24" i="2"/>
  <c r="AW28" i="3"/>
  <c r="AX29" i="3"/>
  <c r="AY29" i="3" s="1"/>
  <c r="CS69" i="2"/>
  <c r="CU70" i="2"/>
  <c r="BV34" i="3"/>
  <c r="BW34" i="3" s="1"/>
  <c r="BU33" i="3"/>
  <c r="BU16" i="3"/>
  <c r="BV17" i="3"/>
  <c r="BW17" i="3" s="1"/>
  <c r="BI28" i="2"/>
  <c r="BJ29" i="2"/>
  <c r="BK29" i="2" s="1"/>
  <c r="CN56" i="2"/>
  <c r="CO56" i="2" s="1"/>
  <c r="CM55" i="2"/>
  <c r="BV43" i="2"/>
  <c r="BW43" i="2" s="1"/>
  <c r="BU42" i="2"/>
  <c r="AW12" i="2"/>
  <c r="AX13" i="2"/>
  <c r="AY13" i="2" s="1"/>
  <c r="BC25" i="2"/>
  <c r="BD26" i="2"/>
  <c r="BE26" i="2" s="1"/>
  <c r="CA37" i="3"/>
  <c r="CB38" i="3"/>
  <c r="CC38" i="3" s="1"/>
  <c r="CS64" i="3"/>
  <c r="CU65" i="3"/>
  <c r="CG61" i="3"/>
  <c r="CH62" i="3"/>
  <c r="CI62" i="3" s="1"/>
  <c r="BP23" i="2"/>
  <c r="BQ23" i="2" s="1"/>
  <c r="CB56" i="2"/>
  <c r="CC56" i="2" s="1"/>
  <c r="CA55" i="2"/>
  <c r="AW59" i="3"/>
  <c r="AX60" i="3"/>
  <c r="AY60" i="3" s="1"/>
  <c r="CN67" i="2"/>
  <c r="CO67" i="2" s="1"/>
  <c r="CM66" i="2"/>
  <c r="BV20" i="3"/>
  <c r="BW20" i="3" s="1"/>
  <c r="BU19" i="3"/>
  <c r="CB60" i="3"/>
  <c r="CC60" i="3" s="1"/>
  <c r="CA59" i="3"/>
  <c r="CZ19" i="2"/>
  <c r="DA19" i="2" s="1"/>
  <c r="CY18" i="2"/>
  <c r="CG25" i="2"/>
  <c r="CH26" i="2"/>
  <c r="CI26" i="2" s="1"/>
  <c r="AW9" i="2"/>
  <c r="AX10" i="2"/>
  <c r="AY10" i="2" s="1"/>
  <c r="BD56" i="2"/>
  <c r="BE56" i="2" s="1"/>
  <c r="BC55" i="2"/>
  <c r="BP68" i="3"/>
  <c r="BQ68" i="3" s="1"/>
  <c r="CN67" i="3"/>
  <c r="CO67" i="3" s="1"/>
  <c r="CM66" i="3"/>
  <c r="CU49" i="2"/>
  <c r="CS48" i="2"/>
  <c r="BI26" i="3"/>
  <c r="BJ27" i="3"/>
  <c r="BK27" i="3" s="1"/>
  <c r="CS57" i="3"/>
  <c r="CU58" i="3"/>
  <c r="CU47" i="2"/>
  <c r="CS46" i="2"/>
  <c r="CN19" i="2"/>
  <c r="CO19" i="2" s="1"/>
  <c r="CM18" i="2"/>
  <c r="CG60" i="2"/>
  <c r="CH61" i="2"/>
  <c r="CI61" i="2" s="1"/>
  <c r="AW38" i="3"/>
  <c r="AX39" i="3"/>
  <c r="AY39" i="3" s="1"/>
  <c r="BD29" i="3"/>
  <c r="BE29" i="3" s="1"/>
  <c r="BC28" i="3"/>
  <c r="CA23" i="3"/>
  <c r="CB24" i="3"/>
  <c r="CC24" i="3" s="1"/>
  <c r="BP20" i="3"/>
  <c r="BQ20" i="3" s="1"/>
  <c r="BP54" i="2"/>
  <c r="BQ54" i="2" s="1"/>
  <c r="CY44" i="2"/>
  <c r="CZ45" i="2"/>
  <c r="DA45" i="2" s="1"/>
  <c r="CZ17" i="2"/>
  <c r="DA17" i="2" s="1"/>
  <c r="CY16" i="2"/>
  <c r="BP72" i="3"/>
  <c r="BQ72" i="3" s="1"/>
  <c r="CN61" i="3"/>
  <c r="CO61" i="3" s="1"/>
  <c r="CM60" i="3"/>
  <c r="BD72" i="2"/>
  <c r="BE72" i="2" s="1"/>
  <c r="BC71" i="2"/>
  <c r="BC33" i="3"/>
  <c r="BD34" i="3"/>
  <c r="BE34" i="3" s="1"/>
  <c r="AW31" i="2"/>
  <c r="AX32" i="2"/>
  <c r="AY32" i="2" s="1"/>
  <c r="BJ25" i="3"/>
  <c r="BK25" i="3" s="1"/>
  <c r="BI24" i="3"/>
  <c r="BI29" i="3"/>
  <c r="BJ30" i="3"/>
  <c r="BK30" i="3" s="1"/>
  <c r="BV37" i="3"/>
  <c r="BW37" i="3" s="1"/>
  <c r="BU36" i="3"/>
  <c r="CA14" i="2"/>
  <c r="CB15" i="2"/>
  <c r="CC15" i="2" s="1"/>
  <c r="CG52" i="3"/>
  <c r="CH53" i="3"/>
  <c r="CI53" i="3" s="1"/>
  <c r="BV35" i="3"/>
  <c r="BW35" i="3" s="1"/>
  <c r="BU34" i="3"/>
  <c r="CU50" i="2"/>
  <c r="CS49" i="2"/>
  <c r="BC42" i="3"/>
  <c r="BD43" i="3"/>
  <c r="BE43" i="3" s="1"/>
  <c r="CM56" i="2"/>
  <c r="CN57" i="2"/>
  <c r="CO57" i="2" s="1"/>
  <c r="BV42" i="2"/>
  <c r="BW42" i="2" s="1"/>
  <c r="BU41" i="2"/>
  <c r="BI43" i="2"/>
  <c r="BJ44" i="2"/>
  <c r="BK44" i="2" s="1"/>
  <c r="CM54" i="3"/>
  <c r="CN55" i="3"/>
  <c r="CO55" i="3" s="1"/>
  <c r="CA39" i="3"/>
  <c r="CB40" i="3"/>
  <c r="CC40" i="3" s="1"/>
  <c r="BI45" i="3"/>
  <c r="BJ46" i="3"/>
  <c r="BK46" i="3" s="1"/>
  <c r="CZ60" i="2"/>
  <c r="DA60" i="2" s="1"/>
  <c r="CY59" i="2"/>
  <c r="CH43" i="2"/>
  <c r="CI43" i="2" s="1"/>
  <c r="CG42" i="2"/>
  <c r="AW68" i="2"/>
  <c r="AX69" i="2"/>
  <c r="AY69" i="2" s="1"/>
  <c r="BC40" i="2"/>
  <c r="BD41" i="2"/>
  <c r="BE41" i="2" s="1"/>
  <c r="BP14" i="3"/>
  <c r="BQ14" i="3" s="1"/>
  <c r="BD71" i="3"/>
  <c r="BE71" i="3" s="1"/>
  <c r="BC70" i="3"/>
  <c r="CA58" i="3"/>
  <c r="CB59" i="3"/>
  <c r="CC59" i="3" s="1"/>
  <c r="BP45" i="2"/>
  <c r="BQ45" i="2" s="1"/>
  <c r="BI70" i="2"/>
  <c r="BJ71" i="2"/>
  <c r="BK71" i="2" s="1"/>
  <c r="CH12" i="2"/>
  <c r="CI12" i="2" s="1"/>
  <c r="CG11" i="2"/>
  <c r="AW37" i="2"/>
  <c r="AX38" i="2"/>
  <c r="AY38" i="2" s="1"/>
  <c r="AW67" i="3"/>
  <c r="AX68" i="3"/>
  <c r="AY68" i="3" s="1"/>
  <c r="BV60" i="3"/>
  <c r="BW60" i="3" s="1"/>
  <c r="BU59" i="3"/>
  <c r="CG66" i="3"/>
  <c r="CH67" i="3"/>
  <c r="CI67" i="3" s="1"/>
  <c r="CM64" i="3"/>
  <c r="CN65" i="3"/>
  <c r="CO65" i="3" s="1"/>
  <c r="BD73" i="3"/>
  <c r="BE73" i="3" s="1"/>
  <c r="BC72" i="3"/>
  <c r="BC13" i="3"/>
  <c r="BD14" i="3"/>
  <c r="BE14" i="3" s="1"/>
  <c r="BD62" i="3"/>
  <c r="BE62" i="3" s="1"/>
  <c r="BC61" i="3"/>
  <c r="BV14" i="2"/>
  <c r="BW14" i="2" s="1"/>
  <c r="BU13" i="2"/>
  <c r="CH55" i="3"/>
  <c r="CI55" i="3" s="1"/>
  <c r="CG54" i="3"/>
  <c r="CH69" i="3"/>
  <c r="CI69" i="3" s="1"/>
  <c r="CG68" i="3"/>
  <c r="CZ31" i="3"/>
  <c r="DA31" i="3" s="1"/>
  <c r="CY30" i="3"/>
  <c r="BD44" i="3"/>
  <c r="BE44" i="3" s="1"/>
  <c r="BC43" i="3"/>
  <c r="CM37" i="2"/>
  <c r="CN38" i="2"/>
  <c r="CO38" i="2" s="1"/>
  <c r="CZ50" i="2"/>
  <c r="DA50" i="2" s="1"/>
  <c r="CY49" i="2"/>
  <c r="CH25" i="2"/>
  <c r="CI25" i="2" s="1"/>
  <c r="CG24" i="2"/>
  <c r="CH39" i="2"/>
  <c r="CI39" i="2" s="1"/>
  <c r="CG38" i="2"/>
  <c r="AW64" i="2"/>
  <c r="AX65" i="2"/>
  <c r="AY65" i="2" s="1"/>
  <c r="CS34" i="3"/>
  <c r="CU35" i="3"/>
  <c r="BP20" i="2"/>
  <c r="BQ20" i="2" s="1"/>
  <c r="CS72" i="2"/>
  <c r="CU73" i="2"/>
  <c r="BV65" i="2"/>
  <c r="BW65" i="2" s="1"/>
  <c r="BU64" i="2"/>
  <c r="BV44" i="2"/>
  <c r="BW44" i="2" s="1"/>
  <c r="BU43" i="2"/>
  <c r="BJ62" i="2"/>
  <c r="BK62" i="2" s="1"/>
  <c r="BI61" i="2"/>
  <c r="CU19" i="2"/>
  <c r="CS18" i="2"/>
  <c r="BD37" i="2"/>
  <c r="BE37" i="2" s="1"/>
  <c r="BC36" i="2"/>
  <c r="BP49" i="2"/>
  <c r="BQ49" i="2" s="1"/>
  <c r="AW11" i="3"/>
  <c r="AX12" i="3"/>
  <c r="AY12" i="3" s="1"/>
  <c r="CU66" i="3"/>
  <c r="CS65" i="3"/>
  <c r="CU9" i="3"/>
  <c r="CS8" i="3"/>
  <c r="CG34" i="3"/>
  <c r="CH35" i="3"/>
  <c r="CI35" i="3" s="1"/>
  <c r="CB19" i="3"/>
  <c r="CC19" i="3" s="1"/>
  <c r="CA18" i="3"/>
  <c r="BC14" i="2"/>
  <c r="BD15" i="2"/>
  <c r="BE15" i="2" s="1"/>
  <c r="BP27" i="2"/>
  <c r="BQ27" i="2" s="1"/>
  <c r="CA37" i="2"/>
  <c r="CB38" i="2"/>
  <c r="CC38" i="2" s="1"/>
  <c r="CS73" i="3"/>
  <c r="CU74" i="3"/>
  <c r="BP56" i="3"/>
  <c r="BQ56" i="3" s="1"/>
  <c r="CH58" i="3"/>
  <c r="CI58" i="3" s="1"/>
  <c r="CG57" i="3"/>
  <c r="CB45" i="2"/>
  <c r="CC45" i="2" s="1"/>
  <c r="CA44" i="2"/>
  <c r="CU52" i="2"/>
  <c r="CS51" i="2"/>
  <c r="CM40" i="3"/>
  <c r="CN41" i="3"/>
  <c r="CO41" i="3" s="1"/>
  <c r="CM24" i="3"/>
  <c r="CN25" i="3"/>
  <c r="CO25" i="3" s="1"/>
  <c r="CY73" i="2"/>
  <c r="CZ74" i="2"/>
  <c r="DA74" i="2" s="1"/>
  <c r="BV21" i="2"/>
  <c r="BW21" i="2" s="1"/>
  <c r="BU20" i="2"/>
  <c r="CG9" i="3"/>
  <c r="CH10" i="3"/>
  <c r="CI10" i="3" s="1"/>
  <c r="CS71" i="3"/>
  <c r="CU72" i="3"/>
  <c r="CZ57" i="2"/>
  <c r="DA57" i="2" s="1"/>
  <c r="CY56" i="2"/>
  <c r="CB52" i="2"/>
  <c r="CC52" i="2" s="1"/>
  <c r="CA51" i="2"/>
  <c r="CY41" i="2"/>
  <c r="CZ42" i="2"/>
  <c r="DA42" i="2" s="1"/>
  <c r="CY48" i="2"/>
  <c r="CZ49" i="2"/>
  <c r="DA49" i="2" s="1"/>
  <c r="BP61" i="2"/>
  <c r="BQ61" i="2" s="1"/>
  <c r="CH45" i="2"/>
  <c r="CI45" i="2" s="1"/>
  <c r="CG44" i="2"/>
  <c r="AW17" i="2"/>
  <c r="AX18" i="2"/>
  <c r="AY18" i="2" s="1"/>
  <c r="BP47" i="2"/>
  <c r="BQ47" i="2" s="1"/>
  <c r="BJ14" i="3"/>
  <c r="BK14" i="3" s="1"/>
  <c r="BI13" i="3"/>
  <c r="CB29" i="3"/>
  <c r="CC29" i="3" s="1"/>
  <c r="CA28" i="3"/>
  <c r="CH44" i="3"/>
  <c r="CI44" i="3" s="1"/>
  <c r="CG43" i="3"/>
  <c r="CA72" i="3"/>
  <c r="CB73" i="3"/>
  <c r="CC73" i="3" s="1"/>
  <c r="CG17" i="3"/>
  <c r="CH18" i="3"/>
  <c r="CI18" i="3" s="1"/>
  <c r="CS47" i="3"/>
  <c r="CU48" i="3"/>
  <c r="BD72" i="3"/>
  <c r="BE72" i="3" s="1"/>
  <c r="BC71" i="3"/>
  <c r="AW33" i="3"/>
  <c r="AX34" i="3"/>
  <c r="AY34" i="3" s="1"/>
  <c r="CB64" i="3"/>
  <c r="CC64" i="3" s="1"/>
  <c r="CA63" i="3"/>
  <c r="CM24" i="2"/>
  <c r="CN25" i="2"/>
  <c r="CO25" i="2" s="1"/>
  <c r="CY69" i="2"/>
  <c r="CZ70" i="2"/>
  <c r="DA70" i="2" s="1"/>
  <c r="BJ35" i="2"/>
  <c r="BK35" i="2" s="1"/>
  <c r="BI34" i="2"/>
  <c r="CB63" i="3"/>
  <c r="CC63" i="3" s="1"/>
  <c r="CA62" i="3"/>
  <c r="BP19" i="2"/>
  <c r="BQ19" i="2" s="1"/>
  <c r="CM42" i="2"/>
  <c r="CN43" i="2"/>
  <c r="CO43" i="2" s="1"/>
  <c r="CZ17" i="3"/>
  <c r="DA17" i="3" s="1"/>
  <c r="CY16" i="3"/>
  <c r="CH9" i="2"/>
  <c r="CI9" i="2" s="1"/>
  <c r="CG8" i="2"/>
  <c r="CB12" i="2"/>
  <c r="CC12" i="2" s="1"/>
  <c r="CA11" i="2"/>
  <c r="CB9" i="2"/>
  <c r="CC9" i="2" s="1"/>
  <c r="CA8" i="2"/>
  <c r="CH33" i="2"/>
  <c r="CI33" i="2" s="1"/>
  <c r="CG32" i="2"/>
  <c r="BV31" i="2"/>
  <c r="BW31" i="2" s="1"/>
  <c r="BU30" i="2"/>
  <c r="BJ33" i="2"/>
  <c r="BK33" i="2" s="1"/>
  <c r="BI32" i="2"/>
  <c r="BC30" i="2"/>
  <c r="BD31" i="2"/>
  <c r="BE31" i="2" s="1"/>
  <c r="BC28" i="2"/>
  <c r="BD29" i="2"/>
  <c r="BE29" i="2" s="1"/>
  <c r="CN13" i="3"/>
  <c r="CO13" i="3" s="1"/>
  <c r="CM12" i="3"/>
  <c r="CS12" i="3"/>
  <c r="CU13" i="3"/>
  <c r="BV29" i="3"/>
  <c r="BW29" i="3" s="1"/>
  <c r="BU28" i="3"/>
  <c r="CZ72" i="3"/>
  <c r="DA72" i="3" s="1"/>
  <c r="CY71" i="3"/>
  <c r="BP18" i="3"/>
  <c r="BQ18" i="3" s="1"/>
  <c r="BD28" i="3"/>
  <c r="BE28" i="3" s="1"/>
  <c r="BC27" i="3"/>
  <c r="BV41" i="3"/>
  <c r="BW41" i="3" s="1"/>
  <c r="BU40" i="3"/>
  <c r="BD19" i="3"/>
  <c r="BE19" i="3" s="1"/>
  <c r="BC18" i="3"/>
  <c r="AW57" i="3"/>
  <c r="AX58" i="3"/>
  <c r="AY58" i="3" s="1"/>
  <c r="BJ71" i="3"/>
  <c r="BK71" i="3" s="1"/>
  <c r="BI70" i="3"/>
  <c r="BV42" i="3"/>
  <c r="BW42" i="3" s="1"/>
  <c r="BU41" i="3"/>
  <c r="AW73" i="3"/>
  <c r="AX74" i="3"/>
  <c r="AY74" i="3" s="1"/>
  <c r="BP16" i="2"/>
  <c r="BQ16" i="2" s="1"/>
  <c r="CU67" i="2"/>
  <c r="CS66" i="2"/>
  <c r="CG10" i="2"/>
  <c r="CH11" i="2"/>
  <c r="CI11" i="2" s="1"/>
  <c r="BP62" i="2"/>
  <c r="BQ62" i="2" s="1"/>
  <c r="BD60" i="2"/>
  <c r="BE60" i="2" s="1"/>
  <c r="BC59" i="2"/>
  <c r="CY20" i="2"/>
  <c r="CZ21" i="2"/>
  <c r="DA21" i="2" s="1"/>
  <c r="BI71" i="2"/>
  <c r="BJ72" i="2"/>
  <c r="BK72" i="2" s="1"/>
  <c r="BP36" i="2"/>
  <c r="BQ36" i="2" s="1"/>
  <c r="AW50" i="3"/>
  <c r="AX51" i="3"/>
  <c r="AY51" i="3" s="1"/>
  <c r="BJ22" i="3"/>
  <c r="BK22" i="3" s="1"/>
  <c r="BI21" i="3"/>
  <c r="BJ62" i="3"/>
  <c r="BK62" i="3" s="1"/>
  <c r="BI61" i="3"/>
  <c r="CU70" i="3"/>
  <c r="CS69" i="3"/>
  <c r="CH23" i="3"/>
  <c r="CI23" i="3" s="1"/>
  <c r="CG22" i="3"/>
  <c r="CA69" i="3"/>
  <c r="CB70" i="3"/>
  <c r="CC70" i="3" s="1"/>
  <c r="CA67" i="3"/>
  <c r="CB68" i="3"/>
  <c r="CC68" i="3" s="1"/>
  <c r="CG40" i="3"/>
  <c r="CH41" i="3"/>
  <c r="CI41" i="3" s="1"/>
  <c r="CH72" i="3"/>
  <c r="CI72" i="3" s="1"/>
  <c r="CG71" i="3"/>
  <c r="AW72" i="3"/>
  <c r="AX73" i="3"/>
  <c r="AY73" i="3" s="1"/>
  <c r="BJ18" i="3"/>
  <c r="BK18" i="3" s="1"/>
  <c r="BI17" i="3"/>
  <c r="BI38" i="2"/>
  <c r="BJ39" i="2"/>
  <c r="BK39" i="2" s="1"/>
  <c r="BJ67" i="2"/>
  <c r="BK67" i="2" s="1"/>
  <c r="BI66" i="2"/>
  <c r="AW23" i="3"/>
  <c r="AX24" i="3"/>
  <c r="AY24" i="3" s="1"/>
  <c r="BV30" i="2"/>
  <c r="BW30" i="2" s="1"/>
  <c r="BU29" i="2"/>
  <c r="CU20" i="3"/>
  <c r="CS19" i="3"/>
  <c r="CZ12" i="2"/>
  <c r="DA12" i="2" s="1"/>
  <c r="CY11" i="2"/>
  <c r="CH27" i="2"/>
  <c r="CI27" i="2" s="1"/>
  <c r="CG26" i="2"/>
  <c r="CY31" i="2"/>
  <c r="CZ32" i="2"/>
  <c r="DA32" i="2" s="1"/>
  <c r="CB33" i="3"/>
  <c r="CC33" i="3" s="1"/>
  <c r="CA32" i="3"/>
  <c r="CZ39" i="3"/>
  <c r="DA39" i="3" s="1"/>
  <c r="CY38" i="3"/>
  <c r="BV41" i="2"/>
  <c r="BW41" i="2" s="1"/>
  <c r="BU40" i="2"/>
  <c r="BP9" i="3"/>
  <c r="BQ9" i="3" s="1"/>
  <c r="CS29" i="3"/>
  <c r="CU30" i="3"/>
  <c r="BI22" i="3"/>
  <c r="BJ23" i="3"/>
  <c r="BK23" i="3" s="1"/>
  <c r="BI39" i="3"/>
  <c r="BJ40" i="3"/>
  <c r="BK40" i="3" s="1"/>
  <c r="BV62" i="2"/>
  <c r="BW62" i="2" s="1"/>
  <c r="BU61" i="2"/>
  <c r="CB36" i="2"/>
  <c r="CC36" i="2" s="1"/>
  <c r="CA35" i="2"/>
  <c r="BV53" i="2"/>
  <c r="BW53" i="2" s="1"/>
  <c r="BU52" i="2"/>
  <c r="BP28" i="2"/>
  <c r="BQ28" i="2" s="1"/>
  <c r="CB53" i="2"/>
  <c r="CC53" i="2" s="1"/>
  <c r="CA52" i="2"/>
  <c r="BC8" i="2"/>
  <c r="BD9" i="2"/>
  <c r="BE9" i="2" s="1"/>
  <c r="BU71" i="2"/>
  <c r="BV72" i="2"/>
  <c r="BW72" i="2" s="1"/>
  <c r="BD22" i="2"/>
  <c r="BE22" i="2" s="1"/>
  <c r="BC21" i="2"/>
  <c r="CZ47" i="3"/>
  <c r="DA47" i="3" s="1"/>
  <c r="CY46" i="3"/>
  <c r="CH56" i="3"/>
  <c r="CI56" i="3" s="1"/>
  <c r="CG55" i="3"/>
  <c r="BP59" i="3"/>
  <c r="BQ59" i="3" s="1"/>
  <c r="BI37" i="3"/>
  <c r="BJ38" i="3"/>
  <c r="BK38" i="3" s="1"/>
  <c r="CS34" i="2"/>
  <c r="CU35" i="2"/>
  <c r="BP55" i="2"/>
  <c r="BQ55" i="2" s="1"/>
  <c r="CZ16" i="2"/>
  <c r="DA16" i="2" s="1"/>
  <c r="CY15" i="2"/>
  <c r="CS65" i="2"/>
  <c r="CU66" i="2"/>
  <c r="CB49" i="2"/>
  <c r="CC49" i="2" s="1"/>
  <c r="CA48" i="2"/>
  <c r="CN48" i="2"/>
  <c r="CO48" i="2" s="1"/>
  <c r="CM47" i="2"/>
  <c r="BJ69" i="2"/>
  <c r="BK69" i="2" s="1"/>
  <c r="BI68" i="2"/>
  <c r="AW56" i="2"/>
  <c r="AX57" i="2"/>
  <c r="AY57" i="2" s="1"/>
  <c r="BJ29" i="3"/>
  <c r="BK29" i="3" s="1"/>
  <c r="BI28" i="3"/>
  <c r="BP64" i="3"/>
  <c r="BQ64" i="3" s="1"/>
  <c r="CS39" i="3"/>
  <c r="CU40" i="3"/>
  <c r="CB51" i="3"/>
  <c r="CC51" i="3" s="1"/>
  <c r="CA50" i="3"/>
  <c r="CU37" i="2"/>
  <c r="CS36" i="2"/>
  <c r="CB61" i="3"/>
  <c r="CC61" i="3" s="1"/>
  <c r="CA60" i="3"/>
  <c r="CZ60" i="3"/>
  <c r="DA60" i="3" s="1"/>
  <c r="CY59" i="3"/>
  <c r="CB8" i="3"/>
  <c r="CC8" i="3" s="1"/>
  <c r="CA7" i="3"/>
  <c r="BZ75" i="3"/>
  <c r="BZ76" i="3" s="1"/>
  <c r="CZ34" i="2"/>
  <c r="DA34" i="2" s="1"/>
  <c r="CY33" i="2"/>
  <c r="BV66" i="2"/>
  <c r="BW66" i="2" s="1"/>
  <c r="BU65" i="2"/>
  <c r="BD46" i="2"/>
  <c r="BE46" i="2" s="1"/>
  <c r="BC45" i="2"/>
  <c r="BJ47" i="3"/>
  <c r="BK47" i="3" s="1"/>
  <c r="BI46" i="3"/>
  <c r="CZ34" i="3"/>
  <c r="DA34" i="3" s="1"/>
  <c r="CY33" i="3"/>
  <c r="BP73" i="2"/>
  <c r="BQ73" i="2" s="1"/>
  <c r="CS29" i="2"/>
  <c r="CU30" i="2"/>
  <c r="BJ23" i="2"/>
  <c r="BK23" i="2" s="1"/>
  <c r="BI22" i="2"/>
  <c r="CY53" i="2"/>
  <c r="CZ54" i="2"/>
  <c r="DA54" i="2" s="1"/>
  <c r="BJ34" i="3"/>
  <c r="BK34" i="3" s="1"/>
  <c r="BI33" i="3"/>
  <c r="CS63" i="2"/>
  <c r="CU64" i="2"/>
  <c r="CY13" i="2"/>
  <c r="CZ14" i="2"/>
  <c r="DA14" i="2" s="1"/>
  <c r="CG61" i="2"/>
  <c r="CH62" i="2"/>
  <c r="CI62" i="2" s="1"/>
  <c r="BI55" i="2"/>
  <c r="BJ56" i="2"/>
  <c r="BK56" i="2" s="1"/>
  <c r="CU54" i="3"/>
  <c r="CS53" i="3"/>
  <c r="CZ36" i="2"/>
  <c r="DA36" i="2" s="1"/>
  <c r="CY35" i="2"/>
  <c r="CY61" i="3"/>
  <c r="CZ62" i="3"/>
  <c r="DA62" i="3" s="1"/>
  <c r="BI40" i="3"/>
  <c r="BJ41" i="3"/>
  <c r="BK41" i="3" s="1"/>
  <c r="CB32" i="2"/>
  <c r="CC32" i="2" s="1"/>
  <c r="CA31" i="2"/>
  <c r="BI23" i="3"/>
  <c r="BJ24" i="3"/>
  <c r="BK24" i="3" s="1"/>
  <c r="CM63" i="2"/>
  <c r="CN64" i="2"/>
  <c r="CO64" i="2" s="1"/>
  <c r="CH22" i="2"/>
  <c r="CI22" i="2" s="1"/>
  <c r="CG21" i="2"/>
  <c r="CS25" i="3"/>
  <c r="CU26" i="3"/>
  <c r="BV69" i="2"/>
  <c r="BW69" i="2" s="1"/>
  <c r="BU68" i="2"/>
  <c r="BC38" i="2"/>
  <c r="BD39" i="2"/>
  <c r="BE39" i="2" s="1"/>
  <c r="CA9" i="2"/>
  <c r="CB10" i="2"/>
  <c r="CC10" i="2" s="1"/>
  <c r="CY54" i="3"/>
  <c r="CZ55" i="3"/>
  <c r="DA55" i="3" s="1"/>
  <c r="CG48" i="3"/>
  <c r="CH49" i="3"/>
  <c r="CI49" i="3" s="1"/>
  <c r="BD18" i="3"/>
  <c r="BE18" i="3" s="1"/>
  <c r="BC17" i="3"/>
  <c r="BP37" i="3"/>
  <c r="BQ37" i="3" s="1"/>
  <c r="BP50" i="3"/>
  <c r="BQ50" i="3" s="1"/>
  <c r="CA26" i="2"/>
  <c r="CB27" i="2"/>
  <c r="CC27" i="2" s="1"/>
  <c r="CH46" i="3"/>
  <c r="CI46" i="3" s="1"/>
  <c r="CG45" i="3"/>
  <c r="CH20" i="2"/>
  <c r="CI20" i="2" s="1"/>
  <c r="CG19" i="2"/>
  <c r="CN41" i="2"/>
  <c r="CO41" i="2" s="1"/>
  <c r="CM40" i="2"/>
  <c r="AX67" i="2"/>
  <c r="AY67" i="2" s="1"/>
  <c r="AW66" i="2"/>
  <c r="AW15" i="2"/>
  <c r="AX16" i="2"/>
  <c r="AY16" i="2" s="1"/>
  <c r="CM52" i="3"/>
  <c r="CN53" i="3"/>
  <c r="CO53" i="3" s="1"/>
  <c r="BV61" i="3"/>
  <c r="BW61" i="3" s="1"/>
  <c r="BU60" i="3"/>
  <c r="AW68" i="3"/>
  <c r="AX69" i="3"/>
  <c r="AY69" i="3" s="1"/>
  <c r="BD23" i="3"/>
  <c r="BE23" i="3" s="1"/>
  <c r="BC22" i="3"/>
  <c r="CY27" i="3"/>
  <c r="CZ28" i="3"/>
  <c r="DA28" i="3" s="1"/>
  <c r="CG37" i="2"/>
  <c r="CH38" i="2"/>
  <c r="CI38" i="2" s="1"/>
  <c r="CM21" i="2"/>
  <c r="CN22" i="2"/>
  <c r="CO22" i="2" s="1"/>
  <c r="CY35" i="3"/>
  <c r="CZ36" i="3"/>
  <c r="DA36" i="3" s="1"/>
  <c r="CZ64" i="2"/>
  <c r="DA64" i="2" s="1"/>
  <c r="CY63" i="2"/>
  <c r="CB62" i="3"/>
  <c r="CC62" i="3" s="1"/>
  <c r="CA61" i="3"/>
  <c r="CM54" i="2"/>
  <c r="CN55" i="2"/>
  <c r="CO55" i="2" s="1"/>
  <c r="BU57" i="2"/>
  <c r="BV58" i="2"/>
  <c r="BW58" i="2" s="1"/>
  <c r="AW11" i="2"/>
  <c r="AX12" i="2"/>
  <c r="AY12" i="2" s="1"/>
  <c r="BU66" i="2"/>
  <c r="BV67" i="2"/>
  <c r="BW67" i="2" s="1"/>
  <c r="CA38" i="3"/>
  <c r="CB39" i="3"/>
  <c r="CC39" i="3" s="1"/>
  <c r="CN27" i="3"/>
  <c r="CO27" i="3" s="1"/>
  <c r="CM26" i="3"/>
  <c r="BP29" i="3"/>
  <c r="BQ29" i="3" s="1"/>
  <c r="BP22" i="2"/>
  <c r="BQ22" i="2" s="1"/>
  <c r="CB20" i="2"/>
  <c r="CC20" i="2" s="1"/>
  <c r="CA19" i="2"/>
  <c r="AW28" i="2"/>
  <c r="AX29" i="2"/>
  <c r="AY29" i="2" s="1"/>
  <c r="CU17" i="3"/>
  <c r="CS16" i="3"/>
  <c r="CN46" i="3"/>
  <c r="CO46" i="3" s="1"/>
  <c r="CM45" i="3"/>
  <c r="BV68" i="3"/>
  <c r="BW68" i="3" s="1"/>
  <c r="BU67" i="3"/>
  <c r="CA70" i="3"/>
  <c r="CB71" i="3"/>
  <c r="CC71" i="3" s="1"/>
  <c r="CA53" i="2"/>
  <c r="CB54" i="2"/>
  <c r="CC54" i="2" s="1"/>
  <c r="BP44" i="2"/>
  <c r="BQ44" i="2" s="1"/>
  <c r="CY45" i="2"/>
  <c r="CZ46" i="2"/>
  <c r="DA46" i="2" s="1"/>
  <c r="CA64" i="2"/>
  <c r="CB65" i="2"/>
  <c r="CC65" i="2" s="1"/>
  <c r="CM45" i="2"/>
  <c r="CN46" i="2"/>
  <c r="CO46" i="2" s="1"/>
  <c r="CZ26" i="2"/>
  <c r="DA26" i="2" s="1"/>
  <c r="CY25" i="2"/>
  <c r="BU22" i="2"/>
  <c r="BV23" i="2"/>
  <c r="BW23" i="2" s="1"/>
  <c r="CY66" i="2"/>
  <c r="CZ67" i="2"/>
  <c r="DA67" i="2" s="1"/>
  <c r="CH65" i="2"/>
  <c r="CI65" i="2" s="1"/>
  <c r="CG64" i="2"/>
  <c r="BP69" i="3"/>
  <c r="BQ69" i="3" s="1"/>
  <c r="BV56" i="3"/>
  <c r="BW56" i="3" s="1"/>
  <c r="BU55" i="3"/>
  <c r="BJ69" i="3"/>
  <c r="BK69" i="3" s="1"/>
  <c r="BI68" i="3"/>
  <c r="BD69" i="3"/>
  <c r="BE69" i="3" s="1"/>
  <c r="BC68" i="3"/>
  <c r="CM35" i="3"/>
  <c r="CN36" i="3"/>
  <c r="CO36" i="3" s="1"/>
  <c r="BP43" i="3"/>
  <c r="BQ43" i="3" s="1"/>
  <c r="CM47" i="3"/>
  <c r="CN48" i="3"/>
  <c r="CO48" i="3" s="1"/>
  <c r="CB11" i="3"/>
  <c r="CC11" i="3" s="1"/>
  <c r="CA10" i="3"/>
  <c r="CM68" i="2"/>
  <c r="CN69" i="2"/>
  <c r="CO69" i="2" s="1"/>
  <c r="BC70" i="2"/>
  <c r="BD71" i="2"/>
  <c r="BE71" i="2" s="1"/>
  <c r="AW73" i="2"/>
  <c r="AX74" i="2"/>
  <c r="AY74" i="2" s="1"/>
  <c r="CM29" i="3"/>
  <c r="CN30" i="3"/>
  <c r="CO30" i="3" s="1"/>
  <c r="CG21" i="3"/>
  <c r="CH22" i="3"/>
  <c r="CI22" i="3" s="1"/>
  <c r="BP69" i="2"/>
  <c r="BQ69" i="2" s="1"/>
  <c r="CL75" i="2"/>
  <c r="CL76" i="2" s="1"/>
  <c r="CZ51" i="2"/>
  <c r="DA51" i="2" s="1"/>
  <c r="CY50" i="2"/>
  <c r="BU25" i="2"/>
  <c r="BV26" i="2"/>
  <c r="BW26" i="2" s="1"/>
  <c r="CU11" i="3"/>
  <c r="CS10" i="3"/>
  <c r="CM73" i="3"/>
  <c r="CN74" i="3"/>
  <c r="CO74" i="3" s="1"/>
  <c r="CZ28" i="2"/>
  <c r="DA28" i="2" s="1"/>
  <c r="CY27" i="2"/>
  <c r="AW65" i="2"/>
  <c r="AX66" i="2"/>
  <c r="AY66" i="2" s="1"/>
  <c r="BP21" i="2"/>
  <c r="BQ21" i="2" s="1"/>
  <c r="BJ12" i="2"/>
  <c r="BK12" i="2" s="1"/>
  <c r="BI11" i="2"/>
  <c r="CY7" i="2"/>
  <c r="CZ8" i="2"/>
  <c r="CX75" i="2"/>
  <c r="AW60" i="2"/>
  <c r="AX61" i="2"/>
  <c r="AY61" i="2" s="1"/>
  <c r="CU13" i="2"/>
  <c r="CS12" i="2"/>
  <c r="AW57" i="2"/>
  <c r="AX58" i="2"/>
  <c r="AY58" i="2" s="1"/>
  <c r="BC35" i="2"/>
  <c r="BD36" i="2"/>
  <c r="BE36" i="2" s="1"/>
  <c r="CG25" i="3"/>
  <c r="CH26" i="3"/>
  <c r="CI26" i="3" s="1"/>
  <c r="CS56" i="3"/>
  <c r="CU57" i="3"/>
  <c r="CN8" i="3"/>
  <c r="CM7" i="3"/>
  <c r="CL75" i="3"/>
  <c r="CL76" i="3" s="1"/>
  <c r="CG38" i="3"/>
  <c r="CH39" i="3"/>
  <c r="CI39" i="3" s="1"/>
  <c r="CB56" i="3"/>
  <c r="CC56" i="3" s="1"/>
  <c r="CA55" i="3"/>
  <c r="BD19" i="2"/>
  <c r="BE19" i="2" s="1"/>
  <c r="BC18" i="2"/>
  <c r="CY61" i="2"/>
  <c r="CZ62" i="2"/>
  <c r="DA62" i="2" s="1"/>
  <c r="CA9" i="3"/>
  <c r="CB10" i="3"/>
  <c r="CC10" i="3" s="1"/>
  <c r="BV15" i="3"/>
  <c r="BW15" i="3" s="1"/>
  <c r="BU14" i="3"/>
  <c r="BP57" i="3"/>
  <c r="BQ57" i="3" s="1"/>
  <c r="CZ73" i="2"/>
  <c r="DA73" i="2" s="1"/>
  <c r="CY72" i="2"/>
  <c r="BP31" i="2"/>
  <c r="BQ31" i="2" s="1"/>
  <c r="BP11" i="2"/>
  <c r="BQ11" i="2" s="1"/>
  <c r="CZ63" i="2"/>
  <c r="DA63" i="2" s="1"/>
  <c r="CY62" i="2"/>
  <c r="CM39" i="3"/>
  <c r="CN40" i="3"/>
  <c r="CO40" i="3" s="1"/>
  <c r="CN24" i="3"/>
  <c r="CO24" i="3" s="1"/>
  <c r="CM23" i="3"/>
  <c r="BP66" i="2"/>
  <c r="BQ66" i="2" s="1"/>
  <c r="CU45" i="2"/>
  <c r="CS44" i="2"/>
  <c r="BV12" i="3"/>
  <c r="BW12" i="3" s="1"/>
  <c r="BU11" i="3"/>
  <c r="AW48" i="3"/>
  <c r="AX49" i="3"/>
  <c r="AY49" i="3" s="1"/>
  <c r="CN72" i="3"/>
  <c r="CO72" i="3" s="1"/>
  <c r="CM71" i="3"/>
  <c r="CZ56" i="2"/>
  <c r="DA56" i="2" s="1"/>
  <c r="CY55" i="2"/>
  <c r="CZ43" i="2"/>
  <c r="DA43" i="2" s="1"/>
  <c r="CY42" i="2"/>
  <c r="CY51" i="2"/>
  <c r="CZ52" i="2"/>
  <c r="DA52" i="2" s="1"/>
  <c r="BP60" i="2"/>
  <c r="BQ60" i="2" s="1"/>
  <c r="AW13" i="2"/>
  <c r="AX14" i="2"/>
  <c r="AY14" i="2" s="1"/>
  <c r="BI69" i="2"/>
  <c r="BJ70" i="2"/>
  <c r="BK70" i="2" s="1"/>
  <c r="BP46" i="2"/>
  <c r="BQ46" i="2" s="1"/>
  <c r="BD45" i="2"/>
  <c r="BE45" i="2" s="1"/>
  <c r="BC44" i="2"/>
  <c r="CG72" i="3"/>
  <c r="CH73" i="3"/>
  <c r="CI73" i="3" s="1"/>
  <c r="CB26" i="3"/>
  <c r="CC26" i="3" s="1"/>
  <c r="CA25" i="3"/>
  <c r="BC69" i="3"/>
  <c r="BD70" i="3"/>
  <c r="BE70" i="3" s="1"/>
  <c r="AW32" i="3"/>
  <c r="AX33" i="3"/>
  <c r="AY33" i="3" s="1"/>
  <c r="AW65" i="3"/>
  <c r="AX66" i="3"/>
  <c r="AY66" i="3" s="1"/>
  <c r="BP30" i="3"/>
  <c r="BQ30" i="3" s="1"/>
  <c r="AW34" i="3"/>
  <c r="AX35" i="3"/>
  <c r="AY35" i="3" s="1"/>
  <c r="BI16" i="3"/>
  <c r="BJ17" i="3"/>
  <c r="BK17" i="3" s="1"/>
  <c r="BJ65" i="2"/>
  <c r="BK65" i="2" s="1"/>
  <c r="BI64" i="2"/>
  <c r="CH49" i="2"/>
  <c r="CI49" i="2" s="1"/>
  <c r="CG48" i="2"/>
  <c r="BI33" i="2"/>
  <c r="BJ34" i="2"/>
  <c r="BK34" i="2" s="1"/>
  <c r="CU56" i="2"/>
  <c r="CS55" i="2"/>
  <c r="BV70" i="3"/>
  <c r="BW70" i="3" s="1"/>
  <c r="BU69" i="3"/>
  <c r="BI73" i="3"/>
  <c r="BJ74" i="3"/>
  <c r="BK74" i="3" s="1"/>
  <c r="BP15" i="3"/>
  <c r="BQ15" i="3" s="1"/>
  <c r="BD26" i="3"/>
  <c r="BE26" i="3" s="1"/>
  <c r="BC25" i="3"/>
  <c r="BP18" i="2"/>
  <c r="BQ18" i="2" s="1"/>
  <c r="BI37" i="2"/>
  <c r="BJ38" i="2"/>
  <c r="BK38" i="2" s="1"/>
  <c r="CG63" i="3"/>
  <c r="CH64" i="3"/>
  <c r="CI64" i="3" s="1"/>
  <c r="CA48" i="3"/>
  <c r="CB49" i="3"/>
  <c r="CC49" i="3" s="1"/>
  <c r="CB14" i="3"/>
  <c r="CC14" i="3" s="1"/>
  <c r="CA13" i="3"/>
  <c r="CG7" i="2"/>
  <c r="CH8" i="2"/>
  <c r="CF75" i="2"/>
  <c r="CF76" i="2" s="1"/>
  <c r="BI16" i="2"/>
  <c r="BJ17" i="2"/>
  <c r="BK17" i="2" s="1"/>
  <c r="CA7" i="2"/>
  <c r="CB8" i="2"/>
  <c r="CC8" i="2" s="1"/>
  <c r="BP8" i="2"/>
  <c r="BQ8" i="2" s="1"/>
  <c r="BV32" i="2"/>
  <c r="BW32" i="2" s="1"/>
  <c r="BU31" i="2"/>
  <c r="BV60" i="2"/>
  <c r="BW60" i="2" s="1"/>
  <c r="BU59" i="2"/>
  <c r="CA73" i="2"/>
  <c r="CB74" i="2"/>
  <c r="CC74" i="2" s="1"/>
  <c r="BV29" i="2"/>
  <c r="BW29" i="2" s="1"/>
  <c r="BU28" i="2"/>
  <c r="CU59" i="2"/>
  <c r="CS58" i="2"/>
  <c r="BC52" i="2"/>
  <c r="BD53" i="2"/>
  <c r="BE53" i="2" s="1"/>
  <c r="CZ41" i="2"/>
  <c r="DA41" i="2" s="1"/>
  <c r="CY40" i="2"/>
  <c r="BD65" i="2"/>
  <c r="BE65" i="2" s="1"/>
  <c r="BC64" i="2"/>
  <c r="CM30" i="2"/>
  <c r="CN31" i="2"/>
  <c r="CO31" i="2" s="1"/>
  <c r="BI14" i="2"/>
  <c r="BJ15" i="2"/>
  <c r="BK15" i="2" s="1"/>
  <c r="AW37" i="3"/>
  <c r="AX38" i="3"/>
  <c r="AY38" i="3" s="1"/>
  <c r="CH8" i="3"/>
  <c r="CG7" i="3"/>
  <c r="CF75" i="3"/>
  <c r="CF76" i="3" s="1"/>
  <c r="BV22" i="3"/>
  <c r="BW22" i="3" s="1"/>
  <c r="BU21" i="3"/>
  <c r="CM14" i="3"/>
  <c r="CN15" i="3"/>
  <c r="CO15" i="3" s="1"/>
  <c r="BV40" i="3"/>
  <c r="BW40" i="3" s="1"/>
  <c r="BU39" i="3"/>
  <c r="BD20" i="3"/>
  <c r="BE20" i="3" s="1"/>
  <c r="BC19" i="3"/>
  <c r="AW58" i="3"/>
  <c r="AX59" i="3"/>
  <c r="AY59" i="3" s="1"/>
  <c r="CZ32" i="3"/>
  <c r="DA32" i="3" s="1"/>
  <c r="CY31" i="3"/>
  <c r="BV43" i="3"/>
  <c r="BW43" i="3" s="1"/>
  <c r="BU42" i="3"/>
  <c r="BP63" i="3"/>
  <c r="BQ63" i="3" s="1"/>
  <c r="BC7" i="2"/>
  <c r="BD8" i="2"/>
  <c r="BE8" i="2" s="1"/>
  <c r="CU11" i="2"/>
  <c r="CS10" i="2"/>
  <c r="CH71" i="2"/>
  <c r="CI71" i="2" s="1"/>
  <c r="CG70" i="2"/>
  <c r="CH10" i="2"/>
  <c r="CI10" i="2" s="1"/>
  <c r="CG9" i="2"/>
  <c r="CH53" i="2"/>
  <c r="CI53" i="2" s="1"/>
  <c r="CG52" i="2"/>
  <c r="CS61" i="2"/>
  <c r="CU62" i="2"/>
  <c r="CG18" i="3"/>
  <c r="CH19" i="3"/>
  <c r="CI19" i="3" s="1"/>
  <c r="AW49" i="3"/>
  <c r="AX50" i="3"/>
  <c r="AY50" i="3" s="1"/>
  <c r="BI62" i="3"/>
  <c r="BJ63" i="3"/>
  <c r="BK63" i="3" s="1"/>
  <c r="BJ73" i="3"/>
  <c r="BK73" i="3" s="1"/>
  <c r="BI72" i="3"/>
  <c r="CZ37" i="3"/>
  <c r="DA37" i="3" s="1"/>
  <c r="CY36" i="3"/>
  <c r="CU69" i="3"/>
  <c r="CS68" i="3"/>
  <c r="CM69" i="3"/>
  <c r="CN70" i="3"/>
  <c r="CO70" i="3" s="1"/>
  <c r="CZ64" i="3"/>
  <c r="DA64" i="3" s="1"/>
  <c r="CY63" i="3"/>
  <c r="AW7" i="3"/>
  <c r="AV75" i="3"/>
  <c r="AX8" i="3"/>
  <c r="CU25" i="2"/>
  <c r="CS24" i="2"/>
  <c r="CZ31" i="2"/>
  <c r="DA31" i="2" s="1"/>
  <c r="CY30" i="2"/>
  <c r="BP23" i="3"/>
  <c r="BQ23" i="3" s="1"/>
  <c r="X54" i="6"/>
  <c r="AC84" i="4"/>
  <c r="AH84" i="4"/>
  <c r="BZ75" i="2"/>
  <c r="BZ76" i="2" s="1"/>
  <c r="O64" i="1"/>
  <c r="J65" i="1"/>
  <c r="AM84" i="4"/>
  <c r="AM64" i="8"/>
  <c r="AC64" i="8"/>
  <c r="AH64" i="8"/>
  <c r="AO54" i="6"/>
  <c r="AN54" i="6"/>
  <c r="AM54" i="6"/>
  <c r="AD54" i="6"/>
  <c r="AE7" i="6"/>
  <c r="AE54" i="6" s="1"/>
  <c r="AJ4" i="6"/>
  <c r="AJ54" i="6" s="1"/>
  <c r="AI54" i="6"/>
  <c r="AH54" i="6"/>
  <c r="AC54" i="6"/>
  <c r="AJ4" i="4"/>
  <c r="AJ84" i="4" s="1"/>
  <c r="AI84" i="4"/>
  <c r="AE4" i="4"/>
  <c r="AE84" i="4" s="1"/>
  <c r="AD84" i="4"/>
  <c r="Y84" i="4"/>
  <c r="Z4" i="4"/>
  <c r="Z84" i="4" s="1"/>
  <c r="AO4" i="4"/>
  <c r="AO84" i="4" s="1"/>
  <c r="AN84" i="4"/>
  <c r="X84" i="4"/>
  <c r="AI64" i="8"/>
  <c r="X64" i="8"/>
  <c r="Z64" i="8"/>
  <c r="AE64" i="8"/>
  <c r="AN64" i="8"/>
  <c r="AO64" i="8"/>
  <c r="AJ64" i="8"/>
  <c r="Y64" i="8"/>
  <c r="AD64" i="8"/>
  <c r="AN44" i="7"/>
  <c r="AI44" i="7"/>
  <c r="AH44" i="7"/>
  <c r="AC44" i="7"/>
  <c r="AM44" i="7"/>
  <c r="X44" i="7"/>
  <c r="AD44" i="7"/>
  <c r="Z44" i="7"/>
  <c r="Y44" i="7"/>
  <c r="K15" i="9" l="1"/>
  <c r="CM75" i="2"/>
  <c r="CM76" i="2" s="1"/>
  <c r="CY75" i="3"/>
  <c r="BK75" i="3"/>
  <c r="CI8" i="3"/>
  <c r="CI75" i="3" s="1"/>
  <c r="CI76" i="3" s="1"/>
  <c r="CH75" i="3"/>
  <c r="CH76" i="3" s="1"/>
  <c r="CM75" i="3"/>
  <c r="CM76" i="3" s="1"/>
  <c r="CY75" i="2"/>
  <c r="DA75" i="3"/>
  <c r="BO75" i="3"/>
  <c r="CU8" i="2"/>
  <c r="CU75" i="2" s="1"/>
  <c r="CU76" i="2" s="1"/>
  <c r="CT75" i="2"/>
  <c r="CT76" i="2" s="1"/>
  <c r="AW75" i="3"/>
  <c r="CO8" i="3"/>
  <c r="CO75" i="3" s="1"/>
  <c r="CO76" i="3" s="1"/>
  <c r="CN75" i="3"/>
  <c r="CN76" i="3" s="1"/>
  <c r="BJ75" i="3"/>
  <c r="BQ8" i="3"/>
  <c r="BQ75" i="3" s="1"/>
  <c r="BP75" i="3"/>
  <c r="BI75" i="3"/>
  <c r="CN75" i="2"/>
  <c r="CN76" i="2" s="1"/>
  <c r="CO75" i="2"/>
  <c r="CO76" i="2" s="1"/>
  <c r="BU75" i="3"/>
  <c r="BU76" i="3" s="1"/>
  <c r="T16" i="4"/>
  <c r="T17" i="4" s="1"/>
  <c r="BE8" i="3"/>
  <c r="BE75" i="3" s="1"/>
  <c r="BD75" i="3"/>
  <c r="CS75" i="3"/>
  <c r="CS76" i="3" s="1"/>
  <c r="BV75" i="3"/>
  <c r="BV76" i="3" s="1"/>
  <c r="BW8" i="3"/>
  <c r="BW75" i="3" s="1"/>
  <c r="BW76" i="3" s="1"/>
  <c r="CI8" i="2"/>
  <c r="CI75" i="2" s="1"/>
  <c r="CI76" i="2" s="1"/>
  <c r="CH75" i="2"/>
  <c r="CH76" i="2" s="1"/>
  <c r="CA75" i="3"/>
  <c r="CA76" i="3" s="1"/>
  <c r="BC75" i="3"/>
  <c r="CC75" i="3"/>
  <c r="CC76" i="3" s="1"/>
  <c r="CB75" i="3"/>
  <c r="CB76" i="3" s="1"/>
  <c r="AY8" i="3"/>
  <c r="AY75" i="3" s="1"/>
  <c r="AX75" i="3"/>
  <c r="CG75" i="3"/>
  <c r="CG76" i="3" s="1"/>
  <c r="CG75" i="2"/>
  <c r="CG76" i="2" s="1"/>
  <c r="DA8" i="2"/>
  <c r="DA75" i="2" s="1"/>
  <c r="CZ75" i="2"/>
  <c r="CZ75" i="3"/>
  <c r="CT75" i="3"/>
  <c r="CT76" i="3" s="1"/>
  <c r="CU8" i="3"/>
  <c r="CU75" i="3" s="1"/>
  <c r="CU76" i="3" s="1"/>
  <c r="CS75" i="2"/>
  <c r="CS76" i="2" s="1"/>
  <c r="T10" i="6"/>
  <c r="T11" i="6" s="1"/>
  <c r="T16" i="6"/>
  <c r="T17" i="6" s="1"/>
  <c r="CA75" i="2"/>
  <c r="CA76" i="2" s="1"/>
  <c r="CB75" i="2"/>
  <c r="CB76" i="2" s="1"/>
  <c r="T13" i="6"/>
  <c r="T14" i="6" s="1"/>
  <c r="T10" i="4"/>
  <c r="T11" i="4" s="1"/>
  <c r="T7" i="4"/>
  <c r="T8" i="4" s="1"/>
  <c r="T13" i="4"/>
  <c r="T14" i="4" s="1"/>
  <c r="T13" i="8"/>
  <c r="T14" i="8" s="1"/>
  <c r="T10" i="8"/>
  <c r="T7" i="8"/>
  <c r="T16" i="8"/>
  <c r="AJ44" i="7"/>
  <c r="T13" i="7" s="1"/>
  <c r="T14" i="7" s="1"/>
  <c r="AE44" i="7"/>
  <c r="T10" i="7" s="1"/>
  <c r="T11" i="7" s="1"/>
  <c r="T7" i="7"/>
  <c r="T8" i="7" s="1"/>
  <c r="AO44" i="7"/>
  <c r="T16" i="7" s="1"/>
  <c r="T17" i="7" s="1"/>
  <c r="Z54" i="6"/>
  <c r="CI77" i="2" l="1"/>
  <c r="CI77" i="3"/>
  <c r="L6" i="9"/>
  <c r="J6" i="9"/>
  <c r="J4" i="9"/>
  <c r="M4" i="9"/>
  <c r="K6" i="9"/>
  <c r="K4" i="9"/>
  <c r="M5" i="9"/>
  <c r="L5" i="9"/>
  <c r="K5" i="9"/>
  <c r="M6" i="9"/>
  <c r="L4" i="9"/>
  <c r="CU77" i="3"/>
  <c r="AX87" i="3" s="1"/>
  <c r="CO77" i="2"/>
  <c r="CU77" i="2"/>
  <c r="CO77" i="3"/>
  <c r="BW77" i="3"/>
  <c r="AW84" i="3" s="1"/>
  <c r="CC77" i="3"/>
  <c r="BT75" i="2"/>
  <c r="BT76" i="2" s="1"/>
  <c r="CC75" i="2"/>
  <c r="CC76" i="2" s="1"/>
  <c r="CC77" i="2" s="1"/>
  <c r="T8" i="8"/>
  <c r="T11" i="8"/>
  <c r="T17" i="8"/>
  <c r="T7" i="6"/>
  <c r="T8" i="6" s="1"/>
  <c r="AW87" i="2" l="1"/>
  <c r="AX86" i="2"/>
  <c r="AX85" i="3"/>
  <c r="AW86" i="3"/>
  <c r="AW87" i="3"/>
  <c r="AX86" i="3"/>
  <c r="AX85" i="2"/>
  <c r="AW86" i="2"/>
  <c r="AW88" i="3"/>
  <c r="L10" i="9"/>
  <c r="L11" i="9" s="1"/>
  <c r="K7" i="9"/>
  <c r="J7" i="9"/>
  <c r="M7" i="9"/>
  <c r="AX87" i="2"/>
  <c r="AW88" i="2"/>
  <c r="AX84" i="2"/>
  <c r="AW85" i="2"/>
  <c r="AX84" i="3"/>
  <c r="AW85" i="3"/>
  <c r="BV75" i="2"/>
  <c r="BV76" i="2" s="1"/>
  <c r="BU75" i="2"/>
  <c r="BU76" i="2" s="1"/>
  <c r="J5" i="9"/>
  <c r="AX90" i="3" l="1"/>
  <c r="AW90" i="3"/>
  <c r="M10" i="9"/>
  <c r="M11" i="9" s="1"/>
  <c r="K10" i="9"/>
  <c r="K11" i="9" s="1"/>
  <c r="K16" i="9" s="1"/>
  <c r="J22" i="9" s="1"/>
  <c r="J10" i="9"/>
  <c r="J11" i="9" s="1"/>
  <c r="J16" i="9" s="1"/>
  <c r="AX90" i="2"/>
  <c r="BN75" i="2"/>
  <c r="BW75" i="2"/>
  <c r="BW76" i="2" s="1"/>
  <c r="BW77" i="2" s="1"/>
  <c r="AW84" i="2" s="1"/>
  <c r="AW90" i="2" s="1"/>
  <c r="AR7" i="3" l="1"/>
  <c r="M15" i="9" s="1"/>
  <c r="M16" i="9" s="1"/>
  <c r="J23" i="9"/>
  <c r="AR7" i="2"/>
  <c r="BP75" i="2"/>
  <c r="BO75" i="2"/>
  <c r="K23" i="9" l="1"/>
  <c r="S4" i="9" s="1"/>
  <c r="Y28" i="9"/>
  <c r="Y32" i="9" s="1"/>
  <c r="J21" i="9"/>
  <c r="L15" i="9"/>
  <c r="L16" i="9" s="1"/>
  <c r="Y27" i="9" s="1"/>
  <c r="BQ75" i="2"/>
  <c r="Y29" i="9" l="1"/>
  <c r="Y33" i="9" s="1"/>
  <c r="AE11" i="9"/>
  <c r="AJ11" i="9" s="1"/>
  <c r="AE7" i="9"/>
  <c r="AJ7" i="9" s="1"/>
  <c r="AE10" i="9"/>
  <c r="AJ10" i="9" s="1"/>
  <c r="AE6" i="9"/>
  <c r="AJ6" i="9" s="1"/>
  <c r="AE9" i="9"/>
  <c r="AJ9" i="9" s="1"/>
  <c r="AE4" i="9"/>
  <c r="AE8" i="9"/>
  <c r="AJ8" i="9" s="1"/>
  <c r="AE5" i="9"/>
  <c r="AG5" i="9" s="1"/>
  <c r="S2" i="9"/>
  <c r="S12" i="9" s="1"/>
  <c r="S5" i="9"/>
  <c r="S6" i="9" s="1"/>
  <c r="BJ75" i="2"/>
  <c r="BI75" i="2"/>
  <c r="BH75" i="2"/>
  <c r="AJ12" i="9" l="1"/>
  <c r="AH9" i="9"/>
  <c r="AG9" i="9"/>
  <c r="AH11" i="9"/>
  <c r="AG11" i="9"/>
  <c r="AH6" i="9"/>
  <c r="AG6" i="9"/>
  <c r="AE12" i="9"/>
  <c r="AI4" i="9"/>
  <c r="AI12" i="9" s="1"/>
  <c r="AH7" i="9"/>
  <c r="AG7" i="9"/>
  <c r="AH8" i="9"/>
  <c r="AG8" i="9"/>
  <c r="AH10" i="9"/>
  <c r="AG10" i="9"/>
  <c r="Y31" i="9"/>
  <c r="AE20" i="9"/>
  <c r="AE21" i="9"/>
  <c r="AE18" i="9"/>
  <c r="AE19" i="9"/>
  <c r="Y42" i="9" s="1"/>
  <c r="AE22" i="9"/>
  <c r="Y45" i="9" s="1"/>
  <c r="BK75" i="2"/>
  <c r="BB75" i="2"/>
  <c r="Y41" i="9" l="1"/>
  <c r="AC41" i="9" s="1"/>
  <c r="AC45" i="9"/>
  <c r="Y47" i="9"/>
  <c r="Y35" i="9"/>
  <c r="AE23" i="9"/>
  <c r="AG12" i="9"/>
  <c r="Y43" i="9" s="1"/>
  <c r="AC42" i="9"/>
  <c r="AH12" i="9"/>
  <c r="Y44" i="9" s="1"/>
  <c r="BC75" i="2"/>
  <c r="BD75" i="2"/>
  <c r="Y46" i="9" l="1"/>
  <c r="Z41" i="9" s="1"/>
  <c r="AC44" i="9"/>
  <c r="AC43" i="9"/>
  <c r="AV75" i="2"/>
  <c r="AW75" i="2"/>
  <c r="BE75" i="2"/>
  <c r="Z43" i="9" l="1"/>
  <c r="Z42" i="9"/>
  <c r="Z45" i="9"/>
  <c r="Z44" i="9"/>
  <c r="AC46" i="9"/>
  <c r="J26" i="9"/>
  <c r="AY75" i="2"/>
  <c r="AX75" i="2"/>
  <c r="Z46" i="9" l="1"/>
</calcChain>
</file>

<file path=xl/sharedStrings.xml><?xml version="1.0" encoding="utf-8"?>
<sst xmlns="http://schemas.openxmlformats.org/spreadsheetml/2006/main" count="515" uniqueCount="133">
  <si>
    <t>Part load</t>
  </si>
  <si>
    <t>Design HR</t>
  </si>
  <si>
    <t>kJ/kWh</t>
  </si>
  <si>
    <t>Inlet Temp</t>
  </si>
  <si>
    <t>C</t>
  </si>
  <si>
    <t>HR (kJ/kWh)</t>
  </si>
  <si>
    <t>Eff</t>
  </si>
  <si>
    <t>Exhaust T</t>
  </si>
  <si>
    <t>Exhaust flow</t>
  </si>
  <si>
    <t>kg/s</t>
  </si>
  <si>
    <t>Exh flow (kg/s)</t>
  </si>
  <si>
    <t>Exh T (C)</t>
  </si>
  <si>
    <t>Power</t>
  </si>
  <si>
    <t>MW</t>
  </si>
  <si>
    <t>Power (MW)</t>
  </si>
  <si>
    <t>T in</t>
  </si>
  <si>
    <t>design</t>
  </si>
  <si>
    <t>HR</t>
  </si>
  <si>
    <t>P in (bar)</t>
  </si>
  <si>
    <t>T in ( C)</t>
  </si>
  <si>
    <t>DP in ( C)</t>
  </si>
  <si>
    <t>P atm</t>
  </si>
  <si>
    <t>DP in</t>
  </si>
  <si>
    <t>DP out</t>
  </si>
  <si>
    <t>Humidity</t>
  </si>
  <si>
    <t>bar</t>
  </si>
  <si>
    <t>m out</t>
  </si>
  <si>
    <t>T out</t>
  </si>
  <si>
    <t>Ref values</t>
  </si>
  <si>
    <t>Baseload correction</t>
  </si>
  <si>
    <t>Baseload ouput</t>
  </si>
  <si>
    <t>Load</t>
  </si>
  <si>
    <t>Part load correction</t>
  </si>
  <si>
    <t>Part load output</t>
  </si>
  <si>
    <t>Power - lower</t>
  </si>
  <si>
    <t>Power - higher</t>
  </si>
  <si>
    <t>HR - lower</t>
  </si>
  <si>
    <t>HR - higher</t>
  </si>
  <si>
    <t>Exh flow - lower</t>
  </si>
  <si>
    <t>Exh flow - higher</t>
  </si>
  <si>
    <t>Exh T - lower</t>
  </si>
  <si>
    <t>Exh T - higher</t>
  </si>
  <si>
    <t>Correction factors</t>
  </si>
  <si>
    <t>Exh flow</t>
  </si>
  <si>
    <t>Exh T</t>
  </si>
  <si>
    <t>Actual</t>
  </si>
  <si>
    <t>Design</t>
  </si>
  <si>
    <t>mbar</t>
  </si>
  <si>
    <t>low</t>
  </si>
  <si>
    <t>high</t>
  </si>
  <si>
    <t>T in -10 C</t>
  </si>
  <si>
    <t>T in -15 C</t>
  </si>
  <si>
    <t>T in -20 C</t>
  </si>
  <si>
    <t>T in -5 C</t>
  </si>
  <si>
    <t>T in 0 C</t>
  </si>
  <si>
    <t>T in 5 C</t>
  </si>
  <si>
    <t>T in 10 C</t>
  </si>
  <si>
    <t>T in 15 C</t>
  </si>
  <si>
    <t>T in 20 C</t>
  </si>
  <si>
    <t>T in 25 C</t>
  </si>
  <si>
    <t>-20 and -15</t>
  </si>
  <si>
    <t>-15 and -10</t>
  </si>
  <si>
    <t>-10 and -5</t>
  </si>
  <si>
    <t>-5 and 0</t>
  </si>
  <si>
    <t>0 and 5</t>
  </si>
  <si>
    <t>5 and 10</t>
  </si>
  <si>
    <t>10 and 15</t>
  </si>
  <si>
    <t>15 and 20</t>
  </si>
  <si>
    <t>20 and 25</t>
  </si>
  <si>
    <t>Design values</t>
  </si>
  <si>
    <t>Inputs</t>
  </si>
  <si>
    <t>Outputs</t>
  </si>
  <si>
    <t>Calculations</t>
  </si>
  <si>
    <t>↓</t>
  </si>
  <si>
    <t>%</t>
  </si>
  <si>
    <t>GT el power</t>
  </si>
  <si>
    <t>Gross LHV eff</t>
  </si>
  <si>
    <t>Influence of humidity hasn't been considered (yet)</t>
  </si>
  <si>
    <t>GT</t>
  </si>
  <si>
    <t>Generator η</t>
  </si>
  <si>
    <t>Type</t>
  </si>
  <si>
    <t>LHV</t>
  </si>
  <si>
    <t>MJ/kg</t>
  </si>
  <si>
    <t>P</t>
  </si>
  <si>
    <t>T</t>
  </si>
  <si>
    <t>Fuel</t>
  </si>
  <si>
    <t>fuel flow</t>
  </si>
  <si>
    <t>GT LM2500 + G4</t>
  </si>
  <si>
    <t xml:space="preserve"> </t>
  </si>
  <si>
    <t>NG correction factors</t>
  </si>
  <si>
    <t>m fuel in</t>
  </si>
  <si>
    <t>0=CH4; 1=NG</t>
  </si>
  <si>
    <t>GT EG 1</t>
  </si>
  <si>
    <t>fake load</t>
  </si>
  <si>
    <t>GT el power (MW)</t>
  </si>
  <si>
    <t>TOT eff</t>
  </si>
  <si>
    <t>TOT fuel input (MW)</t>
  </si>
  <si>
    <t>TOT el output</t>
  </si>
  <si>
    <t>aux GT1 (MW)</t>
  </si>
  <si>
    <t>% aux misc 1</t>
  </si>
  <si>
    <t>net PW 1 (MW)</t>
  </si>
  <si>
    <t>On or Off</t>
  </si>
  <si>
    <t>FUEL COMPOSITION</t>
  </si>
  <si>
    <t>n out (kmol/s)</t>
  </si>
  <si>
    <t>METHANE</t>
  </si>
  <si>
    <t>NATURAL GAS</t>
  </si>
  <si>
    <t>M (kg/kmol)</t>
  </si>
  <si>
    <t>n (kmol/s)</t>
  </si>
  <si>
    <t>CO2</t>
  </si>
  <si>
    <t>H2O</t>
  </si>
  <si>
    <t>N2</t>
  </si>
  <si>
    <t>CH4</t>
  </si>
  <si>
    <t>C2H6</t>
  </si>
  <si>
    <t>C3H8</t>
  </si>
  <si>
    <t>C4H10</t>
  </si>
  <si>
    <t>C5H12</t>
  </si>
  <si>
    <t>C6H14</t>
  </si>
  <si>
    <t>AIR COMPOSITION</t>
  </si>
  <si>
    <t>O2</t>
  </si>
  <si>
    <t>Ar</t>
  </si>
  <si>
    <t>m FG</t>
  </si>
  <si>
    <t>m FUEL</t>
  </si>
  <si>
    <t>m AIR</t>
  </si>
  <si>
    <t>n FG</t>
  </si>
  <si>
    <t>kmol/s</t>
  </si>
  <si>
    <t>n FUEL</t>
  </si>
  <si>
    <t>n AIR</t>
  </si>
  <si>
    <t>M FG</t>
  </si>
  <si>
    <t>FLUE GAS COMPOSITION</t>
  </si>
  <si>
    <t>y (%)</t>
  </si>
  <si>
    <t>m (kg/s)</t>
  </si>
  <si>
    <t>CO2 emissions</t>
  </si>
  <si>
    <t>O2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</si>
</sst>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\ %"/>
    <numFmt numFmtId="165" formatCode="0.0000"/>
    <numFmt numFmtId="166" formatCode="0.000"/>
    <numFmt numFmtId="167" formatCode="0.000000"/>
    <numFmt numFmtId="168" formatCode="0.00000"/>
    <numFmt numFmtId="169" formatCode="0.0"/>
    <numFmt numFmtId="170" formatCode="0.000\ 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0" fontId="2" fillId="0" borderId="0" xfId="0" applyFont="1"/>
    <xf numFmtId="10" fontId="0" fillId="0" borderId="0" xfId="1" applyNumberFormat="1" applyFont="1"/>
    <xf numFmtId="0" fontId="2" fillId="0" borderId="0" xfId="0" applyFont="1" applyAlignment="1">
      <alignment horizontal="center" vertical="center"/>
    </xf>
    <xf numFmtId="16" fontId="0" fillId="0" borderId="0" xfId="0" applyNumberFormat="1" applyAlignment="1">
      <alignment vertical="center" wrapText="1"/>
    </xf>
    <xf numFmtId="2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/>
    <xf numFmtId="0" fontId="0" fillId="2" borderId="0" xfId="0" applyFill="1" applyAlignment="1">
      <alignment vertical="center" wrapText="1"/>
    </xf>
    <xf numFmtId="0" fontId="0" fillId="2" borderId="0" xfId="0" applyFill="1"/>
    <xf numFmtId="10" fontId="0" fillId="2" borderId="0" xfId="1" applyNumberFormat="1" applyFont="1" applyFill="1"/>
    <xf numFmtId="0" fontId="0" fillId="3" borderId="0" xfId="0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10" fontId="0" fillId="0" borderId="0" xfId="1" applyNumberFormat="1" applyFont="1" applyFill="1"/>
    <xf numFmtId="0" fontId="0" fillId="3" borderId="0" xfId="0" applyFill="1"/>
    <xf numFmtId="10" fontId="0" fillId="3" borderId="0" xfId="1" applyNumberFormat="1" applyFont="1" applyFill="1"/>
    <xf numFmtId="0" fontId="0" fillId="3" borderId="0" xfId="0" applyNumberFormat="1" applyFill="1" applyAlignment="1">
      <alignment vertical="center" wrapText="1"/>
    </xf>
    <xf numFmtId="0" fontId="0" fillId="0" borderId="0" xfId="0" applyNumberFormat="1" applyFill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10" fontId="0" fillId="0" borderId="0" xfId="1" applyNumberFormat="1" applyFont="1" applyAlignment="1">
      <alignment vertical="center"/>
    </xf>
    <xf numFmtId="0" fontId="0" fillId="0" borderId="0" xfId="0" applyAlignment="1"/>
    <xf numFmtId="0" fontId="0" fillId="2" borderId="0" xfId="0" applyFill="1" applyAlignment="1">
      <alignment vertical="center"/>
    </xf>
    <xf numFmtId="10" fontId="0" fillId="2" borderId="0" xfId="1" applyNumberFormat="1" applyFont="1" applyFill="1" applyAlignment="1">
      <alignment vertical="center"/>
    </xf>
    <xf numFmtId="0" fontId="0" fillId="2" borderId="0" xfId="0" applyNumberFormat="1" applyFill="1" applyAlignment="1">
      <alignment vertical="center" wrapText="1"/>
    </xf>
    <xf numFmtId="17" fontId="0" fillId="2" borderId="0" xfId="0" applyNumberFormat="1" applyFill="1" applyAlignment="1">
      <alignment vertical="center" wrapText="1"/>
    </xf>
    <xf numFmtId="17" fontId="0" fillId="0" borderId="0" xfId="0" applyNumberFormat="1" applyFill="1" applyAlignment="1">
      <alignment vertical="center" wrapText="1"/>
    </xf>
    <xf numFmtId="2" fontId="0" fillId="0" borderId="0" xfId="0" applyNumberFormat="1"/>
    <xf numFmtId="165" fontId="0" fillId="0" borderId="0" xfId="0" applyNumberFormat="1"/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center" vertical="center"/>
    </xf>
    <xf numFmtId="0" fontId="0" fillId="0" borderId="5" xfId="0" applyBorder="1" applyAlignment="1"/>
    <xf numFmtId="0" fontId="0" fillId="0" borderId="0" xfId="0" applyBorder="1"/>
    <xf numFmtId="0" fontId="0" fillId="0" borderId="0" xfId="0" applyFill="1" applyBorder="1"/>
    <xf numFmtId="0" fontId="0" fillId="5" borderId="14" xfId="0" applyFill="1" applyBorder="1"/>
    <xf numFmtId="165" fontId="5" fillId="5" borderId="15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0" fontId="0" fillId="5" borderId="15" xfId="0" applyFill="1" applyBorder="1"/>
    <xf numFmtId="0" fontId="0" fillId="5" borderId="16" xfId="0" applyFill="1" applyBorder="1"/>
    <xf numFmtId="165" fontId="0" fillId="5" borderId="17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0" xfId="0" applyBorder="1"/>
    <xf numFmtId="0" fontId="0" fillId="0" borderId="21" xfId="0" applyBorder="1" applyAlignment="1"/>
    <xf numFmtId="0" fontId="0" fillId="0" borderId="18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9" xfId="0" applyBorder="1"/>
    <xf numFmtId="0" fontId="0" fillId="0" borderId="22" xfId="0" applyBorder="1"/>
    <xf numFmtId="0" fontId="0" fillId="0" borderId="23" xfId="0" applyBorder="1"/>
    <xf numFmtId="0" fontId="0" fillId="0" borderId="17" xfId="0" applyBorder="1"/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left" vertical="center"/>
    </xf>
    <xf numFmtId="0" fontId="0" fillId="0" borderId="6" xfId="0" applyFill="1" applyBorder="1"/>
    <xf numFmtId="49" fontId="0" fillId="0" borderId="0" xfId="0" applyNumberFormat="1"/>
    <xf numFmtId="0" fontId="5" fillId="0" borderId="0" xfId="0" applyFont="1"/>
    <xf numFmtId="0" fontId="0" fillId="0" borderId="0" xfId="0" applyAlignment="1">
      <alignment horizontal="left"/>
    </xf>
    <xf numFmtId="165" fontId="3" fillId="5" borderId="17" xfId="0" applyNumberFormat="1" applyFont="1" applyFill="1" applyBorder="1" applyAlignment="1">
      <alignment horizontal="center" vertical="center"/>
    </xf>
    <xf numFmtId="2" fontId="0" fillId="4" borderId="19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3" fillId="5" borderId="17" xfId="0" applyNumberFormat="1" applyFont="1" applyFill="1" applyBorder="1" applyAlignment="1">
      <alignment horizontal="center" vertical="center"/>
    </xf>
    <xf numFmtId="0" fontId="0" fillId="0" borderId="18" xfId="0" applyBorder="1" applyAlignment="1"/>
    <xf numFmtId="0" fontId="0" fillId="6" borderId="0" xfId="0" applyFill="1"/>
    <xf numFmtId="0" fontId="0" fillId="5" borderId="0" xfId="0" applyFill="1"/>
    <xf numFmtId="0" fontId="0" fillId="4" borderId="0" xfId="0" applyFill="1"/>
    <xf numFmtId="0" fontId="2" fillId="0" borderId="24" xfId="0" applyFont="1" applyBorder="1"/>
    <xf numFmtId="0" fontId="0" fillId="0" borderId="24" xfId="0" applyBorder="1"/>
    <xf numFmtId="0" fontId="0" fillId="6" borderId="24" xfId="0" applyFill="1" applyBorder="1"/>
    <xf numFmtId="0" fontId="0" fillId="2" borderId="24" xfId="0" applyFill="1" applyBorder="1"/>
    <xf numFmtId="0" fontId="3" fillId="6" borderId="24" xfId="0" applyFont="1" applyFill="1" applyBorder="1"/>
    <xf numFmtId="0" fontId="0" fillId="4" borderId="24" xfId="0" applyFill="1" applyBorder="1"/>
    <xf numFmtId="0" fontId="3" fillId="4" borderId="24" xfId="0" applyFont="1" applyFill="1" applyBorder="1"/>
    <xf numFmtId="0" fontId="4" fillId="4" borderId="24" xfId="0" applyFont="1" applyFill="1" applyBorder="1"/>
    <xf numFmtId="0" fontId="6" fillId="0" borderId="0" xfId="0" applyFont="1" applyAlignment="1">
      <alignment horizontal="center" vertical="center"/>
    </xf>
    <xf numFmtId="2" fontId="0" fillId="4" borderId="24" xfId="0" applyNumberFormat="1" applyFill="1" applyBorder="1"/>
    <xf numFmtId="2" fontId="3" fillId="4" borderId="24" xfId="0" applyNumberFormat="1" applyFont="1" applyFill="1" applyBorder="1"/>
    <xf numFmtId="2" fontId="0" fillId="5" borderId="24" xfId="0" applyNumberFormat="1" applyFill="1" applyBorder="1"/>
    <xf numFmtId="164" fontId="0" fillId="2" borderId="24" xfId="1" applyNumberFormat="1" applyFont="1" applyFill="1" applyBorder="1"/>
    <xf numFmtId="0" fontId="0" fillId="0" borderId="0" xfId="0" applyNumberFormat="1" applyFill="1"/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1" fontId="0" fillId="2" borderId="0" xfId="0" applyNumberFormat="1" applyFill="1" applyAlignment="1">
      <alignment vertical="center" wrapText="1"/>
    </xf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0" fillId="0" borderId="24" xfId="0" applyFont="1" applyBorder="1" applyAlignment="1">
      <alignment vertical="center"/>
    </xf>
    <xf numFmtId="0" fontId="8" fillId="0" borderId="0" xfId="0" applyFont="1"/>
    <xf numFmtId="0" fontId="0" fillId="0" borderId="0" xfId="0" applyFill="1" applyBorder="1" applyAlignment="1"/>
    <xf numFmtId="0" fontId="2" fillId="0" borderId="24" xfId="0" applyFont="1" applyFill="1" applyBorder="1" applyAlignment="1"/>
    <xf numFmtId="0" fontId="0" fillId="2" borderId="24" xfId="0" applyFill="1" applyBorder="1" applyAlignment="1"/>
    <xf numFmtId="0" fontId="2" fillId="3" borderId="24" xfId="0" applyFont="1" applyFill="1" applyBorder="1" applyAlignment="1"/>
    <xf numFmtId="10" fontId="0" fillId="5" borderId="24" xfId="1" applyNumberFormat="1" applyFont="1" applyFill="1" applyBorder="1"/>
    <xf numFmtId="0" fontId="2" fillId="3" borderId="24" xfId="0" applyFont="1" applyFill="1" applyBorder="1"/>
    <xf numFmtId="0" fontId="0" fillId="0" borderId="0" xfId="0" applyFill="1" applyBorder="1" applyAlignment="1">
      <alignment horizontal="center" vertical="center"/>
    </xf>
    <xf numFmtId="2" fontId="0" fillId="0" borderId="0" xfId="0" applyNumberFormat="1" applyFill="1" applyBorder="1"/>
    <xf numFmtId="10" fontId="0" fillId="0" borderId="0" xfId="1" applyNumberFormat="1" applyFont="1" applyFill="1" applyBorder="1"/>
    <xf numFmtId="0" fontId="3" fillId="0" borderId="24" xfId="0" applyFont="1" applyFill="1" applyBorder="1"/>
    <xf numFmtId="167" fontId="0" fillId="0" borderId="0" xfId="0" applyNumberFormat="1" applyFill="1" applyBorder="1"/>
    <xf numFmtId="0" fontId="3" fillId="0" borderId="24" xfId="0" applyFont="1" applyFill="1" applyBorder="1" applyAlignment="1">
      <alignment horizontal="right"/>
    </xf>
    <xf numFmtId="0" fontId="3" fillId="0" borderId="24" xfId="0" applyFont="1" applyBorder="1"/>
    <xf numFmtId="0" fontId="2" fillId="8" borderId="0" xfId="0" applyFont="1" applyFill="1" applyAlignment="1">
      <alignment horizontal="center" vertical="center"/>
    </xf>
    <xf numFmtId="0" fontId="0" fillId="3" borderId="0" xfId="0" applyFill="1" applyBorder="1"/>
    <xf numFmtId="0" fontId="8" fillId="3" borderId="0" xfId="0" applyFont="1" applyFill="1"/>
    <xf numFmtId="0" fontId="0" fillId="3" borderId="0" xfId="0" applyFill="1" applyBorder="1" applyAlignment="1">
      <alignment horizontal="center" vertical="center"/>
    </xf>
    <xf numFmtId="2" fontId="0" fillId="3" borderId="0" xfId="0" applyNumberFormat="1" applyFill="1" applyBorder="1"/>
    <xf numFmtId="10" fontId="0" fillId="3" borderId="0" xfId="1" applyNumberFormat="1" applyFont="1" applyFill="1" applyBorder="1"/>
    <xf numFmtId="164" fontId="3" fillId="9" borderId="24" xfId="1" applyNumberFormat="1" applyFont="1" applyFill="1" applyBorder="1"/>
    <xf numFmtId="166" fontId="0" fillId="0" borderId="24" xfId="0" applyNumberFormat="1" applyBorder="1"/>
    <xf numFmtId="169" fontId="0" fillId="0" borderId="0" xfId="0" applyNumberFormat="1"/>
    <xf numFmtId="168" fontId="0" fillId="0" borderId="0" xfId="0" applyNumberFormat="1" applyFill="1" applyBorder="1"/>
    <xf numFmtId="169" fontId="0" fillId="0" borderId="24" xfId="0" applyNumberFormat="1" applyBorder="1"/>
    <xf numFmtId="0" fontId="2" fillId="0" borderId="24" xfId="0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 wrapText="1"/>
    </xf>
    <xf numFmtId="0" fontId="3" fillId="2" borderId="24" xfId="0" applyFont="1" applyFill="1" applyBorder="1"/>
    <xf numFmtId="9" fontId="0" fillId="0" borderId="0" xfId="1" applyNumberFormat="1" applyFont="1"/>
    <xf numFmtId="170" fontId="0" fillId="0" borderId="0" xfId="1" applyNumberFormat="1" applyFont="1"/>
    <xf numFmtId="166" fontId="0" fillId="0" borderId="0" xfId="0" applyNumberFormat="1"/>
    <xf numFmtId="166" fontId="0" fillId="0" borderId="0" xfId="0" applyNumberFormat="1" applyFill="1"/>
    <xf numFmtId="0" fontId="0" fillId="0" borderId="24" xfId="0" applyFont="1" applyFill="1" applyBorder="1" applyAlignment="1">
      <alignment vertical="center"/>
    </xf>
    <xf numFmtId="0" fontId="0" fillId="0" borderId="24" xfId="0" applyFill="1" applyBorder="1" applyAlignment="1">
      <alignment horizontal="center" vertical="center"/>
    </xf>
    <xf numFmtId="1" fontId="0" fillId="5" borderId="24" xfId="0" applyNumberFormat="1" applyFill="1" applyBorder="1"/>
    <xf numFmtId="2" fontId="3" fillId="5" borderId="24" xfId="0" applyNumberFormat="1" applyFon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/>
    </xf>
    <xf numFmtId="0" fontId="7" fillId="7" borderId="25" xfId="0" applyFont="1" applyFill="1" applyBorder="1" applyAlignment="1">
      <alignment horizontal="center" vertical="center"/>
    </xf>
    <xf numFmtId="0" fontId="7" fillId="7" borderId="26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84"/>
  <sheetViews>
    <sheetView zoomScale="70" zoomScaleNormal="70" workbookViewId="0">
      <selection activeCell="AN34" sqref="AN34"/>
    </sheetView>
  </sheetViews>
  <sheetFormatPr defaultRowHeight="14.4" x14ac:dyDescent="0.3"/>
  <cols>
    <col min="1" max="1" width="9.88671875" bestFit="1" customWidth="1"/>
    <col min="3" max="3" width="9.6640625" bestFit="1" customWidth="1"/>
    <col min="6" max="6" width="12.44140625" bestFit="1" customWidth="1"/>
    <col min="9" max="9" width="12" bestFit="1" customWidth="1"/>
    <col min="20" max="20" width="9.6640625" bestFit="1" customWidth="1"/>
  </cols>
  <sheetData>
    <row r="1" spans="1:41" ht="15" thickBot="1" x14ac:dyDescent="0.35">
      <c r="A1" s="3" t="s">
        <v>12</v>
      </c>
      <c r="W1" s="148" t="s">
        <v>34</v>
      </c>
      <c r="X1" s="149"/>
      <c r="Y1" s="148" t="s">
        <v>35</v>
      </c>
      <c r="Z1" s="149"/>
      <c r="AB1" s="148" t="s">
        <v>36</v>
      </c>
      <c r="AC1" s="149"/>
      <c r="AD1" s="148" t="s">
        <v>37</v>
      </c>
      <c r="AE1" s="149"/>
      <c r="AG1" s="148" t="s">
        <v>38</v>
      </c>
      <c r="AH1" s="149"/>
      <c r="AI1" s="148" t="s">
        <v>39</v>
      </c>
      <c r="AJ1" s="149"/>
      <c r="AL1" s="148" t="s">
        <v>40</v>
      </c>
      <c r="AM1" s="149"/>
      <c r="AN1" s="148" t="s">
        <v>41</v>
      </c>
      <c r="AO1" s="149"/>
    </row>
    <row r="2" spans="1:41" x14ac:dyDescent="0.3">
      <c r="A2">
        <v>32.244999999999997</v>
      </c>
      <c r="C2" s="5" t="s">
        <v>19</v>
      </c>
      <c r="D2" s="5"/>
      <c r="E2" s="5"/>
      <c r="F2" s="5" t="s">
        <v>14</v>
      </c>
      <c r="I2" s="5" t="s">
        <v>5</v>
      </c>
      <c r="J2" s="5" t="s">
        <v>6</v>
      </c>
      <c r="M2" s="5" t="s">
        <v>10</v>
      </c>
      <c r="P2" s="5" t="s">
        <v>11</v>
      </c>
      <c r="S2" s="5"/>
      <c r="T2" s="32" t="s">
        <v>15</v>
      </c>
      <c r="U2" s="24"/>
      <c r="V2" s="24"/>
      <c r="W2" s="39">
        <v>0</v>
      </c>
      <c r="X2" s="42"/>
      <c r="Y2" s="39"/>
      <c r="Z2" s="40"/>
      <c r="AB2" s="39">
        <v>0</v>
      </c>
      <c r="AC2" s="42"/>
      <c r="AD2" s="39"/>
      <c r="AE2" s="40"/>
      <c r="AG2" s="39">
        <v>0</v>
      </c>
      <c r="AH2" s="42"/>
      <c r="AI2" s="39"/>
      <c r="AJ2" s="40"/>
      <c r="AL2" s="39">
        <v>0</v>
      </c>
      <c r="AM2" s="42"/>
      <c r="AN2" s="39"/>
      <c r="AO2" s="40"/>
    </row>
    <row r="3" spans="1:41" x14ac:dyDescent="0.3">
      <c r="A3" t="s">
        <v>13</v>
      </c>
      <c r="C3" s="1">
        <v>-30</v>
      </c>
      <c r="D3" s="1"/>
      <c r="E3" s="1">
        <v>1.048845</v>
      </c>
      <c r="F3">
        <f t="shared" ref="F3:F34" si="0">E3*$A$2</f>
        <v>33.820007024999995</v>
      </c>
      <c r="H3" s="1">
        <v>1.050583</v>
      </c>
      <c r="I3">
        <f>H3*$A$6</f>
        <v>9875.7953748999989</v>
      </c>
      <c r="J3" s="4">
        <f>1/(I3/3600)</f>
        <v>0.36452760140713758</v>
      </c>
      <c r="L3" s="1">
        <v>1.142282</v>
      </c>
      <c r="M3">
        <f>L3*$A$10</f>
        <v>102.69800549200001</v>
      </c>
      <c r="O3" s="1">
        <v>-37.43</v>
      </c>
      <c r="P3">
        <f>O3+$A$14</f>
        <v>492.08</v>
      </c>
      <c r="T3" s="33">
        <f>'GT maps'!G4</f>
        <v>10</v>
      </c>
      <c r="U3">
        <f>IF($T$3&gt;C3,0,1)</f>
        <v>0</v>
      </c>
      <c r="V3">
        <f t="shared" ref="V3:V49" si="1">IF(U4=1, "min",0)</f>
        <v>0</v>
      </c>
      <c r="W3" s="35">
        <f>IF($U3=0,IF($V3="min",$F3,0),0)</f>
        <v>0</v>
      </c>
      <c r="X3" s="36">
        <f>IF($W3=0,0,$C3)</f>
        <v>0</v>
      </c>
      <c r="Y3" s="35">
        <f>IF($W2=0,0,$F3)</f>
        <v>0</v>
      </c>
      <c r="Z3" s="36">
        <f>IF($Y3=0,0,$C3)</f>
        <v>0</v>
      </c>
      <c r="AB3" s="35">
        <f>IF($U3=0,IF($V3="min",$I3,0),0)</f>
        <v>0</v>
      </c>
      <c r="AC3" s="36">
        <f>IF($AB3=0,0,$C3)</f>
        <v>0</v>
      </c>
      <c r="AD3" s="35">
        <f>IF($AB2=0,0,$I3)</f>
        <v>0</v>
      </c>
      <c r="AE3" s="36">
        <f>IF($AD3=0,0,$C3)</f>
        <v>0</v>
      </c>
      <c r="AG3" s="35">
        <f>IF($U3=0,IF($V3="min",$M3,0),0)</f>
        <v>0</v>
      </c>
      <c r="AH3" s="36">
        <f>IF($AG3=0,0,$C3)</f>
        <v>0</v>
      </c>
      <c r="AI3" s="35">
        <f>IF($AG2=0,0,$M3)</f>
        <v>0</v>
      </c>
      <c r="AJ3" s="36">
        <f>IF($AI3=0,0,$C3)</f>
        <v>0</v>
      </c>
      <c r="AL3" s="35">
        <f>IF($U3=0,IF($V3="min",$P3,0),0)</f>
        <v>0</v>
      </c>
      <c r="AM3" s="36">
        <f>IF($AL3=0,0,$C3)</f>
        <v>0</v>
      </c>
      <c r="AN3" s="35">
        <f>IF($AL2=0,0,$P3)</f>
        <v>0</v>
      </c>
      <c r="AO3" s="36">
        <f>IF($AN3=0,0,$C3)</f>
        <v>0</v>
      </c>
    </row>
    <row r="4" spans="1:41" ht="15" thickBot="1" x14ac:dyDescent="0.35">
      <c r="C4" s="1">
        <v>-29</v>
      </c>
      <c r="D4" s="1"/>
      <c r="E4" s="1">
        <v>1.0521320000000001</v>
      </c>
      <c r="F4">
        <f t="shared" si="0"/>
        <v>33.925996339999998</v>
      </c>
      <c r="H4" s="1">
        <v>1.045169</v>
      </c>
      <c r="I4">
        <f t="shared" ref="I4:I67" si="2">H4*$A$6</f>
        <v>9824.9021506999998</v>
      </c>
      <c r="J4" s="4">
        <f t="shared" ref="J4:J67" si="3">1/(I4/3600)</f>
        <v>0.36641586295528744</v>
      </c>
      <c r="L4" s="1">
        <v>1.139724</v>
      </c>
      <c r="M4">
        <f t="shared" ref="M4:M67" si="4">L4*$A$10</f>
        <v>102.468025944</v>
      </c>
      <c r="O4" s="1">
        <v>-38.04</v>
      </c>
      <c r="P4">
        <f t="shared" ref="P4:P67" si="5">O4+$A$14</f>
        <v>491.46999999999997</v>
      </c>
      <c r="T4" s="34" t="s">
        <v>4</v>
      </c>
      <c r="U4">
        <f t="shared" ref="U4:U67" si="6">IF($T$3&gt;C4,0,1)</f>
        <v>0</v>
      </c>
      <c r="V4">
        <f t="shared" si="1"/>
        <v>0</v>
      </c>
      <c r="W4" s="35">
        <f t="shared" ref="W4:W67" si="7">IF($U4=0,IF($V4="min",$F4,0),0)</f>
        <v>0</v>
      </c>
      <c r="X4" s="36">
        <f t="shared" ref="X4:X67" si="8">IF($W4=0,0,$C4)</f>
        <v>0</v>
      </c>
      <c r="Y4" s="35">
        <f t="shared" ref="Y4:Y67" si="9">IF($W3=0,0,$F4)</f>
        <v>0</v>
      </c>
      <c r="Z4" s="36">
        <f t="shared" ref="Z4:Z67" si="10">IF($Y4=0,0,$C4)</f>
        <v>0</v>
      </c>
      <c r="AB4" s="35">
        <f t="shared" ref="AB4:AB67" si="11">IF($U4=0,IF($V4="min",$I4,0),0)</f>
        <v>0</v>
      </c>
      <c r="AC4" s="36">
        <f t="shared" ref="AC4:AC67" si="12">IF($AB4=0,0,$C4)</f>
        <v>0</v>
      </c>
      <c r="AD4" s="35">
        <f t="shared" ref="AD4:AD67" si="13">IF($AB3=0,0,$I4)</f>
        <v>0</v>
      </c>
      <c r="AE4" s="36">
        <f t="shared" ref="AE4:AE67" si="14">IF($AD4=0,0,$C4)</f>
        <v>0</v>
      </c>
      <c r="AG4" s="35">
        <f t="shared" ref="AG4:AG67" si="15">IF($U4=0,IF($V4="min",$M4,0),0)</f>
        <v>0</v>
      </c>
      <c r="AH4" s="36">
        <f t="shared" ref="AH4:AH67" si="16">IF($AG4=0,0,$C4)</f>
        <v>0</v>
      </c>
      <c r="AI4" s="35">
        <f t="shared" ref="AI4:AI67" si="17">IF($AG3=0,0,$M4)</f>
        <v>0</v>
      </c>
      <c r="AJ4" s="36">
        <f t="shared" ref="AJ4:AJ67" si="18">IF($AI4=0,0,$C4)</f>
        <v>0</v>
      </c>
      <c r="AL4" s="35">
        <f t="shared" ref="AL4:AL67" si="19">IF($U4=0,IF($V4="min",$P4,0),0)</f>
        <v>0</v>
      </c>
      <c r="AM4" s="36">
        <f t="shared" ref="AM4:AM67" si="20">IF($AL4=0,0,$C4)</f>
        <v>0</v>
      </c>
      <c r="AN4" s="35">
        <f t="shared" ref="AN4:AN67" si="21">IF($AL3=0,0,$P4)</f>
        <v>0</v>
      </c>
      <c r="AO4" s="36">
        <f t="shared" ref="AO4:AO67" si="22">IF($AN4=0,0,$C4)</f>
        <v>0</v>
      </c>
    </row>
    <row r="5" spans="1:41" ht="15" thickBot="1" x14ac:dyDescent="0.35">
      <c r="A5" s="3" t="s">
        <v>1</v>
      </c>
      <c r="C5" s="1">
        <v>-28</v>
      </c>
      <c r="D5" s="1"/>
      <c r="E5" s="1">
        <v>1.0554809999999999</v>
      </c>
      <c r="F5">
        <f t="shared" si="0"/>
        <v>34.033984844999992</v>
      </c>
      <c r="H5" s="1">
        <v>1.039658</v>
      </c>
      <c r="I5">
        <f t="shared" si="2"/>
        <v>9773.0970973999993</v>
      </c>
      <c r="J5" s="4">
        <f t="shared" si="3"/>
        <v>0.36835815342075456</v>
      </c>
      <c r="L5" s="1">
        <v>1.137165</v>
      </c>
      <c r="M5">
        <f t="shared" si="4"/>
        <v>102.23795649</v>
      </c>
      <c r="O5" s="1">
        <v>-38.71</v>
      </c>
      <c r="P5">
        <f t="shared" si="5"/>
        <v>490.8</v>
      </c>
      <c r="U5">
        <f t="shared" si="6"/>
        <v>0</v>
      </c>
      <c r="V5">
        <f t="shared" si="1"/>
        <v>0</v>
      </c>
      <c r="W5" s="35">
        <f t="shared" si="7"/>
        <v>0</v>
      </c>
      <c r="X5" s="36">
        <f t="shared" si="8"/>
        <v>0</v>
      </c>
      <c r="Y5" s="35">
        <f t="shared" si="9"/>
        <v>0</v>
      </c>
      <c r="Z5" s="36">
        <f t="shared" si="10"/>
        <v>0</v>
      </c>
      <c r="AB5" s="35">
        <f t="shared" si="11"/>
        <v>0</v>
      </c>
      <c r="AC5" s="36">
        <f t="shared" si="12"/>
        <v>0</v>
      </c>
      <c r="AD5" s="35">
        <f t="shared" si="13"/>
        <v>0</v>
      </c>
      <c r="AE5" s="36">
        <f t="shared" si="14"/>
        <v>0</v>
      </c>
      <c r="AG5" s="35">
        <f t="shared" si="15"/>
        <v>0</v>
      </c>
      <c r="AH5" s="36">
        <f t="shared" si="16"/>
        <v>0</v>
      </c>
      <c r="AI5" s="35">
        <f t="shared" si="17"/>
        <v>0</v>
      </c>
      <c r="AJ5" s="36">
        <f t="shared" si="18"/>
        <v>0</v>
      </c>
      <c r="AL5" s="35">
        <f t="shared" si="19"/>
        <v>0</v>
      </c>
      <c r="AM5" s="36">
        <f t="shared" si="20"/>
        <v>0</v>
      </c>
      <c r="AN5" s="35">
        <f t="shared" si="21"/>
        <v>0</v>
      </c>
      <c r="AO5" s="36">
        <f t="shared" si="22"/>
        <v>0</v>
      </c>
    </row>
    <row r="6" spans="1:41" x14ac:dyDescent="0.3">
      <c r="A6">
        <v>9400.2999999999993</v>
      </c>
      <c r="C6" s="1">
        <v>-27</v>
      </c>
      <c r="D6" s="1"/>
      <c r="E6" s="1">
        <v>1.0588310000000001</v>
      </c>
      <c r="F6">
        <f t="shared" si="0"/>
        <v>34.142005595000001</v>
      </c>
      <c r="H6" s="1">
        <v>1.0342439999999999</v>
      </c>
      <c r="I6">
        <f t="shared" si="2"/>
        <v>9722.2038731999983</v>
      </c>
      <c r="J6" s="4">
        <f t="shared" si="3"/>
        <v>0.37028641313762989</v>
      </c>
      <c r="L6" s="1">
        <v>1.13463</v>
      </c>
      <c r="M6">
        <f t="shared" si="4"/>
        <v>102.01004478000002</v>
      </c>
      <c r="O6" s="1">
        <v>-39.36</v>
      </c>
      <c r="P6">
        <f t="shared" si="5"/>
        <v>490.15</v>
      </c>
      <c r="S6" s="150" t="s">
        <v>42</v>
      </c>
      <c r="T6" s="151"/>
      <c r="U6">
        <f t="shared" si="6"/>
        <v>0</v>
      </c>
      <c r="V6">
        <f t="shared" si="1"/>
        <v>0</v>
      </c>
      <c r="W6" s="35">
        <f t="shared" si="7"/>
        <v>0</v>
      </c>
      <c r="X6" s="36">
        <f t="shared" si="8"/>
        <v>0</v>
      </c>
      <c r="Y6" s="35">
        <f t="shared" si="9"/>
        <v>0</v>
      </c>
      <c r="Z6" s="36">
        <f t="shared" si="10"/>
        <v>0</v>
      </c>
      <c r="AB6" s="35">
        <f t="shared" si="11"/>
        <v>0</v>
      </c>
      <c r="AC6" s="36">
        <f t="shared" si="12"/>
        <v>0</v>
      </c>
      <c r="AD6" s="35">
        <f t="shared" si="13"/>
        <v>0</v>
      </c>
      <c r="AE6" s="36">
        <f t="shared" si="14"/>
        <v>0</v>
      </c>
      <c r="AG6" s="35">
        <f t="shared" si="15"/>
        <v>0</v>
      </c>
      <c r="AH6" s="36">
        <f t="shared" si="16"/>
        <v>0</v>
      </c>
      <c r="AI6" s="35">
        <f t="shared" si="17"/>
        <v>0</v>
      </c>
      <c r="AJ6" s="36">
        <f t="shared" si="18"/>
        <v>0</v>
      </c>
      <c r="AL6" s="35">
        <f t="shared" si="19"/>
        <v>0</v>
      </c>
      <c r="AM6" s="36">
        <f t="shared" si="20"/>
        <v>0</v>
      </c>
      <c r="AN6" s="35">
        <f t="shared" si="21"/>
        <v>0</v>
      </c>
      <c r="AO6" s="36">
        <f t="shared" si="22"/>
        <v>0</v>
      </c>
    </row>
    <row r="7" spans="1:41" x14ac:dyDescent="0.3">
      <c r="A7" t="s">
        <v>2</v>
      </c>
      <c r="C7" s="1">
        <v>-26</v>
      </c>
      <c r="D7" s="1"/>
      <c r="E7" s="1">
        <v>1.062211</v>
      </c>
      <c r="F7">
        <f t="shared" si="0"/>
        <v>34.250993694999998</v>
      </c>
      <c r="H7" s="1">
        <v>1.0288079999999999</v>
      </c>
      <c r="I7">
        <f t="shared" si="2"/>
        <v>9671.103842399998</v>
      </c>
      <c r="J7" s="4">
        <f t="shared" si="3"/>
        <v>0.37224292683291232</v>
      </c>
      <c r="L7" s="1">
        <v>1.132082</v>
      </c>
      <c r="M7">
        <f t="shared" si="4"/>
        <v>101.78096429200001</v>
      </c>
      <c r="O7" s="1">
        <v>-40.03</v>
      </c>
      <c r="P7">
        <f t="shared" si="5"/>
        <v>489.48</v>
      </c>
      <c r="S7" s="45"/>
      <c r="T7" s="46">
        <f>Y84+(W84-Y84)/(X84-Z84)*($T$3-Z84)</f>
        <v>33.316985024999994</v>
      </c>
      <c r="U7">
        <f t="shared" si="6"/>
        <v>0</v>
      </c>
      <c r="V7">
        <f t="shared" si="1"/>
        <v>0</v>
      </c>
      <c r="W7" s="35">
        <f t="shared" si="7"/>
        <v>0</v>
      </c>
      <c r="X7" s="36">
        <f t="shared" si="8"/>
        <v>0</v>
      </c>
      <c r="Y7" s="35">
        <f t="shared" si="9"/>
        <v>0</v>
      </c>
      <c r="Z7" s="36">
        <f t="shared" si="10"/>
        <v>0</v>
      </c>
      <c r="AB7" s="35">
        <f t="shared" si="11"/>
        <v>0</v>
      </c>
      <c r="AC7" s="36">
        <f t="shared" si="12"/>
        <v>0</v>
      </c>
      <c r="AD7" s="35">
        <f t="shared" si="13"/>
        <v>0</v>
      </c>
      <c r="AE7" s="36">
        <f t="shared" si="14"/>
        <v>0</v>
      </c>
      <c r="AG7" s="35">
        <f t="shared" si="15"/>
        <v>0</v>
      </c>
      <c r="AH7" s="36">
        <f t="shared" si="16"/>
        <v>0</v>
      </c>
      <c r="AI7" s="35">
        <f t="shared" si="17"/>
        <v>0</v>
      </c>
      <c r="AJ7" s="36">
        <f t="shared" si="18"/>
        <v>0</v>
      </c>
      <c r="AL7" s="35">
        <f t="shared" si="19"/>
        <v>0</v>
      </c>
      <c r="AM7" s="36">
        <f t="shared" si="20"/>
        <v>0</v>
      </c>
      <c r="AN7" s="35">
        <f t="shared" si="21"/>
        <v>0</v>
      </c>
      <c r="AO7" s="36">
        <f t="shared" si="22"/>
        <v>0</v>
      </c>
    </row>
    <row r="8" spans="1:41" x14ac:dyDescent="0.3">
      <c r="C8" s="1">
        <v>-25</v>
      </c>
      <c r="D8" s="1"/>
      <c r="E8" s="1">
        <v>1.0656540000000001</v>
      </c>
      <c r="F8">
        <f t="shared" si="0"/>
        <v>34.362013230000002</v>
      </c>
      <c r="H8" s="1">
        <v>1.0233399999999999</v>
      </c>
      <c r="I8">
        <f t="shared" si="2"/>
        <v>9619.7030019999984</v>
      </c>
      <c r="J8" s="4">
        <f t="shared" si="3"/>
        <v>0.37423192787256915</v>
      </c>
      <c r="L8" s="1">
        <v>1.1295459999999999</v>
      </c>
      <c r="M8">
        <f t="shared" si="4"/>
        <v>101.55296267600001</v>
      </c>
      <c r="O8" s="1">
        <v>-40.75</v>
      </c>
      <c r="P8">
        <f t="shared" si="5"/>
        <v>488.76</v>
      </c>
      <c r="S8" s="45" t="s">
        <v>12</v>
      </c>
      <c r="T8" s="47">
        <f>T7/F48</f>
        <v>1.033245</v>
      </c>
      <c r="U8">
        <f t="shared" si="6"/>
        <v>0</v>
      </c>
      <c r="V8">
        <f t="shared" si="1"/>
        <v>0</v>
      </c>
      <c r="W8" s="35">
        <f t="shared" si="7"/>
        <v>0</v>
      </c>
      <c r="X8" s="36">
        <f t="shared" si="8"/>
        <v>0</v>
      </c>
      <c r="Y8" s="35">
        <f t="shared" si="9"/>
        <v>0</v>
      </c>
      <c r="Z8" s="36">
        <f t="shared" si="10"/>
        <v>0</v>
      </c>
      <c r="AB8" s="35">
        <f t="shared" si="11"/>
        <v>0</v>
      </c>
      <c r="AC8" s="36">
        <f t="shared" si="12"/>
        <v>0</v>
      </c>
      <c r="AD8" s="35">
        <f t="shared" si="13"/>
        <v>0</v>
      </c>
      <c r="AE8" s="36">
        <f t="shared" si="14"/>
        <v>0</v>
      </c>
      <c r="AG8" s="35">
        <f t="shared" si="15"/>
        <v>0</v>
      </c>
      <c r="AH8" s="36">
        <f t="shared" si="16"/>
        <v>0</v>
      </c>
      <c r="AI8" s="35">
        <f t="shared" si="17"/>
        <v>0</v>
      </c>
      <c r="AJ8" s="36">
        <f t="shared" si="18"/>
        <v>0</v>
      </c>
      <c r="AL8" s="35">
        <f t="shared" si="19"/>
        <v>0</v>
      </c>
      <c r="AM8" s="36">
        <f t="shared" si="20"/>
        <v>0</v>
      </c>
      <c r="AN8" s="35">
        <f t="shared" si="21"/>
        <v>0</v>
      </c>
      <c r="AO8" s="36">
        <f t="shared" si="22"/>
        <v>0</v>
      </c>
    </row>
    <row r="9" spans="1:41" x14ac:dyDescent="0.3">
      <c r="A9" s="3" t="s">
        <v>8</v>
      </c>
      <c r="C9" s="1">
        <v>-24</v>
      </c>
      <c r="D9" s="1"/>
      <c r="E9" s="1">
        <v>1.0691269999999999</v>
      </c>
      <c r="F9">
        <f t="shared" si="0"/>
        <v>34.474000114999996</v>
      </c>
      <c r="H9" s="1">
        <v>1.0178499999999999</v>
      </c>
      <c r="I9">
        <f t="shared" si="2"/>
        <v>9568.0953549999977</v>
      </c>
      <c r="J9" s="4">
        <f t="shared" si="3"/>
        <v>0.37625043087794363</v>
      </c>
      <c r="L9" s="1">
        <v>1.1270100000000001</v>
      </c>
      <c r="M9">
        <f t="shared" si="4"/>
        <v>101.32496106000001</v>
      </c>
      <c r="O9" s="1">
        <v>-41.5</v>
      </c>
      <c r="P9">
        <f t="shared" si="5"/>
        <v>488.01</v>
      </c>
      <c r="S9" s="45"/>
      <c r="T9" s="48"/>
      <c r="U9">
        <f t="shared" si="6"/>
        <v>0</v>
      </c>
      <c r="V9">
        <f t="shared" si="1"/>
        <v>0</v>
      </c>
      <c r="W9" s="35">
        <f t="shared" si="7"/>
        <v>0</v>
      </c>
      <c r="X9" s="36">
        <f t="shared" si="8"/>
        <v>0</v>
      </c>
      <c r="Y9" s="35">
        <f t="shared" si="9"/>
        <v>0</v>
      </c>
      <c r="Z9" s="36">
        <f t="shared" si="10"/>
        <v>0</v>
      </c>
      <c r="AB9" s="35">
        <f t="shared" si="11"/>
        <v>0</v>
      </c>
      <c r="AC9" s="36">
        <f t="shared" si="12"/>
        <v>0</v>
      </c>
      <c r="AD9" s="35">
        <f t="shared" si="13"/>
        <v>0</v>
      </c>
      <c r="AE9" s="36">
        <f t="shared" si="14"/>
        <v>0</v>
      </c>
      <c r="AG9" s="35">
        <f t="shared" si="15"/>
        <v>0</v>
      </c>
      <c r="AH9" s="36">
        <f t="shared" si="16"/>
        <v>0</v>
      </c>
      <c r="AI9" s="35">
        <f t="shared" si="17"/>
        <v>0</v>
      </c>
      <c r="AJ9" s="36">
        <f t="shared" si="18"/>
        <v>0</v>
      </c>
      <c r="AL9" s="35">
        <f t="shared" si="19"/>
        <v>0</v>
      </c>
      <c r="AM9" s="36">
        <f t="shared" si="20"/>
        <v>0</v>
      </c>
      <c r="AN9" s="35">
        <f t="shared" si="21"/>
        <v>0</v>
      </c>
      <c r="AO9" s="36">
        <f t="shared" si="22"/>
        <v>0</v>
      </c>
    </row>
    <row r="10" spans="1:41" x14ac:dyDescent="0.3">
      <c r="A10">
        <v>89.906000000000006</v>
      </c>
      <c r="C10" s="1">
        <v>-23</v>
      </c>
      <c r="D10" s="1"/>
      <c r="E10" s="1">
        <v>1.0726309999999999</v>
      </c>
      <c r="F10">
        <f t="shared" si="0"/>
        <v>34.586986594999992</v>
      </c>
      <c r="H10" s="1">
        <v>1.012372</v>
      </c>
      <c r="I10">
        <f t="shared" si="2"/>
        <v>9516.6005115999997</v>
      </c>
      <c r="J10" s="4">
        <f t="shared" si="3"/>
        <v>0.37828634244044174</v>
      </c>
      <c r="L10" s="1">
        <v>1.1244860000000001</v>
      </c>
      <c r="M10">
        <f t="shared" si="4"/>
        <v>101.09803831600001</v>
      </c>
      <c r="O10" s="1">
        <v>-42.27</v>
      </c>
      <c r="P10">
        <f t="shared" si="5"/>
        <v>487.24</v>
      </c>
      <c r="S10" s="45"/>
      <c r="T10" s="46">
        <f>AD84+(AB84-AD84)/(AC84-AE84)*($T$3-AE84)</f>
        <v>9340.1004787999991</v>
      </c>
      <c r="U10">
        <f t="shared" si="6"/>
        <v>0</v>
      </c>
      <c r="V10">
        <f t="shared" si="1"/>
        <v>0</v>
      </c>
      <c r="W10" s="35">
        <f t="shared" si="7"/>
        <v>0</v>
      </c>
      <c r="X10" s="36">
        <f t="shared" si="8"/>
        <v>0</v>
      </c>
      <c r="Y10" s="35">
        <f t="shared" si="9"/>
        <v>0</v>
      </c>
      <c r="Z10" s="36">
        <f t="shared" si="10"/>
        <v>0</v>
      </c>
      <c r="AB10" s="35">
        <f t="shared" si="11"/>
        <v>0</v>
      </c>
      <c r="AC10" s="36">
        <f t="shared" si="12"/>
        <v>0</v>
      </c>
      <c r="AD10" s="35">
        <f t="shared" si="13"/>
        <v>0</v>
      </c>
      <c r="AE10" s="36">
        <f t="shared" si="14"/>
        <v>0</v>
      </c>
      <c r="AG10" s="35">
        <f t="shared" si="15"/>
        <v>0</v>
      </c>
      <c r="AH10" s="36">
        <f t="shared" si="16"/>
        <v>0</v>
      </c>
      <c r="AI10" s="35">
        <f t="shared" si="17"/>
        <v>0</v>
      </c>
      <c r="AJ10" s="36">
        <f t="shared" si="18"/>
        <v>0</v>
      </c>
      <c r="AL10" s="35">
        <f t="shared" si="19"/>
        <v>0</v>
      </c>
      <c r="AM10" s="36">
        <f t="shared" si="20"/>
        <v>0</v>
      </c>
      <c r="AN10" s="35">
        <f t="shared" si="21"/>
        <v>0</v>
      </c>
      <c r="AO10" s="36">
        <f t="shared" si="22"/>
        <v>0</v>
      </c>
    </row>
    <row r="11" spans="1:41" x14ac:dyDescent="0.3">
      <c r="A11" t="s">
        <v>9</v>
      </c>
      <c r="C11" s="1">
        <v>-22</v>
      </c>
      <c r="D11" s="1"/>
      <c r="E11" s="1">
        <v>1.0761050000000001</v>
      </c>
      <c r="F11">
        <f t="shared" si="0"/>
        <v>34.699005724999999</v>
      </c>
      <c r="H11" s="1">
        <v>1.006872</v>
      </c>
      <c r="I11">
        <f t="shared" si="2"/>
        <v>9464.8988615999988</v>
      </c>
      <c r="J11" s="4">
        <f t="shared" si="3"/>
        <v>0.38035271719654024</v>
      </c>
      <c r="L11" s="1">
        <v>1.121961</v>
      </c>
      <c r="M11">
        <f t="shared" si="4"/>
        <v>100.87102566600001</v>
      </c>
      <c r="O11" s="1">
        <v>-43.1</v>
      </c>
      <c r="P11">
        <f t="shared" si="5"/>
        <v>486.40999999999997</v>
      </c>
      <c r="S11" s="45" t="s">
        <v>17</v>
      </c>
      <c r="T11" s="47">
        <f>T10/I48</f>
        <v>0.99359600000000003</v>
      </c>
      <c r="U11">
        <f t="shared" si="6"/>
        <v>0</v>
      </c>
      <c r="V11">
        <f t="shared" si="1"/>
        <v>0</v>
      </c>
      <c r="W11" s="35">
        <f t="shared" si="7"/>
        <v>0</v>
      </c>
      <c r="X11" s="36">
        <f t="shared" si="8"/>
        <v>0</v>
      </c>
      <c r="Y11" s="35">
        <f t="shared" si="9"/>
        <v>0</v>
      </c>
      <c r="Z11" s="36">
        <f t="shared" si="10"/>
        <v>0</v>
      </c>
      <c r="AB11" s="35">
        <f t="shared" si="11"/>
        <v>0</v>
      </c>
      <c r="AC11" s="36">
        <f t="shared" si="12"/>
        <v>0</v>
      </c>
      <c r="AD11" s="35">
        <f t="shared" si="13"/>
        <v>0</v>
      </c>
      <c r="AE11" s="36">
        <f t="shared" si="14"/>
        <v>0</v>
      </c>
      <c r="AG11" s="35">
        <f t="shared" si="15"/>
        <v>0</v>
      </c>
      <c r="AH11" s="36">
        <f t="shared" si="16"/>
        <v>0</v>
      </c>
      <c r="AI11" s="35">
        <f t="shared" si="17"/>
        <v>0</v>
      </c>
      <c r="AJ11" s="36">
        <f t="shared" si="18"/>
        <v>0</v>
      </c>
      <c r="AL11" s="35">
        <f t="shared" si="19"/>
        <v>0</v>
      </c>
      <c r="AM11" s="36">
        <f t="shared" si="20"/>
        <v>0</v>
      </c>
      <c r="AN11" s="35">
        <f t="shared" si="21"/>
        <v>0</v>
      </c>
      <c r="AO11" s="36">
        <f t="shared" si="22"/>
        <v>0</v>
      </c>
    </row>
    <row r="12" spans="1:41" x14ac:dyDescent="0.3">
      <c r="C12" s="1">
        <v>-21</v>
      </c>
      <c r="D12" s="1"/>
      <c r="E12" s="1">
        <v>1.0796399999999999</v>
      </c>
      <c r="F12">
        <f t="shared" si="0"/>
        <v>34.812991799999992</v>
      </c>
      <c r="H12" s="1">
        <v>1.0013510000000001</v>
      </c>
      <c r="I12">
        <f t="shared" si="2"/>
        <v>9412.9998052999999</v>
      </c>
      <c r="J12" s="4">
        <f t="shared" si="3"/>
        <v>0.38244981137394857</v>
      </c>
      <c r="L12" s="1">
        <v>1.1194360000000001</v>
      </c>
      <c r="M12">
        <f t="shared" si="4"/>
        <v>100.64401301600002</v>
      </c>
      <c r="O12" s="1">
        <v>-43.96</v>
      </c>
      <c r="P12">
        <f t="shared" si="5"/>
        <v>485.55</v>
      </c>
      <c r="S12" s="45"/>
      <c r="T12" s="48"/>
      <c r="U12">
        <f t="shared" si="6"/>
        <v>0</v>
      </c>
      <c r="V12">
        <f t="shared" si="1"/>
        <v>0</v>
      </c>
      <c r="W12" s="35">
        <f t="shared" si="7"/>
        <v>0</v>
      </c>
      <c r="X12" s="36">
        <f t="shared" si="8"/>
        <v>0</v>
      </c>
      <c r="Y12" s="35">
        <f t="shared" si="9"/>
        <v>0</v>
      </c>
      <c r="Z12" s="36">
        <f t="shared" si="10"/>
        <v>0</v>
      </c>
      <c r="AB12" s="35">
        <f t="shared" si="11"/>
        <v>0</v>
      </c>
      <c r="AC12" s="36">
        <f t="shared" si="12"/>
        <v>0</v>
      </c>
      <c r="AD12" s="35">
        <f t="shared" si="13"/>
        <v>0</v>
      </c>
      <c r="AE12" s="36">
        <f t="shared" si="14"/>
        <v>0</v>
      </c>
      <c r="AG12" s="35">
        <f t="shared" si="15"/>
        <v>0</v>
      </c>
      <c r="AH12" s="36">
        <f t="shared" si="16"/>
        <v>0</v>
      </c>
      <c r="AI12" s="35">
        <f t="shared" si="17"/>
        <v>0</v>
      </c>
      <c r="AJ12" s="36">
        <f t="shared" si="18"/>
        <v>0</v>
      </c>
      <c r="AL12" s="35">
        <f t="shared" si="19"/>
        <v>0</v>
      </c>
      <c r="AM12" s="36">
        <f t="shared" si="20"/>
        <v>0</v>
      </c>
      <c r="AN12" s="35">
        <f t="shared" si="21"/>
        <v>0</v>
      </c>
      <c r="AO12" s="36">
        <f t="shared" si="22"/>
        <v>0</v>
      </c>
    </row>
    <row r="13" spans="1:41" x14ac:dyDescent="0.3">
      <c r="A13" s="3" t="s">
        <v>7</v>
      </c>
      <c r="C13" s="13">
        <v>-20</v>
      </c>
      <c r="D13" s="13"/>
      <c r="E13" s="13">
        <v>1.083207</v>
      </c>
      <c r="F13" s="17">
        <f t="shared" si="0"/>
        <v>34.928009715000002</v>
      </c>
      <c r="G13" s="17"/>
      <c r="H13" s="13">
        <v>0.99620200000000003</v>
      </c>
      <c r="I13" s="17">
        <f t="shared" si="2"/>
        <v>9364.5976606000004</v>
      </c>
      <c r="J13" s="18">
        <f t="shared" si="3"/>
        <v>0.38442655311785645</v>
      </c>
      <c r="K13" s="17"/>
      <c r="L13" s="13">
        <v>1.116933</v>
      </c>
      <c r="M13" s="17">
        <f t="shared" si="4"/>
        <v>100.418978298</v>
      </c>
      <c r="N13" s="17"/>
      <c r="O13" s="13">
        <v>-44.57</v>
      </c>
      <c r="P13" s="17">
        <f t="shared" si="5"/>
        <v>484.94</v>
      </c>
      <c r="S13" s="45"/>
      <c r="T13" s="46">
        <f>AI84+(AG84-AI84)/(AH84-AJ84)*($T$3-AJ84)</f>
        <v>91.949023944000004</v>
      </c>
      <c r="U13">
        <f t="shared" si="6"/>
        <v>0</v>
      </c>
      <c r="V13">
        <f t="shared" si="1"/>
        <v>0</v>
      </c>
      <c r="W13" s="35">
        <f t="shared" si="7"/>
        <v>0</v>
      </c>
      <c r="X13" s="36">
        <f t="shared" si="8"/>
        <v>0</v>
      </c>
      <c r="Y13" s="35">
        <f t="shared" si="9"/>
        <v>0</v>
      </c>
      <c r="Z13" s="36">
        <f t="shared" si="10"/>
        <v>0</v>
      </c>
      <c r="AB13" s="35">
        <f t="shared" si="11"/>
        <v>0</v>
      </c>
      <c r="AC13" s="36">
        <f t="shared" si="12"/>
        <v>0</v>
      </c>
      <c r="AD13" s="35">
        <f t="shared" si="13"/>
        <v>0</v>
      </c>
      <c r="AE13" s="36">
        <f t="shared" si="14"/>
        <v>0</v>
      </c>
      <c r="AG13" s="35">
        <f t="shared" si="15"/>
        <v>0</v>
      </c>
      <c r="AH13" s="36">
        <f t="shared" si="16"/>
        <v>0</v>
      </c>
      <c r="AI13" s="35">
        <f t="shared" si="17"/>
        <v>0</v>
      </c>
      <c r="AJ13" s="36">
        <f t="shared" si="18"/>
        <v>0</v>
      </c>
      <c r="AL13" s="35">
        <f t="shared" si="19"/>
        <v>0</v>
      </c>
      <c r="AM13" s="36">
        <f t="shared" si="20"/>
        <v>0</v>
      </c>
      <c r="AN13" s="35">
        <f t="shared" si="21"/>
        <v>0</v>
      </c>
      <c r="AO13" s="36">
        <f t="shared" si="22"/>
        <v>0</v>
      </c>
    </row>
    <row r="14" spans="1:41" x14ac:dyDescent="0.3">
      <c r="A14">
        <v>529.51</v>
      </c>
      <c r="C14" s="1">
        <v>-19</v>
      </c>
      <c r="D14" s="1"/>
      <c r="E14" s="1">
        <v>1.086525</v>
      </c>
      <c r="F14">
        <f t="shared" si="0"/>
        <v>35.034998624999993</v>
      </c>
      <c r="H14" s="1">
        <v>0.99136199999999997</v>
      </c>
      <c r="I14">
        <f t="shared" si="2"/>
        <v>9319.100208599999</v>
      </c>
      <c r="J14" s="4">
        <f t="shared" si="3"/>
        <v>0.38630338974977341</v>
      </c>
      <c r="L14" s="1">
        <v>1.1144639999999999</v>
      </c>
      <c r="M14">
        <f t="shared" si="4"/>
        <v>100.19700038399999</v>
      </c>
      <c r="O14" s="1">
        <v>-45.07</v>
      </c>
      <c r="P14">
        <f t="shared" si="5"/>
        <v>484.44</v>
      </c>
      <c r="S14" s="45" t="s">
        <v>43</v>
      </c>
      <c r="T14" s="47">
        <f>T13/M48</f>
        <v>1.022724</v>
      </c>
      <c r="U14">
        <f t="shared" si="6"/>
        <v>0</v>
      </c>
      <c r="V14">
        <f t="shared" si="1"/>
        <v>0</v>
      </c>
      <c r="W14" s="35">
        <f t="shared" si="7"/>
        <v>0</v>
      </c>
      <c r="X14" s="36">
        <f t="shared" si="8"/>
        <v>0</v>
      </c>
      <c r="Y14" s="35">
        <f t="shared" si="9"/>
        <v>0</v>
      </c>
      <c r="Z14" s="36">
        <f t="shared" si="10"/>
        <v>0</v>
      </c>
      <c r="AB14" s="35">
        <f t="shared" si="11"/>
        <v>0</v>
      </c>
      <c r="AC14" s="36">
        <f t="shared" si="12"/>
        <v>0</v>
      </c>
      <c r="AD14" s="35">
        <f t="shared" si="13"/>
        <v>0</v>
      </c>
      <c r="AE14" s="36">
        <f t="shared" si="14"/>
        <v>0</v>
      </c>
      <c r="AG14" s="35">
        <f t="shared" si="15"/>
        <v>0</v>
      </c>
      <c r="AH14" s="36">
        <f t="shared" si="16"/>
        <v>0</v>
      </c>
      <c r="AI14" s="35">
        <f t="shared" si="17"/>
        <v>0</v>
      </c>
      <c r="AJ14" s="36">
        <f t="shared" si="18"/>
        <v>0</v>
      </c>
      <c r="AL14" s="35">
        <f t="shared" si="19"/>
        <v>0</v>
      </c>
      <c r="AM14" s="36">
        <f t="shared" si="20"/>
        <v>0</v>
      </c>
      <c r="AN14" s="35">
        <f t="shared" si="21"/>
        <v>0</v>
      </c>
      <c r="AO14" s="36">
        <f t="shared" si="22"/>
        <v>0</v>
      </c>
    </row>
    <row r="15" spans="1:41" x14ac:dyDescent="0.3">
      <c r="A15" t="s">
        <v>4</v>
      </c>
      <c r="C15" s="1">
        <v>-18</v>
      </c>
      <c r="D15" s="1"/>
      <c r="E15" s="1">
        <v>1.089874</v>
      </c>
      <c r="F15">
        <f t="shared" si="0"/>
        <v>35.142987129999995</v>
      </c>
      <c r="H15" s="1">
        <v>0.98653199999999996</v>
      </c>
      <c r="I15">
        <f t="shared" si="2"/>
        <v>9273.6967595999995</v>
      </c>
      <c r="J15" s="4">
        <f t="shared" si="3"/>
        <v>0.38819470738821937</v>
      </c>
      <c r="L15" s="1">
        <v>1.1119950000000001</v>
      </c>
      <c r="M15">
        <f t="shared" si="4"/>
        <v>99.975022470000013</v>
      </c>
      <c r="O15" s="1">
        <v>-45.6</v>
      </c>
      <c r="P15">
        <f t="shared" si="5"/>
        <v>483.90999999999997</v>
      </c>
      <c r="S15" s="45"/>
      <c r="T15" s="48"/>
      <c r="U15">
        <f t="shared" si="6"/>
        <v>0</v>
      </c>
      <c r="V15">
        <f t="shared" si="1"/>
        <v>0</v>
      </c>
      <c r="W15" s="35">
        <f t="shared" si="7"/>
        <v>0</v>
      </c>
      <c r="X15" s="36">
        <f t="shared" si="8"/>
        <v>0</v>
      </c>
      <c r="Y15" s="35">
        <f t="shared" si="9"/>
        <v>0</v>
      </c>
      <c r="Z15" s="36">
        <f t="shared" si="10"/>
        <v>0</v>
      </c>
      <c r="AB15" s="35">
        <f t="shared" si="11"/>
        <v>0</v>
      </c>
      <c r="AC15" s="36">
        <f t="shared" si="12"/>
        <v>0</v>
      </c>
      <c r="AD15" s="35">
        <f t="shared" si="13"/>
        <v>0</v>
      </c>
      <c r="AE15" s="36">
        <f t="shared" si="14"/>
        <v>0</v>
      </c>
      <c r="AG15" s="35">
        <f t="shared" si="15"/>
        <v>0</v>
      </c>
      <c r="AH15" s="36">
        <f t="shared" si="16"/>
        <v>0</v>
      </c>
      <c r="AI15" s="35">
        <f t="shared" si="17"/>
        <v>0</v>
      </c>
      <c r="AJ15" s="36">
        <f t="shared" si="18"/>
        <v>0</v>
      </c>
      <c r="AL15" s="35">
        <f t="shared" si="19"/>
        <v>0</v>
      </c>
      <c r="AM15" s="36">
        <f t="shared" si="20"/>
        <v>0</v>
      </c>
      <c r="AN15" s="35">
        <f t="shared" si="21"/>
        <v>0</v>
      </c>
      <c r="AO15" s="36">
        <f t="shared" si="22"/>
        <v>0</v>
      </c>
    </row>
    <row r="16" spans="1:41" x14ac:dyDescent="0.3">
      <c r="C16" s="1">
        <v>-17</v>
      </c>
      <c r="D16" s="1"/>
      <c r="E16" s="1">
        <v>1.093162</v>
      </c>
      <c r="F16">
        <f t="shared" si="0"/>
        <v>35.249008689999997</v>
      </c>
      <c r="H16" s="1">
        <v>0.98174499999999998</v>
      </c>
      <c r="I16">
        <f t="shared" si="2"/>
        <v>9228.6975234999991</v>
      </c>
      <c r="J16" s="4">
        <f t="shared" si="3"/>
        <v>0.39008754928124401</v>
      </c>
      <c r="L16" s="1">
        <v>1.109526</v>
      </c>
      <c r="M16">
        <f t="shared" si="4"/>
        <v>99.753044556000006</v>
      </c>
      <c r="O16" s="1">
        <v>-46.15</v>
      </c>
      <c r="P16">
        <f t="shared" si="5"/>
        <v>483.36</v>
      </c>
      <c r="S16" s="45"/>
      <c r="T16" s="46">
        <f>AN84+(AL84-AN84)/(AM84-AO84)*($T$3-AO84)</f>
        <v>525.79</v>
      </c>
      <c r="U16">
        <f t="shared" si="6"/>
        <v>0</v>
      </c>
      <c r="V16">
        <f t="shared" si="1"/>
        <v>0</v>
      </c>
      <c r="W16" s="35">
        <f t="shared" si="7"/>
        <v>0</v>
      </c>
      <c r="X16" s="36">
        <f t="shared" si="8"/>
        <v>0</v>
      </c>
      <c r="Y16" s="35">
        <f t="shared" si="9"/>
        <v>0</v>
      </c>
      <c r="Z16" s="36">
        <f t="shared" si="10"/>
        <v>0</v>
      </c>
      <c r="AB16" s="35">
        <f t="shared" si="11"/>
        <v>0</v>
      </c>
      <c r="AC16" s="36">
        <f t="shared" si="12"/>
        <v>0</v>
      </c>
      <c r="AD16" s="35">
        <f t="shared" si="13"/>
        <v>0</v>
      </c>
      <c r="AE16" s="36">
        <f t="shared" si="14"/>
        <v>0</v>
      </c>
      <c r="AG16" s="35">
        <f t="shared" si="15"/>
        <v>0</v>
      </c>
      <c r="AH16" s="36">
        <f t="shared" si="16"/>
        <v>0</v>
      </c>
      <c r="AI16" s="35">
        <f t="shared" si="17"/>
        <v>0</v>
      </c>
      <c r="AJ16" s="36">
        <f t="shared" si="18"/>
        <v>0</v>
      </c>
      <c r="AL16" s="35">
        <f t="shared" si="19"/>
        <v>0</v>
      </c>
      <c r="AM16" s="36">
        <f t="shared" si="20"/>
        <v>0</v>
      </c>
      <c r="AN16" s="35">
        <f t="shared" si="21"/>
        <v>0</v>
      </c>
      <c r="AO16" s="36">
        <f t="shared" si="22"/>
        <v>0</v>
      </c>
    </row>
    <row r="17" spans="3:41" ht="15" thickBot="1" x14ac:dyDescent="0.35">
      <c r="C17" s="1">
        <v>-16</v>
      </c>
      <c r="D17" s="1"/>
      <c r="E17" s="1">
        <v>1.096573</v>
      </c>
      <c r="F17">
        <f t="shared" si="0"/>
        <v>35.358996384999998</v>
      </c>
      <c r="H17" s="1">
        <v>0.97687299999999999</v>
      </c>
      <c r="I17">
        <f t="shared" si="2"/>
        <v>9182.8992619000001</v>
      </c>
      <c r="J17" s="4">
        <f t="shared" si="3"/>
        <v>0.39203304940264988</v>
      </c>
      <c r="L17" s="1">
        <v>1.107067</v>
      </c>
      <c r="M17">
        <f t="shared" si="4"/>
        <v>99.531965702000008</v>
      </c>
      <c r="O17" s="1">
        <v>-46.74</v>
      </c>
      <c r="P17">
        <f t="shared" si="5"/>
        <v>482.77</v>
      </c>
      <c r="S17" s="49" t="s">
        <v>44</v>
      </c>
      <c r="T17" s="50">
        <f>T16-P48</f>
        <v>-3.7200000000000273</v>
      </c>
      <c r="U17">
        <f t="shared" si="6"/>
        <v>0</v>
      </c>
      <c r="V17">
        <f t="shared" si="1"/>
        <v>0</v>
      </c>
      <c r="W17" s="35">
        <f t="shared" si="7"/>
        <v>0</v>
      </c>
      <c r="X17" s="36">
        <f t="shared" si="8"/>
        <v>0</v>
      </c>
      <c r="Y17" s="35">
        <f t="shared" si="9"/>
        <v>0</v>
      </c>
      <c r="Z17" s="36">
        <f t="shared" si="10"/>
        <v>0</v>
      </c>
      <c r="AB17" s="35">
        <f t="shared" si="11"/>
        <v>0</v>
      </c>
      <c r="AC17" s="36">
        <f t="shared" si="12"/>
        <v>0</v>
      </c>
      <c r="AD17" s="35">
        <f t="shared" si="13"/>
        <v>0</v>
      </c>
      <c r="AE17" s="36">
        <f t="shared" si="14"/>
        <v>0</v>
      </c>
      <c r="AG17" s="35">
        <f t="shared" si="15"/>
        <v>0</v>
      </c>
      <c r="AH17" s="36">
        <f t="shared" si="16"/>
        <v>0</v>
      </c>
      <c r="AI17" s="35">
        <f t="shared" si="17"/>
        <v>0</v>
      </c>
      <c r="AJ17" s="36">
        <f t="shared" si="18"/>
        <v>0</v>
      </c>
      <c r="AL17" s="35">
        <f t="shared" si="19"/>
        <v>0</v>
      </c>
      <c r="AM17" s="36">
        <f t="shared" si="20"/>
        <v>0</v>
      </c>
      <c r="AN17" s="35">
        <f t="shared" si="21"/>
        <v>0</v>
      </c>
      <c r="AO17" s="36">
        <f t="shared" si="22"/>
        <v>0</v>
      </c>
    </row>
    <row r="18" spans="3:41" x14ac:dyDescent="0.3">
      <c r="C18" s="13">
        <v>-15</v>
      </c>
      <c r="D18" s="13"/>
      <c r="E18" s="13">
        <v>1.0995809999999999</v>
      </c>
      <c r="F18" s="17">
        <f t="shared" si="0"/>
        <v>35.455989344999992</v>
      </c>
      <c r="G18" s="17"/>
      <c r="H18" s="13">
        <v>0.97309699999999999</v>
      </c>
      <c r="I18" s="17">
        <f t="shared" si="2"/>
        <v>9147.4037290999986</v>
      </c>
      <c r="J18" s="18">
        <f t="shared" si="3"/>
        <v>0.39355429219195504</v>
      </c>
      <c r="K18" s="17"/>
      <c r="L18" s="13">
        <v>1.104665</v>
      </c>
      <c r="M18" s="17">
        <f t="shared" si="4"/>
        <v>99.316011490000008</v>
      </c>
      <c r="N18" s="17"/>
      <c r="O18" s="13">
        <v>-46.69</v>
      </c>
      <c r="P18" s="17">
        <f t="shared" si="5"/>
        <v>482.82</v>
      </c>
      <c r="U18">
        <f t="shared" si="6"/>
        <v>0</v>
      </c>
      <c r="V18">
        <f t="shared" si="1"/>
        <v>0</v>
      </c>
      <c r="W18" s="35">
        <f t="shared" si="7"/>
        <v>0</v>
      </c>
      <c r="X18" s="36">
        <f t="shared" si="8"/>
        <v>0</v>
      </c>
      <c r="Y18" s="35">
        <f t="shared" si="9"/>
        <v>0</v>
      </c>
      <c r="Z18" s="36">
        <f t="shared" si="10"/>
        <v>0</v>
      </c>
      <c r="AB18" s="35">
        <f t="shared" si="11"/>
        <v>0</v>
      </c>
      <c r="AC18" s="36">
        <f t="shared" si="12"/>
        <v>0</v>
      </c>
      <c r="AD18" s="35">
        <f t="shared" si="13"/>
        <v>0</v>
      </c>
      <c r="AE18" s="36">
        <f t="shared" si="14"/>
        <v>0</v>
      </c>
      <c r="AG18" s="35">
        <f t="shared" si="15"/>
        <v>0</v>
      </c>
      <c r="AH18" s="36">
        <f t="shared" si="16"/>
        <v>0</v>
      </c>
      <c r="AI18" s="35">
        <f t="shared" si="17"/>
        <v>0</v>
      </c>
      <c r="AJ18" s="36">
        <f t="shared" si="18"/>
        <v>0</v>
      </c>
      <c r="AL18" s="35">
        <f t="shared" si="19"/>
        <v>0</v>
      </c>
      <c r="AM18" s="36">
        <f t="shared" si="20"/>
        <v>0</v>
      </c>
      <c r="AN18" s="35">
        <f t="shared" si="21"/>
        <v>0</v>
      </c>
      <c r="AO18" s="36">
        <f t="shared" si="22"/>
        <v>0</v>
      </c>
    </row>
    <row r="19" spans="3:41" x14ac:dyDescent="0.3">
      <c r="C19" s="1">
        <v>-14</v>
      </c>
      <c r="D19" s="1"/>
      <c r="E19" s="1">
        <v>1.100884</v>
      </c>
      <c r="F19">
        <f t="shared" si="0"/>
        <v>35.498004579999993</v>
      </c>
      <c r="H19" s="1">
        <v>0.97359700000000005</v>
      </c>
      <c r="I19">
        <f t="shared" si="2"/>
        <v>9152.1038790999992</v>
      </c>
      <c r="J19" s="4">
        <f t="shared" si="3"/>
        <v>0.39335217864179417</v>
      </c>
      <c r="L19" s="1">
        <v>1.102563</v>
      </c>
      <c r="M19">
        <f t="shared" si="4"/>
        <v>99.127029078000007</v>
      </c>
      <c r="O19" s="1">
        <v>-44.04</v>
      </c>
      <c r="P19">
        <f t="shared" si="5"/>
        <v>485.46999999999997</v>
      </c>
      <c r="U19">
        <f t="shared" si="6"/>
        <v>0</v>
      </c>
      <c r="V19">
        <f t="shared" si="1"/>
        <v>0</v>
      </c>
      <c r="W19" s="35">
        <f t="shared" si="7"/>
        <v>0</v>
      </c>
      <c r="X19" s="36">
        <f t="shared" si="8"/>
        <v>0</v>
      </c>
      <c r="Y19" s="35">
        <f t="shared" si="9"/>
        <v>0</v>
      </c>
      <c r="Z19" s="36">
        <f t="shared" si="10"/>
        <v>0</v>
      </c>
      <c r="AB19" s="35">
        <f t="shared" si="11"/>
        <v>0</v>
      </c>
      <c r="AC19" s="36">
        <f t="shared" si="12"/>
        <v>0</v>
      </c>
      <c r="AD19" s="35">
        <f t="shared" si="13"/>
        <v>0</v>
      </c>
      <c r="AE19" s="36">
        <f t="shared" si="14"/>
        <v>0</v>
      </c>
      <c r="AG19" s="35">
        <f t="shared" si="15"/>
        <v>0</v>
      </c>
      <c r="AH19" s="36">
        <f t="shared" si="16"/>
        <v>0</v>
      </c>
      <c r="AI19" s="35">
        <f t="shared" si="17"/>
        <v>0</v>
      </c>
      <c r="AJ19" s="36">
        <f t="shared" si="18"/>
        <v>0</v>
      </c>
      <c r="AL19" s="35">
        <f t="shared" si="19"/>
        <v>0</v>
      </c>
      <c r="AM19" s="36">
        <f t="shared" si="20"/>
        <v>0</v>
      </c>
      <c r="AN19" s="35">
        <f t="shared" si="21"/>
        <v>0</v>
      </c>
      <c r="AO19" s="36">
        <f t="shared" si="22"/>
        <v>0</v>
      </c>
    </row>
    <row r="20" spans="3:41" x14ac:dyDescent="0.3">
      <c r="C20" s="1">
        <v>-13</v>
      </c>
      <c r="D20" s="1"/>
      <c r="E20" s="1">
        <v>1.1021860000000001</v>
      </c>
      <c r="F20">
        <f t="shared" si="0"/>
        <v>35.539987570000001</v>
      </c>
      <c r="H20" s="1">
        <v>0.97411800000000004</v>
      </c>
      <c r="I20">
        <f t="shared" si="2"/>
        <v>9157.0014353999995</v>
      </c>
      <c r="J20" s="4">
        <f t="shared" si="3"/>
        <v>0.39314179706063829</v>
      </c>
      <c r="L20" s="1">
        <v>1.10046</v>
      </c>
      <c r="M20">
        <f t="shared" si="4"/>
        <v>98.937956760000006</v>
      </c>
      <c r="O20" s="1">
        <v>-41.38</v>
      </c>
      <c r="P20">
        <f t="shared" si="5"/>
        <v>488.13</v>
      </c>
      <c r="U20">
        <f t="shared" si="6"/>
        <v>0</v>
      </c>
      <c r="V20">
        <f t="shared" si="1"/>
        <v>0</v>
      </c>
      <c r="W20" s="35">
        <f t="shared" si="7"/>
        <v>0</v>
      </c>
      <c r="X20" s="36">
        <f t="shared" si="8"/>
        <v>0</v>
      </c>
      <c r="Y20" s="35">
        <f t="shared" si="9"/>
        <v>0</v>
      </c>
      <c r="Z20" s="36">
        <f t="shared" si="10"/>
        <v>0</v>
      </c>
      <c r="AB20" s="35">
        <f t="shared" si="11"/>
        <v>0</v>
      </c>
      <c r="AC20" s="36">
        <f t="shared" si="12"/>
        <v>0</v>
      </c>
      <c r="AD20" s="35">
        <f t="shared" si="13"/>
        <v>0</v>
      </c>
      <c r="AE20" s="36">
        <f t="shared" si="14"/>
        <v>0</v>
      </c>
      <c r="AG20" s="35">
        <f t="shared" si="15"/>
        <v>0</v>
      </c>
      <c r="AH20" s="36">
        <f t="shared" si="16"/>
        <v>0</v>
      </c>
      <c r="AI20" s="35">
        <f t="shared" si="17"/>
        <v>0</v>
      </c>
      <c r="AJ20" s="36">
        <f t="shared" si="18"/>
        <v>0</v>
      </c>
      <c r="AL20" s="35">
        <f t="shared" si="19"/>
        <v>0</v>
      </c>
      <c r="AM20" s="36">
        <f t="shared" si="20"/>
        <v>0</v>
      </c>
      <c r="AN20" s="35">
        <f t="shared" si="21"/>
        <v>0</v>
      </c>
      <c r="AO20" s="36">
        <f t="shared" si="22"/>
        <v>0</v>
      </c>
    </row>
    <row r="21" spans="3:41" x14ac:dyDescent="0.3">
      <c r="C21" s="1">
        <v>-12</v>
      </c>
      <c r="D21" s="1"/>
      <c r="E21" s="1">
        <v>1.1035820000000001</v>
      </c>
      <c r="F21">
        <f t="shared" si="0"/>
        <v>35.585001589999997</v>
      </c>
      <c r="H21" s="1">
        <v>0.97453299999999998</v>
      </c>
      <c r="I21">
        <f t="shared" si="2"/>
        <v>9160.9025598999997</v>
      </c>
      <c r="J21" s="4">
        <f t="shared" si="3"/>
        <v>0.39297437959424136</v>
      </c>
      <c r="L21" s="1">
        <v>1.0983689999999999</v>
      </c>
      <c r="M21">
        <f t="shared" si="4"/>
        <v>98.749963313999999</v>
      </c>
      <c r="O21" s="1">
        <v>-38.770000000000003</v>
      </c>
      <c r="P21">
        <f t="shared" si="5"/>
        <v>490.74</v>
      </c>
      <c r="U21">
        <f t="shared" si="6"/>
        <v>0</v>
      </c>
      <c r="V21">
        <f t="shared" si="1"/>
        <v>0</v>
      </c>
      <c r="W21" s="35">
        <f t="shared" si="7"/>
        <v>0</v>
      </c>
      <c r="X21" s="36">
        <f t="shared" si="8"/>
        <v>0</v>
      </c>
      <c r="Y21" s="35">
        <f t="shared" si="9"/>
        <v>0</v>
      </c>
      <c r="Z21" s="36">
        <f t="shared" si="10"/>
        <v>0</v>
      </c>
      <c r="AB21" s="35">
        <f t="shared" si="11"/>
        <v>0</v>
      </c>
      <c r="AC21" s="36">
        <f t="shared" si="12"/>
        <v>0</v>
      </c>
      <c r="AD21" s="35">
        <f t="shared" si="13"/>
        <v>0</v>
      </c>
      <c r="AE21" s="36">
        <f t="shared" si="14"/>
        <v>0</v>
      </c>
      <c r="AG21" s="35">
        <f t="shared" si="15"/>
        <v>0</v>
      </c>
      <c r="AH21" s="36">
        <f t="shared" si="16"/>
        <v>0</v>
      </c>
      <c r="AI21" s="35">
        <f t="shared" si="17"/>
        <v>0</v>
      </c>
      <c r="AJ21" s="36">
        <f t="shared" si="18"/>
        <v>0</v>
      </c>
      <c r="AL21" s="35">
        <f t="shared" si="19"/>
        <v>0</v>
      </c>
      <c r="AM21" s="36">
        <f t="shared" si="20"/>
        <v>0</v>
      </c>
      <c r="AN21" s="35">
        <f t="shared" si="21"/>
        <v>0</v>
      </c>
      <c r="AO21" s="36">
        <f t="shared" si="22"/>
        <v>0</v>
      </c>
    </row>
    <row r="22" spans="3:41" x14ac:dyDescent="0.3">
      <c r="C22" s="1">
        <v>-11</v>
      </c>
      <c r="D22" s="1"/>
      <c r="E22" s="1">
        <v>1.10476</v>
      </c>
      <c r="F22">
        <f t="shared" si="0"/>
        <v>35.622986199999993</v>
      </c>
      <c r="H22" s="1">
        <v>0.97512799999999999</v>
      </c>
      <c r="I22">
        <f t="shared" si="2"/>
        <v>9166.495738399999</v>
      </c>
      <c r="J22" s="4">
        <f t="shared" si="3"/>
        <v>0.39273459593931753</v>
      </c>
      <c r="L22" s="1">
        <v>1.0962890000000001</v>
      </c>
      <c r="M22">
        <f t="shared" si="4"/>
        <v>98.562958834000014</v>
      </c>
      <c r="O22" s="1">
        <v>-36.090000000000003</v>
      </c>
      <c r="P22">
        <f t="shared" si="5"/>
        <v>493.41999999999996</v>
      </c>
      <c r="U22">
        <f t="shared" si="6"/>
        <v>0</v>
      </c>
      <c r="V22">
        <f t="shared" si="1"/>
        <v>0</v>
      </c>
      <c r="W22" s="35">
        <f t="shared" si="7"/>
        <v>0</v>
      </c>
      <c r="X22" s="36">
        <f t="shared" si="8"/>
        <v>0</v>
      </c>
      <c r="Y22" s="35">
        <f t="shared" si="9"/>
        <v>0</v>
      </c>
      <c r="Z22" s="36">
        <f t="shared" si="10"/>
        <v>0</v>
      </c>
      <c r="AB22" s="35">
        <f t="shared" si="11"/>
        <v>0</v>
      </c>
      <c r="AC22" s="36">
        <f t="shared" si="12"/>
        <v>0</v>
      </c>
      <c r="AD22" s="35">
        <f t="shared" si="13"/>
        <v>0</v>
      </c>
      <c r="AE22" s="36">
        <f t="shared" si="14"/>
        <v>0</v>
      </c>
      <c r="AG22" s="35">
        <f t="shared" si="15"/>
        <v>0</v>
      </c>
      <c r="AH22" s="36">
        <f t="shared" si="16"/>
        <v>0</v>
      </c>
      <c r="AI22" s="35">
        <f t="shared" si="17"/>
        <v>0</v>
      </c>
      <c r="AJ22" s="36">
        <f t="shared" si="18"/>
        <v>0</v>
      </c>
      <c r="AL22" s="35">
        <f t="shared" si="19"/>
        <v>0</v>
      </c>
      <c r="AM22" s="36">
        <f t="shared" si="20"/>
        <v>0</v>
      </c>
      <c r="AN22" s="35">
        <f t="shared" si="21"/>
        <v>0</v>
      </c>
      <c r="AO22" s="36">
        <f t="shared" si="22"/>
        <v>0</v>
      </c>
    </row>
    <row r="23" spans="3:41" x14ac:dyDescent="0.3">
      <c r="C23" s="13">
        <v>-10</v>
      </c>
      <c r="D23" s="13"/>
      <c r="E23" s="13">
        <v>1.1059079999999999</v>
      </c>
      <c r="F23" s="17">
        <f t="shared" si="0"/>
        <v>35.660003459999992</v>
      </c>
      <c r="G23" s="17"/>
      <c r="H23" s="13">
        <v>0.97572400000000004</v>
      </c>
      <c r="I23" s="17">
        <f t="shared" si="2"/>
        <v>9172.0983171999997</v>
      </c>
      <c r="J23" s="18">
        <f t="shared" si="3"/>
        <v>0.3924947024661839</v>
      </c>
      <c r="K23" s="17"/>
      <c r="L23" s="13">
        <v>1.094198</v>
      </c>
      <c r="M23" s="17">
        <f t="shared" si="4"/>
        <v>98.374965388000007</v>
      </c>
      <c r="N23" s="17"/>
      <c r="O23" s="13">
        <v>-33.42</v>
      </c>
      <c r="P23" s="17">
        <f t="shared" si="5"/>
        <v>496.09</v>
      </c>
      <c r="U23">
        <f t="shared" si="6"/>
        <v>0</v>
      </c>
      <c r="V23">
        <f t="shared" si="1"/>
        <v>0</v>
      </c>
      <c r="W23" s="35">
        <f t="shared" si="7"/>
        <v>0</v>
      </c>
      <c r="X23" s="36">
        <f t="shared" si="8"/>
        <v>0</v>
      </c>
      <c r="Y23" s="35">
        <f t="shared" si="9"/>
        <v>0</v>
      </c>
      <c r="Z23" s="36">
        <f t="shared" si="10"/>
        <v>0</v>
      </c>
      <c r="AB23" s="35">
        <f t="shared" si="11"/>
        <v>0</v>
      </c>
      <c r="AC23" s="36">
        <f t="shared" si="12"/>
        <v>0</v>
      </c>
      <c r="AD23" s="35">
        <f t="shared" si="13"/>
        <v>0</v>
      </c>
      <c r="AE23" s="36">
        <f t="shared" si="14"/>
        <v>0</v>
      </c>
      <c r="AG23" s="35">
        <f t="shared" si="15"/>
        <v>0</v>
      </c>
      <c r="AH23" s="36">
        <f t="shared" si="16"/>
        <v>0</v>
      </c>
      <c r="AI23" s="35">
        <f t="shared" si="17"/>
        <v>0</v>
      </c>
      <c r="AJ23" s="36">
        <f t="shared" si="18"/>
        <v>0</v>
      </c>
      <c r="AL23" s="35">
        <f t="shared" si="19"/>
        <v>0</v>
      </c>
      <c r="AM23" s="36">
        <f t="shared" si="20"/>
        <v>0</v>
      </c>
      <c r="AN23" s="35">
        <f t="shared" si="21"/>
        <v>0</v>
      </c>
      <c r="AO23" s="36">
        <f t="shared" si="22"/>
        <v>0</v>
      </c>
    </row>
    <row r="24" spans="3:41" x14ac:dyDescent="0.3">
      <c r="C24" s="1">
        <v>-9</v>
      </c>
      <c r="D24" s="1"/>
      <c r="E24" s="1">
        <v>1.107024</v>
      </c>
      <c r="F24">
        <f t="shared" si="0"/>
        <v>35.695988879999994</v>
      </c>
      <c r="H24" s="1">
        <v>0.97634100000000001</v>
      </c>
      <c r="I24">
        <f t="shared" si="2"/>
        <v>9177.8983023000001</v>
      </c>
      <c r="J24" s="4">
        <f t="shared" si="3"/>
        <v>0.39224666491432275</v>
      </c>
      <c r="L24" s="1">
        <v>1.0921179999999999</v>
      </c>
      <c r="M24">
        <f t="shared" si="4"/>
        <v>98.187960907999994</v>
      </c>
      <c r="O24" s="1">
        <v>-30.75</v>
      </c>
      <c r="P24">
        <f t="shared" si="5"/>
        <v>498.76</v>
      </c>
      <c r="U24">
        <f t="shared" si="6"/>
        <v>0</v>
      </c>
      <c r="V24">
        <f t="shared" si="1"/>
        <v>0</v>
      </c>
      <c r="W24" s="35">
        <f t="shared" si="7"/>
        <v>0</v>
      </c>
      <c r="X24" s="36">
        <f t="shared" si="8"/>
        <v>0</v>
      </c>
      <c r="Y24" s="35">
        <f t="shared" si="9"/>
        <v>0</v>
      </c>
      <c r="Z24" s="36">
        <f t="shared" si="10"/>
        <v>0</v>
      </c>
      <c r="AB24" s="35">
        <f t="shared" si="11"/>
        <v>0</v>
      </c>
      <c r="AC24" s="36">
        <f t="shared" si="12"/>
        <v>0</v>
      </c>
      <c r="AD24" s="35">
        <f t="shared" si="13"/>
        <v>0</v>
      </c>
      <c r="AE24" s="36">
        <f t="shared" si="14"/>
        <v>0</v>
      </c>
      <c r="AG24" s="35">
        <f t="shared" si="15"/>
        <v>0</v>
      </c>
      <c r="AH24" s="36">
        <f t="shared" si="16"/>
        <v>0</v>
      </c>
      <c r="AI24" s="35">
        <f t="shared" si="17"/>
        <v>0</v>
      </c>
      <c r="AJ24" s="36">
        <f t="shared" si="18"/>
        <v>0</v>
      </c>
      <c r="AL24" s="35">
        <f t="shared" si="19"/>
        <v>0</v>
      </c>
      <c r="AM24" s="36">
        <f t="shared" si="20"/>
        <v>0</v>
      </c>
      <c r="AN24" s="35">
        <f t="shared" si="21"/>
        <v>0</v>
      </c>
      <c r="AO24" s="36">
        <f t="shared" si="22"/>
        <v>0</v>
      </c>
    </row>
    <row r="25" spans="3:41" x14ac:dyDescent="0.3">
      <c r="C25" s="1">
        <v>-8</v>
      </c>
      <c r="D25" s="1"/>
      <c r="E25" s="1">
        <v>1.1081719999999999</v>
      </c>
      <c r="F25">
        <f t="shared" si="0"/>
        <v>35.733006139999993</v>
      </c>
      <c r="H25" s="1">
        <v>0.97686200000000001</v>
      </c>
      <c r="I25">
        <f t="shared" si="2"/>
        <v>9182.7958585999986</v>
      </c>
      <c r="J25" s="4">
        <f t="shared" si="3"/>
        <v>0.39203746390904232</v>
      </c>
      <c r="L25" s="1">
        <v>1.09005</v>
      </c>
      <c r="M25">
        <f t="shared" si="4"/>
        <v>98.002035300000003</v>
      </c>
      <c r="O25" s="1">
        <v>-28.15</v>
      </c>
      <c r="P25">
        <f t="shared" si="5"/>
        <v>501.36</v>
      </c>
      <c r="U25">
        <f t="shared" si="6"/>
        <v>0</v>
      </c>
      <c r="V25">
        <f t="shared" si="1"/>
        <v>0</v>
      </c>
      <c r="W25" s="35">
        <f t="shared" si="7"/>
        <v>0</v>
      </c>
      <c r="X25" s="36">
        <f t="shared" si="8"/>
        <v>0</v>
      </c>
      <c r="Y25" s="35">
        <f t="shared" si="9"/>
        <v>0</v>
      </c>
      <c r="Z25" s="36">
        <f t="shared" si="10"/>
        <v>0</v>
      </c>
      <c r="AB25" s="35">
        <f t="shared" si="11"/>
        <v>0</v>
      </c>
      <c r="AC25" s="36">
        <f t="shared" si="12"/>
        <v>0</v>
      </c>
      <c r="AD25" s="35">
        <f t="shared" si="13"/>
        <v>0</v>
      </c>
      <c r="AE25" s="36">
        <f t="shared" si="14"/>
        <v>0</v>
      </c>
      <c r="AG25" s="35">
        <f t="shared" si="15"/>
        <v>0</v>
      </c>
      <c r="AH25" s="36">
        <f t="shared" si="16"/>
        <v>0</v>
      </c>
      <c r="AI25" s="35">
        <f t="shared" si="17"/>
        <v>0</v>
      </c>
      <c r="AJ25" s="36">
        <f t="shared" si="18"/>
        <v>0</v>
      </c>
      <c r="AL25" s="35">
        <f t="shared" si="19"/>
        <v>0</v>
      </c>
      <c r="AM25" s="36">
        <f t="shared" si="20"/>
        <v>0</v>
      </c>
      <c r="AN25" s="35">
        <f t="shared" si="21"/>
        <v>0</v>
      </c>
      <c r="AO25" s="36">
        <f t="shared" si="22"/>
        <v>0</v>
      </c>
    </row>
    <row r="26" spans="3:41" x14ac:dyDescent="0.3">
      <c r="C26" s="1">
        <v>-7</v>
      </c>
      <c r="D26" s="1"/>
      <c r="E26" s="1">
        <v>1.109226</v>
      </c>
      <c r="F26">
        <f t="shared" si="0"/>
        <v>35.766992369999997</v>
      </c>
      <c r="H26" s="1">
        <v>0.97751100000000002</v>
      </c>
      <c r="I26">
        <f t="shared" si="2"/>
        <v>9188.8966533000003</v>
      </c>
      <c r="J26" s="4">
        <f t="shared" si="3"/>
        <v>0.39177717802573558</v>
      </c>
      <c r="L26" s="1">
        <v>1.0879810000000001</v>
      </c>
      <c r="M26">
        <f t="shared" si="4"/>
        <v>97.816019786000012</v>
      </c>
      <c r="O26" s="1">
        <v>-25.48</v>
      </c>
      <c r="P26">
        <f t="shared" si="5"/>
        <v>504.03</v>
      </c>
      <c r="U26">
        <f t="shared" si="6"/>
        <v>0</v>
      </c>
      <c r="V26">
        <f t="shared" si="1"/>
        <v>0</v>
      </c>
      <c r="W26" s="35">
        <f t="shared" si="7"/>
        <v>0</v>
      </c>
      <c r="X26" s="36">
        <f t="shared" si="8"/>
        <v>0</v>
      </c>
      <c r="Y26" s="35">
        <f t="shared" si="9"/>
        <v>0</v>
      </c>
      <c r="Z26" s="36">
        <f t="shared" si="10"/>
        <v>0</v>
      </c>
      <c r="AB26" s="35">
        <f t="shared" si="11"/>
        <v>0</v>
      </c>
      <c r="AC26" s="36">
        <f t="shared" si="12"/>
        <v>0</v>
      </c>
      <c r="AD26" s="35">
        <f t="shared" si="13"/>
        <v>0</v>
      </c>
      <c r="AE26" s="36">
        <f t="shared" si="14"/>
        <v>0</v>
      </c>
      <c r="AG26" s="35">
        <f t="shared" si="15"/>
        <v>0</v>
      </c>
      <c r="AH26" s="36">
        <f t="shared" si="16"/>
        <v>0</v>
      </c>
      <c r="AI26" s="35">
        <f t="shared" si="17"/>
        <v>0</v>
      </c>
      <c r="AJ26" s="36">
        <f t="shared" si="18"/>
        <v>0</v>
      </c>
      <c r="AL26" s="35">
        <f t="shared" si="19"/>
        <v>0</v>
      </c>
      <c r="AM26" s="36">
        <f t="shared" si="20"/>
        <v>0</v>
      </c>
      <c r="AN26" s="35">
        <f t="shared" si="21"/>
        <v>0</v>
      </c>
      <c r="AO26" s="36">
        <f t="shared" si="22"/>
        <v>0</v>
      </c>
    </row>
    <row r="27" spans="3:41" x14ac:dyDescent="0.3">
      <c r="C27" s="1">
        <v>-6</v>
      </c>
      <c r="D27" s="1"/>
      <c r="E27" s="1">
        <v>1.11025</v>
      </c>
      <c r="F27">
        <f t="shared" si="0"/>
        <v>35.800011249999997</v>
      </c>
      <c r="H27" s="1">
        <v>0.97807500000000003</v>
      </c>
      <c r="I27">
        <f t="shared" si="2"/>
        <v>9194.1984224999997</v>
      </c>
      <c r="J27" s="4">
        <f t="shared" si="3"/>
        <v>0.39155126249941447</v>
      </c>
      <c r="L27" s="1">
        <v>1.085901</v>
      </c>
      <c r="M27">
        <f t="shared" si="4"/>
        <v>97.629015306000014</v>
      </c>
      <c r="O27" s="1">
        <v>-22.88</v>
      </c>
      <c r="P27">
        <f t="shared" si="5"/>
        <v>506.63</v>
      </c>
      <c r="U27">
        <f t="shared" si="6"/>
        <v>0</v>
      </c>
      <c r="V27">
        <f t="shared" si="1"/>
        <v>0</v>
      </c>
      <c r="W27" s="35">
        <f t="shared" si="7"/>
        <v>0</v>
      </c>
      <c r="X27" s="36">
        <f t="shared" si="8"/>
        <v>0</v>
      </c>
      <c r="Y27" s="35">
        <f t="shared" si="9"/>
        <v>0</v>
      </c>
      <c r="Z27" s="36">
        <f t="shared" si="10"/>
        <v>0</v>
      </c>
      <c r="AB27" s="35">
        <f t="shared" si="11"/>
        <v>0</v>
      </c>
      <c r="AC27" s="36">
        <f t="shared" si="12"/>
        <v>0</v>
      </c>
      <c r="AD27" s="35">
        <f t="shared" si="13"/>
        <v>0</v>
      </c>
      <c r="AE27" s="36">
        <f t="shared" si="14"/>
        <v>0</v>
      </c>
      <c r="AG27" s="35">
        <f t="shared" si="15"/>
        <v>0</v>
      </c>
      <c r="AH27" s="36">
        <f t="shared" si="16"/>
        <v>0</v>
      </c>
      <c r="AI27" s="35">
        <f t="shared" si="17"/>
        <v>0</v>
      </c>
      <c r="AJ27" s="36">
        <f t="shared" si="18"/>
        <v>0</v>
      </c>
      <c r="AL27" s="35">
        <f t="shared" si="19"/>
        <v>0</v>
      </c>
      <c r="AM27" s="36">
        <f t="shared" si="20"/>
        <v>0</v>
      </c>
      <c r="AN27" s="35">
        <f t="shared" si="21"/>
        <v>0</v>
      </c>
      <c r="AO27" s="36">
        <f t="shared" si="22"/>
        <v>0</v>
      </c>
    </row>
    <row r="28" spans="3:41" x14ac:dyDescent="0.3">
      <c r="C28" s="13">
        <v>-5</v>
      </c>
      <c r="D28" s="13"/>
      <c r="E28" s="13">
        <v>1.1112420000000001</v>
      </c>
      <c r="F28" s="17">
        <f t="shared" si="0"/>
        <v>35.831998290000001</v>
      </c>
      <c r="G28" s="17"/>
      <c r="H28" s="13">
        <v>0.97572400000000004</v>
      </c>
      <c r="I28" s="17">
        <f t="shared" ref="I28:I29" si="23">H28*$A$6</f>
        <v>9172.0983171999997</v>
      </c>
      <c r="J28" s="18">
        <f t="shared" ref="J28:J29" si="24">1/(I28/3600)</f>
        <v>0.3924947024661839</v>
      </c>
      <c r="K28" s="17"/>
      <c r="L28" s="13">
        <v>1.094198</v>
      </c>
      <c r="M28" s="17">
        <f t="shared" si="4"/>
        <v>98.374965388000007</v>
      </c>
      <c r="N28" s="17"/>
      <c r="O28" s="13">
        <v>-33.42</v>
      </c>
      <c r="P28" s="17">
        <f t="shared" si="5"/>
        <v>496.09</v>
      </c>
      <c r="U28">
        <f t="shared" si="6"/>
        <v>0</v>
      </c>
      <c r="V28">
        <f t="shared" si="1"/>
        <v>0</v>
      </c>
      <c r="W28" s="35">
        <f t="shared" si="7"/>
        <v>0</v>
      </c>
      <c r="X28" s="36">
        <f t="shared" si="8"/>
        <v>0</v>
      </c>
      <c r="Y28" s="35">
        <f t="shared" si="9"/>
        <v>0</v>
      </c>
      <c r="Z28" s="36">
        <f t="shared" si="10"/>
        <v>0</v>
      </c>
      <c r="AB28" s="35">
        <f t="shared" si="11"/>
        <v>0</v>
      </c>
      <c r="AC28" s="36">
        <f t="shared" si="12"/>
        <v>0</v>
      </c>
      <c r="AD28" s="35">
        <f t="shared" si="13"/>
        <v>0</v>
      </c>
      <c r="AE28" s="36">
        <f t="shared" si="14"/>
        <v>0</v>
      </c>
      <c r="AG28" s="35">
        <f t="shared" si="15"/>
        <v>0</v>
      </c>
      <c r="AH28" s="36">
        <f t="shared" si="16"/>
        <v>0</v>
      </c>
      <c r="AI28" s="35">
        <f t="shared" si="17"/>
        <v>0</v>
      </c>
      <c r="AJ28" s="36">
        <f t="shared" si="18"/>
        <v>0</v>
      </c>
      <c r="AL28" s="35">
        <f t="shared" si="19"/>
        <v>0</v>
      </c>
      <c r="AM28" s="36">
        <f t="shared" si="20"/>
        <v>0</v>
      </c>
      <c r="AN28" s="35">
        <f t="shared" si="21"/>
        <v>0</v>
      </c>
      <c r="AO28" s="36">
        <f t="shared" si="22"/>
        <v>0</v>
      </c>
    </row>
    <row r="29" spans="3:41" x14ac:dyDescent="0.3">
      <c r="C29" s="1">
        <v>-4</v>
      </c>
      <c r="D29" s="1"/>
      <c r="E29" s="1">
        <v>1.1122030000000001</v>
      </c>
      <c r="F29">
        <f t="shared" si="0"/>
        <v>35.862985735000002</v>
      </c>
      <c r="H29" s="1">
        <v>0.979267</v>
      </c>
      <c r="I29">
        <f t="shared" si="23"/>
        <v>9205.4035800999991</v>
      </c>
      <c r="J29" s="4">
        <f t="shared" si="24"/>
        <v>0.39107465182541112</v>
      </c>
      <c r="L29" s="1">
        <v>1.081774</v>
      </c>
      <c r="M29">
        <f t="shared" si="4"/>
        <v>97.257973244000013</v>
      </c>
      <c r="O29" s="1">
        <v>-17.7</v>
      </c>
      <c r="P29">
        <f t="shared" si="5"/>
        <v>511.81</v>
      </c>
      <c r="U29">
        <f t="shared" si="6"/>
        <v>0</v>
      </c>
      <c r="V29">
        <f t="shared" si="1"/>
        <v>0</v>
      </c>
      <c r="W29" s="35">
        <f t="shared" si="7"/>
        <v>0</v>
      </c>
      <c r="X29" s="36">
        <f t="shared" si="8"/>
        <v>0</v>
      </c>
      <c r="Y29" s="35">
        <f t="shared" si="9"/>
        <v>0</v>
      </c>
      <c r="Z29" s="36">
        <f t="shared" si="10"/>
        <v>0</v>
      </c>
      <c r="AB29" s="35">
        <f t="shared" si="11"/>
        <v>0</v>
      </c>
      <c r="AC29" s="36">
        <f t="shared" si="12"/>
        <v>0</v>
      </c>
      <c r="AD29" s="35">
        <f t="shared" si="13"/>
        <v>0</v>
      </c>
      <c r="AE29" s="36">
        <f t="shared" si="14"/>
        <v>0</v>
      </c>
      <c r="AG29" s="35">
        <f t="shared" si="15"/>
        <v>0</v>
      </c>
      <c r="AH29" s="36">
        <f t="shared" si="16"/>
        <v>0</v>
      </c>
      <c r="AI29" s="35">
        <f t="shared" si="17"/>
        <v>0</v>
      </c>
      <c r="AJ29" s="36">
        <f t="shared" si="18"/>
        <v>0</v>
      </c>
      <c r="AL29" s="35">
        <f t="shared" si="19"/>
        <v>0</v>
      </c>
      <c r="AM29" s="36">
        <f t="shared" si="20"/>
        <v>0</v>
      </c>
      <c r="AN29" s="35">
        <f t="shared" si="21"/>
        <v>0</v>
      </c>
      <c r="AO29" s="36">
        <f t="shared" si="22"/>
        <v>0</v>
      </c>
    </row>
    <row r="30" spans="3:41" x14ac:dyDescent="0.3">
      <c r="C30" s="1">
        <v>-3</v>
      </c>
      <c r="D30" s="1"/>
      <c r="E30" s="1">
        <v>1.113103</v>
      </c>
      <c r="F30">
        <f t="shared" si="0"/>
        <v>35.892006234999997</v>
      </c>
      <c r="H30" s="1">
        <v>0.97982999999999998</v>
      </c>
      <c r="I30">
        <f t="shared" si="2"/>
        <v>9210.695948999999</v>
      </c>
      <c r="J30" s="4">
        <f t="shared" si="3"/>
        <v>0.39084994444864396</v>
      </c>
      <c r="L30" s="1">
        <v>1.0797049999999999</v>
      </c>
      <c r="M30">
        <f t="shared" si="4"/>
        <v>97.071957729999994</v>
      </c>
      <c r="O30" s="1">
        <v>-15.16</v>
      </c>
      <c r="P30">
        <f t="shared" si="5"/>
        <v>514.35</v>
      </c>
      <c r="U30">
        <f t="shared" si="6"/>
        <v>0</v>
      </c>
      <c r="V30">
        <f t="shared" si="1"/>
        <v>0</v>
      </c>
      <c r="W30" s="35">
        <f t="shared" si="7"/>
        <v>0</v>
      </c>
      <c r="X30" s="36">
        <f t="shared" si="8"/>
        <v>0</v>
      </c>
      <c r="Y30" s="35">
        <f t="shared" si="9"/>
        <v>0</v>
      </c>
      <c r="Z30" s="36">
        <f t="shared" si="10"/>
        <v>0</v>
      </c>
      <c r="AB30" s="35">
        <f t="shared" si="11"/>
        <v>0</v>
      </c>
      <c r="AC30" s="36">
        <f t="shared" si="12"/>
        <v>0</v>
      </c>
      <c r="AD30" s="35">
        <f t="shared" si="13"/>
        <v>0</v>
      </c>
      <c r="AE30" s="36">
        <f t="shared" si="14"/>
        <v>0</v>
      </c>
      <c r="AG30" s="35">
        <f t="shared" si="15"/>
        <v>0</v>
      </c>
      <c r="AH30" s="36">
        <f t="shared" si="16"/>
        <v>0</v>
      </c>
      <c r="AI30" s="35">
        <f t="shared" si="17"/>
        <v>0</v>
      </c>
      <c r="AJ30" s="36">
        <f t="shared" si="18"/>
        <v>0</v>
      </c>
      <c r="AL30" s="35">
        <f t="shared" si="19"/>
        <v>0</v>
      </c>
      <c r="AM30" s="36">
        <f t="shared" si="20"/>
        <v>0</v>
      </c>
      <c r="AN30" s="35">
        <f t="shared" si="21"/>
        <v>0</v>
      </c>
      <c r="AO30" s="36">
        <f t="shared" si="22"/>
        <v>0</v>
      </c>
    </row>
    <row r="31" spans="3:41" x14ac:dyDescent="0.3">
      <c r="C31" s="1">
        <v>-2</v>
      </c>
      <c r="D31" s="1"/>
      <c r="E31" s="1">
        <v>1.1138159999999999</v>
      </c>
      <c r="F31">
        <f t="shared" si="0"/>
        <v>35.914996919999993</v>
      </c>
      <c r="H31" s="1">
        <v>0.98051100000000002</v>
      </c>
      <c r="I31">
        <f t="shared" si="2"/>
        <v>9217.0975533000001</v>
      </c>
      <c r="J31" s="4">
        <f t="shared" si="3"/>
        <v>0.39057848516652521</v>
      </c>
      <c r="L31" s="1">
        <v>1.0776479999999999</v>
      </c>
      <c r="M31">
        <f t="shared" si="4"/>
        <v>96.887021087999997</v>
      </c>
      <c r="O31" s="1">
        <v>-12.6</v>
      </c>
      <c r="P31">
        <f t="shared" si="5"/>
        <v>516.91</v>
      </c>
      <c r="U31">
        <f t="shared" si="6"/>
        <v>0</v>
      </c>
      <c r="V31">
        <f t="shared" si="1"/>
        <v>0</v>
      </c>
      <c r="W31" s="35">
        <f t="shared" si="7"/>
        <v>0</v>
      </c>
      <c r="X31" s="36">
        <f t="shared" si="8"/>
        <v>0</v>
      </c>
      <c r="Y31" s="35">
        <f t="shared" si="9"/>
        <v>0</v>
      </c>
      <c r="Z31" s="36">
        <f t="shared" si="10"/>
        <v>0</v>
      </c>
      <c r="AB31" s="35">
        <f t="shared" si="11"/>
        <v>0</v>
      </c>
      <c r="AC31" s="36">
        <f t="shared" si="12"/>
        <v>0</v>
      </c>
      <c r="AD31" s="35">
        <f t="shared" si="13"/>
        <v>0</v>
      </c>
      <c r="AE31" s="36">
        <f t="shared" si="14"/>
        <v>0</v>
      </c>
      <c r="AG31" s="35">
        <f t="shared" si="15"/>
        <v>0</v>
      </c>
      <c r="AH31" s="36">
        <f t="shared" si="16"/>
        <v>0</v>
      </c>
      <c r="AI31" s="35">
        <f t="shared" si="17"/>
        <v>0</v>
      </c>
      <c r="AJ31" s="36">
        <f t="shared" si="18"/>
        <v>0</v>
      </c>
      <c r="AL31" s="35">
        <f t="shared" si="19"/>
        <v>0</v>
      </c>
      <c r="AM31" s="36">
        <f t="shared" si="20"/>
        <v>0</v>
      </c>
      <c r="AN31" s="35">
        <f t="shared" si="21"/>
        <v>0</v>
      </c>
      <c r="AO31" s="36">
        <f t="shared" si="22"/>
        <v>0</v>
      </c>
    </row>
    <row r="32" spans="3:41" x14ac:dyDescent="0.3">
      <c r="C32" s="1">
        <v>-1</v>
      </c>
      <c r="D32" s="1"/>
      <c r="E32" s="1">
        <v>1.110188</v>
      </c>
      <c r="F32">
        <f t="shared" si="0"/>
        <v>35.798012059999998</v>
      </c>
      <c r="H32" s="1">
        <v>0.98101099999999997</v>
      </c>
      <c r="I32">
        <f t="shared" si="2"/>
        <v>9221.7977032999988</v>
      </c>
      <c r="J32" s="4">
        <f t="shared" si="3"/>
        <v>0.39037941579565866</v>
      </c>
      <c r="L32" s="1">
        <v>1.0743549999999999</v>
      </c>
      <c r="M32">
        <f t="shared" si="4"/>
        <v>96.590960629999998</v>
      </c>
      <c r="O32" s="1">
        <v>-11.5</v>
      </c>
      <c r="P32">
        <f t="shared" si="5"/>
        <v>518.01</v>
      </c>
      <c r="U32">
        <f t="shared" si="6"/>
        <v>0</v>
      </c>
      <c r="V32">
        <f t="shared" si="1"/>
        <v>0</v>
      </c>
      <c r="W32" s="35">
        <f t="shared" si="7"/>
        <v>0</v>
      </c>
      <c r="X32" s="36">
        <f t="shared" si="8"/>
        <v>0</v>
      </c>
      <c r="Y32" s="35">
        <f t="shared" si="9"/>
        <v>0</v>
      </c>
      <c r="Z32" s="36">
        <f t="shared" si="10"/>
        <v>0</v>
      </c>
      <c r="AB32" s="35">
        <f t="shared" si="11"/>
        <v>0</v>
      </c>
      <c r="AC32" s="36">
        <f t="shared" si="12"/>
        <v>0</v>
      </c>
      <c r="AD32" s="35">
        <f t="shared" si="13"/>
        <v>0</v>
      </c>
      <c r="AE32" s="36">
        <f t="shared" si="14"/>
        <v>0</v>
      </c>
      <c r="AG32" s="35">
        <f t="shared" si="15"/>
        <v>0</v>
      </c>
      <c r="AH32" s="36">
        <f t="shared" si="16"/>
        <v>0</v>
      </c>
      <c r="AI32" s="35">
        <f t="shared" si="17"/>
        <v>0</v>
      </c>
      <c r="AJ32" s="36">
        <f t="shared" si="18"/>
        <v>0</v>
      </c>
      <c r="AL32" s="35">
        <f t="shared" si="19"/>
        <v>0</v>
      </c>
      <c r="AM32" s="36">
        <f t="shared" si="20"/>
        <v>0</v>
      </c>
      <c r="AN32" s="35">
        <f t="shared" si="21"/>
        <v>0</v>
      </c>
      <c r="AO32" s="36">
        <f t="shared" si="22"/>
        <v>0</v>
      </c>
    </row>
    <row r="33" spans="2:41" x14ac:dyDescent="0.3">
      <c r="C33" s="13">
        <v>0</v>
      </c>
      <c r="D33" s="13"/>
      <c r="E33" s="13">
        <v>1.104636</v>
      </c>
      <c r="F33" s="17">
        <f t="shared" si="0"/>
        <v>35.618987819999994</v>
      </c>
      <c r="G33" s="17"/>
      <c r="H33" s="13">
        <v>0.98150099999999996</v>
      </c>
      <c r="I33" s="17">
        <f t="shared" si="2"/>
        <v>9226.4038502999992</v>
      </c>
      <c r="J33" s="18">
        <f t="shared" si="3"/>
        <v>0.39018452458949587</v>
      </c>
      <c r="K33" s="17"/>
      <c r="L33" s="13">
        <v>1.0705849999999999</v>
      </c>
      <c r="M33" s="17">
        <f t="shared" si="4"/>
        <v>96.252015009999994</v>
      </c>
      <c r="N33" s="17"/>
      <c r="O33" s="13">
        <v>-11.02</v>
      </c>
      <c r="P33" s="17">
        <f t="shared" si="5"/>
        <v>518.49</v>
      </c>
      <c r="U33">
        <f t="shared" si="6"/>
        <v>0</v>
      </c>
      <c r="V33">
        <f t="shared" si="1"/>
        <v>0</v>
      </c>
      <c r="W33" s="35">
        <f t="shared" si="7"/>
        <v>0</v>
      </c>
      <c r="X33" s="36">
        <f t="shared" si="8"/>
        <v>0</v>
      </c>
      <c r="Y33" s="35">
        <f t="shared" si="9"/>
        <v>0</v>
      </c>
      <c r="Z33" s="36">
        <f t="shared" si="10"/>
        <v>0</v>
      </c>
      <c r="AB33" s="35">
        <f t="shared" si="11"/>
        <v>0</v>
      </c>
      <c r="AC33" s="36">
        <f t="shared" si="12"/>
        <v>0</v>
      </c>
      <c r="AD33" s="35">
        <f t="shared" si="13"/>
        <v>0</v>
      </c>
      <c r="AE33" s="36">
        <f t="shared" si="14"/>
        <v>0</v>
      </c>
      <c r="AG33" s="35">
        <f t="shared" si="15"/>
        <v>0</v>
      </c>
      <c r="AH33" s="36">
        <f t="shared" si="16"/>
        <v>0</v>
      </c>
      <c r="AI33" s="35">
        <f t="shared" si="17"/>
        <v>0</v>
      </c>
      <c r="AJ33" s="36">
        <f t="shared" si="18"/>
        <v>0</v>
      </c>
      <c r="AL33" s="35">
        <f t="shared" si="19"/>
        <v>0</v>
      </c>
      <c r="AM33" s="36">
        <f t="shared" si="20"/>
        <v>0</v>
      </c>
      <c r="AN33" s="35">
        <f t="shared" si="21"/>
        <v>0</v>
      </c>
      <c r="AO33" s="36">
        <f t="shared" si="22"/>
        <v>0</v>
      </c>
    </row>
    <row r="34" spans="2:41" x14ac:dyDescent="0.3">
      <c r="C34" s="1">
        <v>1</v>
      </c>
      <c r="D34" s="1"/>
      <c r="E34" s="1">
        <v>1.0992090000000001</v>
      </c>
      <c r="F34">
        <f t="shared" si="0"/>
        <v>35.443994205000003</v>
      </c>
      <c r="H34" s="1">
        <v>0.98202199999999995</v>
      </c>
      <c r="I34">
        <f t="shared" si="2"/>
        <v>9231.3014065999996</v>
      </c>
      <c r="J34" s="4">
        <f t="shared" si="3"/>
        <v>0.38997751686735616</v>
      </c>
      <c r="L34" s="1">
        <v>1.0668249999999999</v>
      </c>
      <c r="M34">
        <f t="shared" si="4"/>
        <v>95.913968449999999</v>
      </c>
      <c r="O34" s="1">
        <v>-10.48</v>
      </c>
      <c r="P34">
        <f t="shared" si="5"/>
        <v>519.03</v>
      </c>
      <c r="U34">
        <f t="shared" si="6"/>
        <v>0</v>
      </c>
      <c r="V34">
        <f t="shared" si="1"/>
        <v>0</v>
      </c>
      <c r="W34" s="35">
        <f t="shared" si="7"/>
        <v>0</v>
      </c>
      <c r="X34" s="36">
        <f t="shared" si="8"/>
        <v>0</v>
      </c>
      <c r="Y34" s="35">
        <f t="shared" si="9"/>
        <v>0</v>
      </c>
      <c r="Z34" s="36">
        <f t="shared" si="10"/>
        <v>0</v>
      </c>
      <c r="AB34" s="35">
        <f t="shared" si="11"/>
        <v>0</v>
      </c>
      <c r="AC34" s="36">
        <f t="shared" si="12"/>
        <v>0</v>
      </c>
      <c r="AD34" s="35">
        <f t="shared" si="13"/>
        <v>0</v>
      </c>
      <c r="AE34" s="36">
        <f t="shared" si="14"/>
        <v>0</v>
      </c>
      <c r="AG34" s="35">
        <f t="shared" si="15"/>
        <v>0</v>
      </c>
      <c r="AH34" s="36">
        <f t="shared" si="16"/>
        <v>0</v>
      </c>
      <c r="AI34" s="35">
        <f t="shared" si="17"/>
        <v>0</v>
      </c>
      <c r="AJ34" s="36">
        <f t="shared" si="18"/>
        <v>0</v>
      </c>
      <c r="AL34" s="35">
        <f t="shared" si="19"/>
        <v>0</v>
      </c>
      <c r="AM34" s="36">
        <f t="shared" si="20"/>
        <v>0</v>
      </c>
      <c r="AN34" s="35">
        <f t="shared" si="21"/>
        <v>0</v>
      </c>
      <c r="AO34" s="36">
        <f t="shared" si="22"/>
        <v>0</v>
      </c>
    </row>
    <row r="35" spans="2:41" x14ac:dyDescent="0.3">
      <c r="C35" s="1">
        <v>2</v>
      </c>
      <c r="D35" s="1"/>
      <c r="E35" s="1">
        <v>1.0936889999999999</v>
      </c>
      <c r="F35">
        <f t="shared" ref="F35:F66" si="25">E35*$A$2</f>
        <v>35.266001804999995</v>
      </c>
      <c r="H35" s="1">
        <v>0.98258599999999996</v>
      </c>
      <c r="I35">
        <f t="shared" si="2"/>
        <v>9236.603175799999</v>
      </c>
      <c r="J35" s="4">
        <f t="shared" si="3"/>
        <v>0.3897536715046977</v>
      </c>
      <c r="L35" s="1">
        <v>1.06311</v>
      </c>
      <c r="M35">
        <f t="shared" si="4"/>
        <v>95.579967660000008</v>
      </c>
      <c r="O35" s="1">
        <v>-9.99</v>
      </c>
      <c r="P35">
        <f t="shared" si="5"/>
        <v>519.52</v>
      </c>
      <c r="U35">
        <f t="shared" si="6"/>
        <v>0</v>
      </c>
      <c r="V35">
        <f t="shared" si="1"/>
        <v>0</v>
      </c>
      <c r="W35" s="35">
        <f t="shared" si="7"/>
        <v>0</v>
      </c>
      <c r="X35" s="36">
        <f t="shared" si="8"/>
        <v>0</v>
      </c>
      <c r="Y35" s="35">
        <f t="shared" si="9"/>
        <v>0</v>
      </c>
      <c r="Z35" s="36">
        <f t="shared" si="10"/>
        <v>0</v>
      </c>
      <c r="AB35" s="35">
        <f t="shared" si="11"/>
        <v>0</v>
      </c>
      <c r="AC35" s="36">
        <f t="shared" si="12"/>
        <v>0</v>
      </c>
      <c r="AD35" s="35">
        <f t="shared" si="13"/>
        <v>0</v>
      </c>
      <c r="AE35" s="36">
        <f t="shared" si="14"/>
        <v>0</v>
      </c>
      <c r="AG35" s="35">
        <f t="shared" si="15"/>
        <v>0</v>
      </c>
      <c r="AH35" s="36">
        <f t="shared" si="16"/>
        <v>0</v>
      </c>
      <c r="AI35" s="35">
        <f t="shared" si="17"/>
        <v>0</v>
      </c>
      <c r="AJ35" s="36">
        <f t="shared" si="18"/>
        <v>0</v>
      </c>
      <c r="AL35" s="35">
        <f t="shared" si="19"/>
        <v>0</v>
      </c>
      <c r="AM35" s="36">
        <f t="shared" si="20"/>
        <v>0</v>
      </c>
      <c r="AN35" s="35">
        <f t="shared" si="21"/>
        <v>0</v>
      </c>
      <c r="AO35" s="36">
        <f t="shared" si="22"/>
        <v>0</v>
      </c>
    </row>
    <row r="36" spans="2:41" x14ac:dyDescent="0.3">
      <c r="C36" s="1">
        <v>3</v>
      </c>
      <c r="D36" s="1"/>
      <c r="E36" s="1">
        <v>1.0880449999999999</v>
      </c>
      <c r="F36">
        <f t="shared" si="25"/>
        <v>35.084011024999995</v>
      </c>
      <c r="H36" s="1">
        <v>0.98319199999999995</v>
      </c>
      <c r="I36">
        <f t="shared" si="2"/>
        <v>9242.299757599998</v>
      </c>
      <c r="J36" s="4">
        <f t="shared" si="3"/>
        <v>0.38951344301938473</v>
      </c>
      <c r="L36" s="1">
        <v>1.0591950000000001</v>
      </c>
      <c r="M36">
        <f t="shared" si="4"/>
        <v>95.22798567000001</v>
      </c>
      <c r="O36" s="1">
        <v>-9.42</v>
      </c>
      <c r="P36">
        <f t="shared" si="5"/>
        <v>520.09</v>
      </c>
      <c r="U36">
        <f t="shared" si="6"/>
        <v>0</v>
      </c>
      <c r="V36">
        <f t="shared" si="1"/>
        <v>0</v>
      </c>
      <c r="W36" s="35">
        <f t="shared" si="7"/>
        <v>0</v>
      </c>
      <c r="X36" s="36">
        <f t="shared" si="8"/>
        <v>0</v>
      </c>
      <c r="Y36" s="35">
        <f t="shared" si="9"/>
        <v>0</v>
      </c>
      <c r="Z36" s="36">
        <f t="shared" si="10"/>
        <v>0</v>
      </c>
      <c r="AB36" s="35">
        <f t="shared" si="11"/>
        <v>0</v>
      </c>
      <c r="AC36" s="36">
        <f t="shared" si="12"/>
        <v>0</v>
      </c>
      <c r="AD36" s="35">
        <f t="shared" si="13"/>
        <v>0</v>
      </c>
      <c r="AE36" s="36">
        <f t="shared" si="14"/>
        <v>0</v>
      </c>
      <c r="AG36" s="35">
        <f t="shared" si="15"/>
        <v>0</v>
      </c>
      <c r="AH36" s="36">
        <f t="shared" si="16"/>
        <v>0</v>
      </c>
      <c r="AI36" s="35">
        <f t="shared" si="17"/>
        <v>0</v>
      </c>
      <c r="AJ36" s="36">
        <f t="shared" si="18"/>
        <v>0</v>
      </c>
      <c r="AL36" s="35">
        <f t="shared" si="19"/>
        <v>0</v>
      </c>
      <c r="AM36" s="36">
        <f t="shared" si="20"/>
        <v>0</v>
      </c>
      <c r="AN36" s="35">
        <f t="shared" si="21"/>
        <v>0</v>
      </c>
      <c r="AO36" s="36">
        <f t="shared" si="22"/>
        <v>0</v>
      </c>
    </row>
    <row r="37" spans="2:41" x14ac:dyDescent="0.3">
      <c r="C37" s="1">
        <v>4</v>
      </c>
      <c r="D37" s="1"/>
      <c r="E37" s="1">
        <v>1.079299</v>
      </c>
      <c r="F37">
        <f t="shared" si="25"/>
        <v>34.801996254999999</v>
      </c>
      <c r="H37" s="1">
        <v>0.98484099999999997</v>
      </c>
      <c r="I37">
        <f t="shared" si="2"/>
        <v>9257.800852299999</v>
      </c>
      <c r="J37" s="4">
        <f t="shared" si="3"/>
        <v>0.3888612487387455</v>
      </c>
      <c r="L37" s="1">
        <v>1.0534110000000001</v>
      </c>
      <c r="M37">
        <f t="shared" si="4"/>
        <v>94.707969366000015</v>
      </c>
      <c r="O37" s="1">
        <v>-8.5500000000000007</v>
      </c>
      <c r="P37">
        <f t="shared" si="5"/>
        <v>520.96</v>
      </c>
      <c r="U37">
        <f t="shared" si="6"/>
        <v>0</v>
      </c>
      <c r="V37">
        <f t="shared" si="1"/>
        <v>0</v>
      </c>
      <c r="W37" s="35">
        <f t="shared" si="7"/>
        <v>0</v>
      </c>
      <c r="X37" s="36">
        <f t="shared" si="8"/>
        <v>0</v>
      </c>
      <c r="Y37" s="35">
        <f t="shared" si="9"/>
        <v>0</v>
      </c>
      <c r="Z37" s="36">
        <f t="shared" si="10"/>
        <v>0</v>
      </c>
      <c r="AB37" s="35">
        <f t="shared" si="11"/>
        <v>0</v>
      </c>
      <c r="AC37" s="36">
        <f t="shared" si="12"/>
        <v>0</v>
      </c>
      <c r="AD37" s="35">
        <f t="shared" si="13"/>
        <v>0</v>
      </c>
      <c r="AE37" s="36">
        <f t="shared" si="14"/>
        <v>0</v>
      </c>
      <c r="AG37" s="35">
        <f t="shared" si="15"/>
        <v>0</v>
      </c>
      <c r="AH37" s="36">
        <f t="shared" si="16"/>
        <v>0</v>
      </c>
      <c r="AI37" s="35">
        <f t="shared" si="17"/>
        <v>0</v>
      </c>
      <c r="AJ37" s="36">
        <f t="shared" si="18"/>
        <v>0</v>
      </c>
      <c r="AL37" s="35">
        <f t="shared" si="19"/>
        <v>0</v>
      </c>
      <c r="AM37" s="36">
        <f t="shared" si="20"/>
        <v>0</v>
      </c>
      <c r="AN37" s="35">
        <f t="shared" si="21"/>
        <v>0</v>
      </c>
      <c r="AO37" s="36">
        <f t="shared" si="22"/>
        <v>0</v>
      </c>
    </row>
    <row r="38" spans="2:41" x14ac:dyDescent="0.3">
      <c r="C38" s="13">
        <v>5</v>
      </c>
      <c r="D38" s="13"/>
      <c r="E38" s="13">
        <v>1.070554</v>
      </c>
      <c r="F38" s="17">
        <f t="shared" si="25"/>
        <v>34.520013729999995</v>
      </c>
      <c r="G38" s="17"/>
      <c r="H38" s="13">
        <v>0.986564</v>
      </c>
      <c r="I38" s="17">
        <f t="shared" si="2"/>
        <v>9273.9975691999989</v>
      </c>
      <c r="J38" s="18">
        <f t="shared" si="3"/>
        <v>0.38818211597941427</v>
      </c>
      <c r="K38" s="17"/>
      <c r="L38" s="13">
        <v>1.047628</v>
      </c>
      <c r="M38" s="17">
        <f t="shared" si="4"/>
        <v>94.188042968000005</v>
      </c>
      <c r="N38" s="17"/>
      <c r="O38" s="13">
        <v>-7.65</v>
      </c>
      <c r="P38" s="17">
        <f t="shared" si="5"/>
        <v>521.86</v>
      </c>
      <c r="U38">
        <f t="shared" si="6"/>
        <v>0</v>
      </c>
      <c r="V38">
        <f t="shared" si="1"/>
        <v>0</v>
      </c>
      <c r="W38" s="35">
        <f t="shared" si="7"/>
        <v>0</v>
      </c>
      <c r="X38" s="36">
        <f t="shared" si="8"/>
        <v>0</v>
      </c>
      <c r="Y38" s="35">
        <f t="shared" si="9"/>
        <v>0</v>
      </c>
      <c r="Z38" s="36">
        <f t="shared" si="10"/>
        <v>0</v>
      </c>
      <c r="AB38" s="35">
        <f t="shared" si="11"/>
        <v>0</v>
      </c>
      <c r="AC38" s="36">
        <f t="shared" si="12"/>
        <v>0</v>
      </c>
      <c r="AD38" s="35">
        <f t="shared" si="13"/>
        <v>0</v>
      </c>
      <c r="AE38" s="36">
        <f t="shared" si="14"/>
        <v>0</v>
      </c>
      <c r="AG38" s="35">
        <f t="shared" si="15"/>
        <v>0</v>
      </c>
      <c r="AH38" s="36">
        <f t="shared" si="16"/>
        <v>0</v>
      </c>
      <c r="AI38" s="35">
        <f t="shared" si="17"/>
        <v>0</v>
      </c>
      <c r="AJ38" s="36">
        <f t="shared" si="18"/>
        <v>0</v>
      </c>
      <c r="AL38" s="35">
        <f t="shared" si="19"/>
        <v>0</v>
      </c>
      <c r="AM38" s="36">
        <f t="shared" si="20"/>
        <v>0</v>
      </c>
      <c r="AN38" s="35">
        <f t="shared" si="21"/>
        <v>0</v>
      </c>
      <c r="AO38" s="36">
        <f t="shared" si="22"/>
        <v>0</v>
      </c>
    </row>
    <row r="39" spans="2:41" x14ac:dyDescent="0.3">
      <c r="C39" s="1">
        <v>6</v>
      </c>
      <c r="D39" s="1"/>
      <c r="E39" s="1">
        <v>1.0618700000000001</v>
      </c>
      <c r="F39">
        <f t="shared" si="25"/>
        <v>34.239998149999998</v>
      </c>
      <c r="H39" s="1">
        <v>0.98829800000000001</v>
      </c>
      <c r="I39">
        <f t="shared" si="2"/>
        <v>9290.2976893999985</v>
      </c>
      <c r="J39" s="4">
        <f t="shared" si="3"/>
        <v>0.38750103821834597</v>
      </c>
      <c r="L39" s="1">
        <v>1.041855</v>
      </c>
      <c r="M39">
        <f t="shared" si="4"/>
        <v>93.669015630000004</v>
      </c>
      <c r="O39" s="1">
        <v>-6.74</v>
      </c>
      <c r="P39">
        <f t="shared" si="5"/>
        <v>522.77</v>
      </c>
      <c r="U39">
        <f t="shared" si="6"/>
        <v>0</v>
      </c>
      <c r="V39">
        <f t="shared" si="1"/>
        <v>0</v>
      </c>
      <c r="W39" s="35">
        <f t="shared" si="7"/>
        <v>0</v>
      </c>
      <c r="X39" s="36">
        <f t="shared" si="8"/>
        <v>0</v>
      </c>
      <c r="Y39" s="35">
        <f t="shared" si="9"/>
        <v>0</v>
      </c>
      <c r="Z39" s="36">
        <f t="shared" si="10"/>
        <v>0</v>
      </c>
      <c r="AB39" s="35">
        <f t="shared" si="11"/>
        <v>0</v>
      </c>
      <c r="AC39" s="36">
        <f t="shared" si="12"/>
        <v>0</v>
      </c>
      <c r="AD39" s="35">
        <f t="shared" si="13"/>
        <v>0</v>
      </c>
      <c r="AE39" s="36">
        <f t="shared" si="14"/>
        <v>0</v>
      </c>
      <c r="AG39" s="35">
        <f t="shared" si="15"/>
        <v>0</v>
      </c>
      <c r="AH39" s="36">
        <f t="shared" si="16"/>
        <v>0</v>
      </c>
      <c r="AI39" s="35">
        <f t="shared" si="17"/>
        <v>0</v>
      </c>
      <c r="AJ39" s="36">
        <f t="shared" si="18"/>
        <v>0</v>
      </c>
      <c r="AL39" s="35">
        <f t="shared" si="19"/>
        <v>0</v>
      </c>
      <c r="AM39" s="36">
        <f t="shared" si="20"/>
        <v>0</v>
      </c>
      <c r="AN39" s="35">
        <f t="shared" si="21"/>
        <v>0</v>
      </c>
      <c r="AO39" s="36">
        <f t="shared" si="22"/>
        <v>0</v>
      </c>
    </row>
    <row r="40" spans="2:41" x14ac:dyDescent="0.3">
      <c r="C40" s="1">
        <v>7</v>
      </c>
      <c r="D40" s="1"/>
      <c r="E40" s="1">
        <v>1.054303</v>
      </c>
      <c r="F40">
        <f t="shared" si="25"/>
        <v>33.996000234999997</v>
      </c>
      <c r="H40" s="1">
        <v>0.98971299999999995</v>
      </c>
      <c r="I40">
        <f t="shared" si="2"/>
        <v>9303.599113899998</v>
      </c>
      <c r="J40" s="4">
        <f t="shared" si="3"/>
        <v>0.38694702511648821</v>
      </c>
      <c r="L40" s="1">
        <v>1.036805</v>
      </c>
      <c r="M40">
        <f t="shared" si="4"/>
        <v>93.214990330000006</v>
      </c>
      <c r="O40" s="1">
        <v>-5.94</v>
      </c>
      <c r="P40">
        <f t="shared" si="5"/>
        <v>523.56999999999994</v>
      </c>
      <c r="U40">
        <f t="shared" si="6"/>
        <v>0</v>
      </c>
      <c r="V40">
        <f t="shared" si="1"/>
        <v>0</v>
      </c>
      <c r="W40" s="35">
        <f t="shared" si="7"/>
        <v>0</v>
      </c>
      <c r="X40" s="36">
        <f t="shared" si="8"/>
        <v>0</v>
      </c>
      <c r="Y40" s="35">
        <f t="shared" si="9"/>
        <v>0</v>
      </c>
      <c r="Z40" s="36">
        <f t="shared" si="10"/>
        <v>0</v>
      </c>
      <c r="AB40" s="35">
        <f t="shared" si="11"/>
        <v>0</v>
      </c>
      <c r="AC40" s="36">
        <f t="shared" si="12"/>
        <v>0</v>
      </c>
      <c r="AD40" s="35">
        <f t="shared" si="13"/>
        <v>0</v>
      </c>
      <c r="AE40" s="36">
        <f t="shared" si="14"/>
        <v>0</v>
      </c>
      <c r="AG40" s="35">
        <f t="shared" si="15"/>
        <v>0</v>
      </c>
      <c r="AH40" s="36">
        <f t="shared" si="16"/>
        <v>0</v>
      </c>
      <c r="AI40" s="35">
        <f t="shared" si="17"/>
        <v>0</v>
      </c>
      <c r="AJ40" s="36">
        <f t="shared" si="18"/>
        <v>0</v>
      </c>
      <c r="AL40" s="35">
        <f t="shared" si="19"/>
        <v>0</v>
      </c>
      <c r="AM40" s="36">
        <f t="shared" si="20"/>
        <v>0</v>
      </c>
      <c r="AN40" s="35">
        <f t="shared" si="21"/>
        <v>0</v>
      </c>
      <c r="AO40" s="36">
        <f t="shared" si="22"/>
        <v>0</v>
      </c>
    </row>
    <row r="41" spans="2:41" x14ac:dyDescent="0.3">
      <c r="C41" s="1">
        <v>8</v>
      </c>
      <c r="D41" s="1"/>
      <c r="E41" s="1">
        <v>1.047201</v>
      </c>
      <c r="F41">
        <f t="shared" si="25"/>
        <v>33.766996245000001</v>
      </c>
      <c r="H41" s="1">
        <v>0.99099000000000004</v>
      </c>
      <c r="I41">
        <f t="shared" si="2"/>
        <v>9315.6032969999997</v>
      </c>
      <c r="J41" s="4">
        <f t="shared" si="3"/>
        <v>0.38644840116359885</v>
      </c>
      <c r="L41" s="1">
        <v>1.0320560000000001</v>
      </c>
      <c r="M41">
        <f t="shared" si="4"/>
        <v>92.78802673600002</v>
      </c>
      <c r="O41" s="1">
        <v>-5.21</v>
      </c>
      <c r="P41">
        <f t="shared" si="5"/>
        <v>524.29999999999995</v>
      </c>
      <c r="U41">
        <f t="shared" si="6"/>
        <v>0</v>
      </c>
      <c r="V41">
        <f t="shared" si="1"/>
        <v>0</v>
      </c>
      <c r="W41" s="35">
        <f t="shared" si="7"/>
        <v>0</v>
      </c>
      <c r="X41" s="36">
        <f t="shared" si="8"/>
        <v>0</v>
      </c>
      <c r="Y41" s="35">
        <f t="shared" si="9"/>
        <v>0</v>
      </c>
      <c r="Z41" s="36">
        <f t="shared" si="10"/>
        <v>0</v>
      </c>
      <c r="AB41" s="35">
        <f t="shared" si="11"/>
        <v>0</v>
      </c>
      <c r="AC41" s="36">
        <f t="shared" si="12"/>
        <v>0</v>
      </c>
      <c r="AD41" s="35">
        <f t="shared" si="13"/>
        <v>0</v>
      </c>
      <c r="AE41" s="36">
        <f t="shared" si="14"/>
        <v>0</v>
      </c>
      <c r="AG41" s="35">
        <f t="shared" si="15"/>
        <v>0</v>
      </c>
      <c r="AH41" s="36">
        <f t="shared" si="16"/>
        <v>0</v>
      </c>
      <c r="AI41" s="35">
        <f t="shared" si="17"/>
        <v>0</v>
      </c>
      <c r="AJ41" s="36">
        <f t="shared" si="18"/>
        <v>0</v>
      </c>
      <c r="AL41" s="35">
        <f t="shared" si="19"/>
        <v>0</v>
      </c>
      <c r="AM41" s="36">
        <f t="shared" si="20"/>
        <v>0</v>
      </c>
      <c r="AN41" s="35">
        <f t="shared" si="21"/>
        <v>0</v>
      </c>
      <c r="AO41" s="36">
        <f t="shared" si="22"/>
        <v>0</v>
      </c>
    </row>
    <row r="42" spans="2:41" x14ac:dyDescent="0.3">
      <c r="C42" s="1">
        <v>9</v>
      </c>
      <c r="D42" s="1"/>
      <c r="E42" s="1">
        <v>1.0401609999999999</v>
      </c>
      <c r="F42">
        <f t="shared" si="25"/>
        <v>33.539991444999991</v>
      </c>
      <c r="H42" s="1">
        <v>0.992309</v>
      </c>
      <c r="I42">
        <f t="shared" si="2"/>
        <v>9328.0022926999991</v>
      </c>
      <c r="J42" s="4">
        <f t="shared" si="3"/>
        <v>0.3859347250393928</v>
      </c>
      <c r="L42" s="1">
        <v>1.0273620000000001</v>
      </c>
      <c r="M42">
        <f t="shared" si="4"/>
        <v>92.36600797200002</v>
      </c>
      <c r="O42" s="1">
        <v>-4.46</v>
      </c>
      <c r="P42">
        <f t="shared" si="5"/>
        <v>525.04999999999995</v>
      </c>
      <c r="U42">
        <f t="shared" si="6"/>
        <v>0</v>
      </c>
      <c r="V42" t="str">
        <f t="shared" si="1"/>
        <v>min</v>
      </c>
      <c r="W42" s="35">
        <f t="shared" si="7"/>
        <v>33.539991444999991</v>
      </c>
      <c r="X42" s="36">
        <f t="shared" si="8"/>
        <v>9</v>
      </c>
      <c r="Y42" s="35">
        <f t="shared" si="9"/>
        <v>0</v>
      </c>
      <c r="Z42" s="36">
        <f t="shared" si="10"/>
        <v>0</v>
      </c>
      <c r="AB42" s="35">
        <f t="shared" si="11"/>
        <v>9328.0022926999991</v>
      </c>
      <c r="AC42" s="36">
        <f t="shared" si="12"/>
        <v>9</v>
      </c>
      <c r="AD42" s="35">
        <f t="shared" si="13"/>
        <v>0</v>
      </c>
      <c r="AE42" s="36">
        <f t="shared" si="14"/>
        <v>0</v>
      </c>
      <c r="AG42" s="35">
        <f t="shared" si="15"/>
        <v>92.36600797200002</v>
      </c>
      <c r="AH42" s="36">
        <f t="shared" si="16"/>
        <v>9</v>
      </c>
      <c r="AI42" s="35">
        <f t="shared" si="17"/>
        <v>0</v>
      </c>
      <c r="AJ42" s="36">
        <f t="shared" si="18"/>
        <v>0</v>
      </c>
      <c r="AL42" s="35">
        <f t="shared" si="19"/>
        <v>525.04999999999995</v>
      </c>
      <c r="AM42" s="36">
        <f t="shared" si="20"/>
        <v>9</v>
      </c>
      <c r="AN42" s="35">
        <f t="shared" si="21"/>
        <v>0</v>
      </c>
      <c r="AO42" s="36">
        <f t="shared" si="22"/>
        <v>0</v>
      </c>
    </row>
    <row r="43" spans="2:41" x14ac:dyDescent="0.3">
      <c r="C43" s="13">
        <v>10</v>
      </c>
      <c r="D43" s="13"/>
      <c r="E43" s="13">
        <v>1.033245</v>
      </c>
      <c r="F43" s="17">
        <f t="shared" si="25"/>
        <v>33.316985024999994</v>
      </c>
      <c r="G43" s="17"/>
      <c r="H43" s="13">
        <v>0.99359600000000003</v>
      </c>
      <c r="I43" s="17">
        <f t="shared" si="2"/>
        <v>9340.1004787999991</v>
      </c>
      <c r="J43" s="18">
        <f t="shared" si="3"/>
        <v>0.38543482569285187</v>
      </c>
      <c r="K43" s="17"/>
      <c r="L43" s="13">
        <v>1.022724</v>
      </c>
      <c r="M43" s="17">
        <f t="shared" si="4"/>
        <v>91.949023944000004</v>
      </c>
      <c r="N43" s="17"/>
      <c r="O43" s="13">
        <v>-3.72</v>
      </c>
      <c r="P43" s="17">
        <f t="shared" si="5"/>
        <v>525.79</v>
      </c>
      <c r="U43">
        <f t="shared" si="6"/>
        <v>1</v>
      </c>
      <c r="V43" t="str">
        <f t="shared" si="1"/>
        <v>min</v>
      </c>
      <c r="W43" s="35">
        <f t="shared" si="7"/>
        <v>0</v>
      </c>
      <c r="X43" s="36">
        <f t="shared" si="8"/>
        <v>0</v>
      </c>
      <c r="Y43" s="35">
        <f t="shared" si="9"/>
        <v>33.316985024999994</v>
      </c>
      <c r="Z43" s="36">
        <f t="shared" si="10"/>
        <v>10</v>
      </c>
      <c r="AB43" s="35">
        <f t="shared" si="11"/>
        <v>0</v>
      </c>
      <c r="AC43" s="36">
        <f t="shared" si="12"/>
        <v>0</v>
      </c>
      <c r="AD43" s="35">
        <f t="shared" si="13"/>
        <v>9340.1004787999991</v>
      </c>
      <c r="AE43" s="36">
        <f t="shared" si="14"/>
        <v>10</v>
      </c>
      <c r="AG43" s="35">
        <f t="shared" si="15"/>
        <v>0</v>
      </c>
      <c r="AH43" s="36">
        <f t="shared" si="16"/>
        <v>0</v>
      </c>
      <c r="AI43" s="35">
        <f t="shared" si="17"/>
        <v>91.949023944000004</v>
      </c>
      <c r="AJ43" s="36">
        <f t="shared" si="18"/>
        <v>10</v>
      </c>
      <c r="AL43" s="35">
        <f t="shared" si="19"/>
        <v>0</v>
      </c>
      <c r="AM43" s="36">
        <f t="shared" si="20"/>
        <v>0</v>
      </c>
      <c r="AN43" s="35">
        <f t="shared" si="21"/>
        <v>525.79</v>
      </c>
      <c r="AO43" s="36">
        <f t="shared" si="22"/>
        <v>10</v>
      </c>
    </row>
    <row r="44" spans="2:41" x14ac:dyDescent="0.3">
      <c r="C44" s="1">
        <v>11</v>
      </c>
      <c r="D44" s="1"/>
      <c r="E44" s="1">
        <v>1.026516</v>
      </c>
      <c r="F44">
        <f t="shared" si="25"/>
        <v>33.100008419999995</v>
      </c>
      <c r="H44" s="1">
        <v>0.99480900000000005</v>
      </c>
      <c r="I44">
        <f t="shared" si="2"/>
        <v>9351.5030427000002</v>
      </c>
      <c r="J44" s="4">
        <f t="shared" si="3"/>
        <v>0.38496485362427846</v>
      </c>
      <c r="L44" s="1">
        <v>1.0180739999999999</v>
      </c>
      <c r="M44">
        <f t="shared" si="4"/>
        <v>91.530961043999994</v>
      </c>
      <c r="O44" s="1">
        <v>-2.99</v>
      </c>
      <c r="P44">
        <f t="shared" si="5"/>
        <v>526.52</v>
      </c>
      <c r="U44">
        <f t="shared" si="6"/>
        <v>1</v>
      </c>
      <c r="V44" t="str">
        <f t="shared" si="1"/>
        <v>min</v>
      </c>
      <c r="W44" s="35">
        <f t="shared" si="7"/>
        <v>0</v>
      </c>
      <c r="X44" s="36">
        <f t="shared" si="8"/>
        <v>0</v>
      </c>
      <c r="Y44" s="35">
        <f t="shared" si="9"/>
        <v>0</v>
      </c>
      <c r="Z44" s="36">
        <f t="shared" si="10"/>
        <v>0</v>
      </c>
      <c r="AB44" s="35">
        <f t="shared" si="11"/>
        <v>0</v>
      </c>
      <c r="AC44" s="36">
        <f t="shared" si="12"/>
        <v>0</v>
      </c>
      <c r="AD44" s="35">
        <f t="shared" si="13"/>
        <v>0</v>
      </c>
      <c r="AE44" s="36">
        <f t="shared" si="14"/>
        <v>0</v>
      </c>
      <c r="AG44" s="35">
        <f t="shared" si="15"/>
        <v>0</v>
      </c>
      <c r="AH44" s="36">
        <f t="shared" si="16"/>
        <v>0</v>
      </c>
      <c r="AI44" s="35">
        <f t="shared" si="17"/>
        <v>0</v>
      </c>
      <c r="AJ44" s="36">
        <f t="shared" si="18"/>
        <v>0</v>
      </c>
      <c r="AL44" s="35">
        <f t="shared" si="19"/>
        <v>0</v>
      </c>
      <c r="AM44" s="36">
        <f t="shared" si="20"/>
        <v>0</v>
      </c>
      <c r="AN44" s="35">
        <f t="shared" si="21"/>
        <v>0</v>
      </c>
      <c r="AO44" s="36">
        <f t="shared" si="22"/>
        <v>0</v>
      </c>
    </row>
    <row r="45" spans="2:41" x14ac:dyDescent="0.3">
      <c r="C45" s="1">
        <v>12</v>
      </c>
      <c r="D45" s="1"/>
      <c r="E45" s="1">
        <v>1.019693</v>
      </c>
      <c r="F45">
        <f t="shared" si="25"/>
        <v>32.880000784999993</v>
      </c>
      <c r="H45" s="1">
        <v>0.99610699999999996</v>
      </c>
      <c r="I45">
        <f t="shared" si="2"/>
        <v>9363.7046320999998</v>
      </c>
      <c r="J45" s="4">
        <f t="shared" si="3"/>
        <v>0.38446321637044495</v>
      </c>
      <c r="L45" s="1">
        <v>1.0134700000000001</v>
      </c>
      <c r="M45">
        <f t="shared" si="4"/>
        <v>91.117033820000017</v>
      </c>
      <c r="O45" s="1">
        <v>-2.25</v>
      </c>
      <c r="P45">
        <f t="shared" si="5"/>
        <v>527.26</v>
      </c>
      <c r="U45">
        <f t="shared" si="6"/>
        <v>1</v>
      </c>
      <c r="V45" t="str">
        <f t="shared" si="1"/>
        <v>min</v>
      </c>
      <c r="W45" s="35">
        <f t="shared" si="7"/>
        <v>0</v>
      </c>
      <c r="X45" s="36">
        <f t="shared" si="8"/>
        <v>0</v>
      </c>
      <c r="Y45" s="35">
        <f t="shared" si="9"/>
        <v>0</v>
      </c>
      <c r="Z45" s="36">
        <f t="shared" si="10"/>
        <v>0</v>
      </c>
      <c r="AB45" s="35">
        <f t="shared" si="11"/>
        <v>0</v>
      </c>
      <c r="AC45" s="36">
        <f t="shared" si="12"/>
        <v>0</v>
      </c>
      <c r="AD45" s="35">
        <f t="shared" si="13"/>
        <v>0</v>
      </c>
      <c r="AE45" s="36">
        <f t="shared" si="14"/>
        <v>0</v>
      </c>
      <c r="AG45" s="35">
        <f t="shared" si="15"/>
        <v>0</v>
      </c>
      <c r="AH45" s="36">
        <f t="shared" si="16"/>
        <v>0</v>
      </c>
      <c r="AI45" s="35">
        <f t="shared" si="17"/>
        <v>0</v>
      </c>
      <c r="AJ45" s="36">
        <f t="shared" si="18"/>
        <v>0</v>
      </c>
      <c r="AL45" s="35">
        <f t="shared" si="19"/>
        <v>0</v>
      </c>
      <c r="AM45" s="36">
        <f t="shared" si="20"/>
        <v>0</v>
      </c>
      <c r="AN45" s="35">
        <f t="shared" si="21"/>
        <v>0</v>
      </c>
      <c r="AO45" s="36">
        <f t="shared" si="22"/>
        <v>0</v>
      </c>
    </row>
    <row r="46" spans="2:41" x14ac:dyDescent="0.3">
      <c r="C46" s="1">
        <v>13</v>
      </c>
      <c r="D46" s="1"/>
      <c r="E46" s="1">
        <v>1.013056</v>
      </c>
      <c r="F46">
        <f t="shared" si="25"/>
        <v>32.665990719999996</v>
      </c>
      <c r="H46" s="1">
        <v>0.997394</v>
      </c>
      <c r="I46">
        <f t="shared" si="2"/>
        <v>9375.8028181999998</v>
      </c>
      <c r="J46" s="4">
        <f t="shared" si="3"/>
        <v>0.38396711938222489</v>
      </c>
      <c r="L46" s="1">
        <v>1.0089649999999999</v>
      </c>
      <c r="M46">
        <f t="shared" si="4"/>
        <v>90.712007290000003</v>
      </c>
      <c r="O46" s="1">
        <v>-1.51</v>
      </c>
      <c r="P46">
        <f t="shared" si="5"/>
        <v>528</v>
      </c>
      <c r="U46">
        <f t="shared" si="6"/>
        <v>1</v>
      </c>
      <c r="V46" t="str">
        <f t="shared" si="1"/>
        <v>min</v>
      </c>
      <c r="W46" s="35">
        <f t="shared" si="7"/>
        <v>0</v>
      </c>
      <c r="X46" s="36">
        <f t="shared" si="8"/>
        <v>0</v>
      </c>
      <c r="Y46" s="35">
        <f>IF($W45=0,0,$F46)</f>
        <v>0</v>
      </c>
      <c r="Z46" s="36">
        <f t="shared" si="10"/>
        <v>0</v>
      </c>
      <c r="AB46" s="35">
        <f t="shared" si="11"/>
        <v>0</v>
      </c>
      <c r="AC46" s="36">
        <f t="shared" si="12"/>
        <v>0</v>
      </c>
      <c r="AD46" s="35">
        <f t="shared" si="13"/>
        <v>0</v>
      </c>
      <c r="AE46" s="36">
        <f t="shared" si="14"/>
        <v>0</v>
      </c>
      <c r="AG46" s="35">
        <f t="shared" si="15"/>
        <v>0</v>
      </c>
      <c r="AH46" s="36">
        <f t="shared" si="16"/>
        <v>0</v>
      </c>
      <c r="AI46" s="35">
        <f t="shared" si="17"/>
        <v>0</v>
      </c>
      <c r="AJ46" s="36">
        <f t="shared" si="18"/>
        <v>0</v>
      </c>
      <c r="AL46" s="35">
        <f t="shared" si="19"/>
        <v>0</v>
      </c>
      <c r="AM46" s="36">
        <f t="shared" si="20"/>
        <v>0</v>
      </c>
      <c r="AN46" s="35">
        <f t="shared" si="21"/>
        <v>0</v>
      </c>
      <c r="AO46" s="36">
        <f t="shared" si="22"/>
        <v>0</v>
      </c>
    </row>
    <row r="47" spans="2:41" x14ac:dyDescent="0.3">
      <c r="C47" s="1">
        <v>14</v>
      </c>
      <c r="D47" s="1"/>
      <c r="E47" s="1">
        <v>1.0066679999999999</v>
      </c>
      <c r="F47">
        <f t="shared" si="25"/>
        <v>32.460009659999997</v>
      </c>
      <c r="H47" s="1">
        <v>0.99868100000000004</v>
      </c>
      <c r="I47">
        <f t="shared" si="2"/>
        <v>9387.9010042999998</v>
      </c>
      <c r="J47" s="4">
        <f t="shared" si="3"/>
        <v>0.38347230103417895</v>
      </c>
      <c r="L47" s="1">
        <v>1.0045710000000001</v>
      </c>
      <c r="M47">
        <f t="shared" si="4"/>
        <v>90.316960326000014</v>
      </c>
      <c r="O47" s="1">
        <v>-0.73</v>
      </c>
      <c r="P47">
        <f t="shared" si="5"/>
        <v>528.78</v>
      </c>
      <c r="S47" s="15"/>
      <c r="T47" s="15"/>
      <c r="U47">
        <f t="shared" si="6"/>
        <v>1</v>
      </c>
      <c r="V47" s="15" t="str">
        <f t="shared" si="1"/>
        <v>min</v>
      </c>
      <c r="W47" s="35">
        <f t="shared" si="7"/>
        <v>0</v>
      </c>
      <c r="X47" s="36">
        <f t="shared" si="8"/>
        <v>0</v>
      </c>
      <c r="Y47" s="35">
        <f t="shared" si="9"/>
        <v>0</v>
      </c>
      <c r="Z47" s="36">
        <f t="shared" si="10"/>
        <v>0</v>
      </c>
      <c r="AB47" s="35">
        <f t="shared" si="11"/>
        <v>0</v>
      </c>
      <c r="AC47" s="36">
        <f t="shared" si="12"/>
        <v>0</v>
      </c>
      <c r="AD47" s="35">
        <f t="shared" si="13"/>
        <v>0</v>
      </c>
      <c r="AE47" s="36">
        <f t="shared" si="14"/>
        <v>0</v>
      </c>
      <c r="AG47" s="35">
        <f t="shared" si="15"/>
        <v>0</v>
      </c>
      <c r="AH47" s="36">
        <f t="shared" si="16"/>
        <v>0</v>
      </c>
      <c r="AI47" s="35">
        <f t="shared" si="17"/>
        <v>0</v>
      </c>
      <c r="AJ47" s="36">
        <f t="shared" si="18"/>
        <v>0</v>
      </c>
      <c r="AL47" s="35">
        <f t="shared" si="19"/>
        <v>0</v>
      </c>
      <c r="AM47" s="36">
        <f t="shared" si="20"/>
        <v>0</v>
      </c>
      <c r="AN47" s="35">
        <f t="shared" si="21"/>
        <v>0</v>
      </c>
      <c r="AO47" s="36">
        <f t="shared" si="22"/>
        <v>0</v>
      </c>
    </row>
    <row r="48" spans="2:41" x14ac:dyDescent="0.3">
      <c r="B48" s="3" t="s">
        <v>16</v>
      </c>
      <c r="C48" s="99">
        <v>15</v>
      </c>
      <c r="D48" s="10"/>
      <c r="E48" s="10">
        <v>1</v>
      </c>
      <c r="F48" s="11">
        <f t="shared" si="25"/>
        <v>32.244999999999997</v>
      </c>
      <c r="G48" s="11"/>
      <c r="H48" s="10">
        <v>1</v>
      </c>
      <c r="I48" s="11">
        <f t="shared" si="2"/>
        <v>9400.2999999999993</v>
      </c>
      <c r="J48" s="12">
        <f t="shared" si="3"/>
        <v>0.38296650106911484</v>
      </c>
      <c r="K48" s="11"/>
      <c r="L48" s="10">
        <v>1</v>
      </c>
      <c r="M48" s="11">
        <f t="shared" si="4"/>
        <v>89.906000000000006</v>
      </c>
      <c r="N48" s="11"/>
      <c r="O48" s="10">
        <v>0</v>
      </c>
      <c r="P48" s="11">
        <f t="shared" si="5"/>
        <v>529.51</v>
      </c>
      <c r="S48" s="15"/>
      <c r="T48" s="15"/>
      <c r="U48">
        <f t="shared" si="6"/>
        <v>1</v>
      </c>
      <c r="V48" s="15" t="str">
        <f t="shared" si="1"/>
        <v>min</v>
      </c>
      <c r="W48" s="35">
        <f t="shared" si="7"/>
        <v>0</v>
      </c>
      <c r="X48" s="36">
        <f t="shared" si="8"/>
        <v>0</v>
      </c>
      <c r="Y48" s="35">
        <f t="shared" si="9"/>
        <v>0</v>
      </c>
      <c r="Z48" s="36">
        <f t="shared" si="10"/>
        <v>0</v>
      </c>
      <c r="AB48" s="35">
        <f t="shared" si="11"/>
        <v>0</v>
      </c>
      <c r="AC48" s="36">
        <f t="shared" si="12"/>
        <v>0</v>
      </c>
      <c r="AD48" s="35">
        <f t="shared" si="13"/>
        <v>0</v>
      </c>
      <c r="AE48" s="36">
        <f t="shared" si="14"/>
        <v>0</v>
      </c>
      <c r="AG48" s="35">
        <f t="shared" si="15"/>
        <v>0</v>
      </c>
      <c r="AH48" s="36">
        <f t="shared" si="16"/>
        <v>0</v>
      </c>
      <c r="AI48" s="35">
        <f t="shared" si="17"/>
        <v>0</v>
      </c>
      <c r="AJ48" s="36">
        <f t="shared" si="18"/>
        <v>0</v>
      </c>
      <c r="AL48" s="35">
        <f t="shared" si="19"/>
        <v>0</v>
      </c>
      <c r="AM48" s="36">
        <f t="shared" si="20"/>
        <v>0</v>
      </c>
      <c r="AN48" s="35">
        <f t="shared" si="21"/>
        <v>0</v>
      </c>
      <c r="AO48" s="36">
        <f t="shared" si="22"/>
        <v>0</v>
      </c>
    </row>
    <row r="49" spans="3:41" x14ac:dyDescent="0.3">
      <c r="C49" s="1">
        <v>16</v>
      </c>
      <c r="D49" s="1"/>
      <c r="E49" s="1">
        <v>0.993363</v>
      </c>
      <c r="F49">
        <f t="shared" si="25"/>
        <v>32.030989934999994</v>
      </c>
      <c r="H49" s="1">
        <v>1.0013510000000001</v>
      </c>
      <c r="I49">
        <f t="shared" si="2"/>
        <v>9412.9998052999999</v>
      </c>
      <c r="J49" s="4">
        <f t="shared" si="3"/>
        <v>0.38244981137394857</v>
      </c>
      <c r="L49" s="1">
        <v>0.99542900000000001</v>
      </c>
      <c r="M49">
        <f t="shared" si="4"/>
        <v>89.495039674000012</v>
      </c>
      <c r="O49" s="1">
        <v>0.76</v>
      </c>
      <c r="P49">
        <f t="shared" si="5"/>
        <v>530.27</v>
      </c>
      <c r="U49">
        <f t="shared" si="6"/>
        <v>1</v>
      </c>
      <c r="V49" t="str">
        <f t="shared" si="1"/>
        <v>min</v>
      </c>
      <c r="W49" s="35">
        <f t="shared" si="7"/>
        <v>0</v>
      </c>
      <c r="X49" s="36">
        <f t="shared" si="8"/>
        <v>0</v>
      </c>
      <c r="Y49" s="35">
        <f t="shared" si="9"/>
        <v>0</v>
      </c>
      <c r="Z49" s="36">
        <f t="shared" si="10"/>
        <v>0</v>
      </c>
      <c r="AB49" s="35">
        <f t="shared" si="11"/>
        <v>0</v>
      </c>
      <c r="AC49" s="36">
        <f t="shared" si="12"/>
        <v>0</v>
      </c>
      <c r="AD49" s="35">
        <f t="shared" si="13"/>
        <v>0</v>
      </c>
      <c r="AE49" s="36">
        <f t="shared" si="14"/>
        <v>0</v>
      </c>
      <c r="AG49" s="35">
        <f t="shared" si="15"/>
        <v>0</v>
      </c>
      <c r="AH49" s="36">
        <f t="shared" si="16"/>
        <v>0</v>
      </c>
      <c r="AI49" s="35">
        <f t="shared" si="17"/>
        <v>0</v>
      </c>
      <c r="AJ49" s="36">
        <f t="shared" si="18"/>
        <v>0</v>
      </c>
      <c r="AL49" s="35">
        <f t="shared" si="19"/>
        <v>0</v>
      </c>
      <c r="AM49" s="36">
        <f t="shared" si="20"/>
        <v>0</v>
      </c>
      <c r="AN49" s="35">
        <f t="shared" si="21"/>
        <v>0</v>
      </c>
      <c r="AO49" s="36">
        <f t="shared" si="22"/>
        <v>0</v>
      </c>
    </row>
    <row r="50" spans="3:41" x14ac:dyDescent="0.3">
      <c r="C50" s="1">
        <v>17</v>
      </c>
      <c r="D50" s="1"/>
      <c r="E50" s="1">
        <v>0.98685100000000003</v>
      </c>
      <c r="F50">
        <f t="shared" si="25"/>
        <v>31.821010494999999</v>
      </c>
      <c r="H50" s="1">
        <v>1.002691</v>
      </c>
      <c r="I50">
        <f t="shared" si="2"/>
        <v>9425.5962072999992</v>
      </c>
      <c r="J50" s="4">
        <f t="shared" si="3"/>
        <v>0.38193870401660612</v>
      </c>
      <c r="L50" s="1">
        <v>0.99089000000000005</v>
      </c>
      <c r="M50">
        <f t="shared" si="4"/>
        <v>89.086956340000015</v>
      </c>
      <c r="O50" s="8">
        <v>1.51</v>
      </c>
      <c r="P50">
        <f t="shared" si="5"/>
        <v>531.02</v>
      </c>
      <c r="U50">
        <f t="shared" si="6"/>
        <v>1</v>
      </c>
      <c r="V50" t="str">
        <f>IF(U51=1, "min",0)</f>
        <v>min</v>
      </c>
      <c r="W50" s="35">
        <f t="shared" si="7"/>
        <v>0</v>
      </c>
      <c r="X50" s="36">
        <f t="shared" si="8"/>
        <v>0</v>
      </c>
      <c r="Y50" s="35">
        <f t="shared" si="9"/>
        <v>0</v>
      </c>
      <c r="Z50" s="36">
        <f t="shared" si="10"/>
        <v>0</v>
      </c>
      <c r="AB50" s="35">
        <f t="shared" si="11"/>
        <v>0</v>
      </c>
      <c r="AC50" s="36">
        <f t="shared" si="12"/>
        <v>0</v>
      </c>
      <c r="AD50" s="35">
        <f t="shared" si="13"/>
        <v>0</v>
      </c>
      <c r="AE50" s="36">
        <f t="shared" si="14"/>
        <v>0</v>
      </c>
      <c r="AG50" s="35">
        <f t="shared" si="15"/>
        <v>0</v>
      </c>
      <c r="AH50" s="36">
        <f t="shared" si="16"/>
        <v>0</v>
      </c>
      <c r="AI50" s="35">
        <f t="shared" si="17"/>
        <v>0</v>
      </c>
      <c r="AJ50" s="36">
        <f t="shared" si="18"/>
        <v>0</v>
      </c>
      <c r="AL50" s="35">
        <f t="shared" si="19"/>
        <v>0</v>
      </c>
      <c r="AM50" s="36">
        <f t="shared" si="20"/>
        <v>0</v>
      </c>
      <c r="AN50" s="35">
        <f t="shared" si="21"/>
        <v>0</v>
      </c>
      <c r="AO50" s="36">
        <f t="shared" si="22"/>
        <v>0</v>
      </c>
    </row>
    <row r="51" spans="3:41" x14ac:dyDescent="0.3">
      <c r="C51" s="1">
        <v>18</v>
      </c>
      <c r="D51" s="1"/>
      <c r="E51" s="1">
        <v>0.98046199999999994</v>
      </c>
      <c r="F51">
        <f t="shared" si="25"/>
        <v>31.614997189999997</v>
      </c>
      <c r="H51" s="1">
        <v>1.0039359999999999</v>
      </c>
      <c r="I51">
        <f t="shared" si="2"/>
        <v>9437.2995807999996</v>
      </c>
      <c r="J51" s="4">
        <f t="shared" si="3"/>
        <v>0.38146505461415353</v>
      </c>
      <c r="L51" s="1">
        <v>0.98641900000000005</v>
      </c>
      <c r="M51">
        <f t="shared" si="4"/>
        <v>88.68498661400001</v>
      </c>
      <c r="O51" s="8">
        <v>2.21</v>
      </c>
      <c r="P51">
        <f t="shared" si="5"/>
        <v>531.72</v>
      </c>
      <c r="U51">
        <f t="shared" si="6"/>
        <v>1</v>
      </c>
      <c r="V51" t="str">
        <f t="shared" ref="V51:V83" si="26">IF(U52=1, "min",0)</f>
        <v>min</v>
      </c>
      <c r="W51" s="35">
        <f t="shared" si="7"/>
        <v>0</v>
      </c>
      <c r="X51" s="36">
        <f t="shared" si="8"/>
        <v>0</v>
      </c>
      <c r="Y51" s="35">
        <f t="shared" si="9"/>
        <v>0</v>
      </c>
      <c r="Z51" s="36">
        <f t="shared" si="10"/>
        <v>0</v>
      </c>
      <c r="AB51" s="35">
        <f t="shared" si="11"/>
        <v>0</v>
      </c>
      <c r="AC51" s="36">
        <f t="shared" si="12"/>
        <v>0</v>
      </c>
      <c r="AD51" s="35">
        <f t="shared" si="13"/>
        <v>0</v>
      </c>
      <c r="AE51" s="36">
        <f t="shared" si="14"/>
        <v>0</v>
      </c>
      <c r="AG51" s="35">
        <f t="shared" si="15"/>
        <v>0</v>
      </c>
      <c r="AH51" s="36">
        <f t="shared" si="16"/>
        <v>0</v>
      </c>
      <c r="AI51" s="35">
        <f t="shared" si="17"/>
        <v>0</v>
      </c>
      <c r="AJ51" s="36">
        <f t="shared" si="18"/>
        <v>0</v>
      </c>
      <c r="AL51" s="35">
        <f t="shared" si="19"/>
        <v>0</v>
      </c>
      <c r="AM51" s="36">
        <f t="shared" si="20"/>
        <v>0</v>
      </c>
      <c r="AN51" s="35">
        <f t="shared" si="21"/>
        <v>0</v>
      </c>
      <c r="AO51" s="36">
        <f t="shared" si="22"/>
        <v>0</v>
      </c>
    </row>
    <row r="52" spans="3:41" x14ac:dyDescent="0.3">
      <c r="C52" s="1">
        <v>19</v>
      </c>
      <c r="D52" s="1"/>
      <c r="E52" s="1">
        <v>0.97407299999999997</v>
      </c>
      <c r="F52">
        <f t="shared" si="25"/>
        <v>31.408983884999998</v>
      </c>
      <c r="H52" s="1">
        <v>1.0053510000000001</v>
      </c>
      <c r="I52">
        <f t="shared" si="2"/>
        <v>9450.6010053000009</v>
      </c>
      <c r="J52" s="4">
        <f t="shared" si="3"/>
        <v>0.38092815451430873</v>
      </c>
      <c r="L52" s="1">
        <v>0.98198099999999999</v>
      </c>
      <c r="M52">
        <f t="shared" si="4"/>
        <v>88.285983786000003</v>
      </c>
      <c r="O52" s="8">
        <v>3</v>
      </c>
      <c r="P52">
        <f t="shared" si="5"/>
        <v>532.51</v>
      </c>
      <c r="U52">
        <f>IF($T$3&gt;C52,0,1)</f>
        <v>1</v>
      </c>
      <c r="V52" t="str">
        <f t="shared" si="26"/>
        <v>min</v>
      </c>
      <c r="W52" s="35">
        <f t="shared" si="7"/>
        <v>0</v>
      </c>
      <c r="X52" s="36">
        <f t="shared" si="8"/>
        <v>0</v>
      </c>
      <c r="Y52" s="35">
        <f t="shared" si="9"/>
        <v>0</v>
      </c>
      <c r="Z52" s="36">
        <f t="shared" si="10"/>
        <v>0</v>
      </c>
      <c r="AB52" s="35">
        <f t="shared" si="11"/>
        <v>0</v>
      </c>
      <c r="AC52" s="36">
        <f t="shared" si="12"/>
        <v>0</v>
      </c>
      <c r="AD52" s="35">
        <f t="shared" si="13"/>
        <v>0</v>
      </c>
      <c r="AE52" s="36">
        <f t="shared" si="14"/>
        <v>0</v>
      </c>
      <c r="AG52" s="35">
        <f t="shared" si="15"/>
        <v>0</v>
      </c>
      <c r="AH52" s="36">
        <f t="shared" si="16"/>
        <v>0</v>
      </c>
      <c r="AI52" s="35">
        <f t="shared" si="17"/>
        <v>0</v>
      </c>
      <c r="AJ52" s="36">
        <f t="shared" si="18"/>
        <v>0</v>
      </c>
      <c r="AL52" s="35">
        <f t="shared" si="19"/>
        <v>0</v>
      </c>
      <c r="AM52" s="36">
        <f t="shared" si="20"/>
        <v>0</v>
      </c>
      <c r="AN52" s="35">
        <f t="shared" si="21"/>
        <v>0</v>
      </c>
      <c r="AO52" s="36">
        <f t="shared" si="22"/>
        <v>0</v>
      </c>
    </row>
    <row r="53" spans="3:41" x14ac:dyDescent="0.3">
      <c r="C53" s="13">
        <v>20</v>
      </c>
      <c r="D53" s="13"/>
      <c r="E53" s="13">
        <v>0.96784000000000003</v>
      </c>
      <c r="F53" s="17">
        <f t="shared" si="25"/>
        <v>31.208000799999997</v>
      </c>
      <c r="G53" s="17"/>
      <c r="H53" s="13">
        <v>1.006659</v>
      </c>
      <c r="I53" s="17">
        <f t="shared" si="2"/>
        <v>9462.8965976999989</v>
      </c>
      <c r="J53" s="18">
        <f t="shared" si="3"/>
        <v>0.38043319641419271</v>
      </c>
      <c r="K53" s="17"/>
      <c r="L53" s="13">
        <v>0.97757700000000003</v>
      </c>
      <c r="M53" s="17">
        <f t="shared" si="4"/>
        <v>87.890037762000006</v>
      </c>
      <c r="N53" s="17"/>
      <c r="O53" s="19">
        <v>3.73</v>
      </c>
      <c r="P53" s="17">
        <f t="shared" si="5"/>
        <v>533.24</v>
      </c>
      <c r="U53">
        <f t="shared" si="6"/>
        <v>1</v>
      </c>
      <c r="V53" t="str">
        <f t="shared" si="26"/>
        <v>min</v>
      </c>
      <c r="W53" s="35">
        <f t="shared" si="7"/>
        <v>0</v>
      </c>
      <c r="X53" s="36">
        <f t="shared" si="8"/>
        <v>0</v>
      </c>
      <c r="Y53" s="35">
        <f t="shared" si="9"/>
        <v>0</v>
      </c>
      <c r="Z53" s="36">
        <f t="shared" si="10"/>
        <v>0</v>
      </c>
      <c r="AB53" s="35">
        <f t="shared" si="11"/>
        <v>0</v>
      </c>
      <c r="AC53" s="36">
        <f t="shared" si="12"/>
        <v>0</v>
      </c>
      <c r="AD53" s="35">
        <f t="shared" si="13"/>
        <v>0</v>
      </c>
      <c r="AE53" s="36">
        <f t="shared" si="14"/>
        <v>0</v>
      </c>
      <c r="AG53" s="35">
        <f t="shared" si="15"/>
        <v>0</v>
      </c>
      <c r="AH53" s="36">
        <f t="shared" si="16"/>
        <v>0</v>
      </c>
      <c r="AI53" s="35">
        <f t="shared" si="17"/>
        <v>0</v>
      </c>
      <c r="AJ53" s="36">
        <f t="shared" si="18"/>
        <v>0</v>
      </c>
      <c r="AL53" s="35">
        <f t="shared" si="19"/>
        <v>0</v>
      </c>
      <c r="AM53" s="36">
        <f t="shared" si="20"/>
        <v>0</v>
      </c>
      <c r="AN53" s="35">
        <f t="shared" si="21"/>
        <v>0</v>
      </c>
      <c r="AO53" s="36">
        <f t="shared" si="22"/>
        <v>0</v>
      </c>
    </row>
    <row r="54" spans="3:41" x14ac:dyDescent="0.3">
      <c r="C54" s="1">
        <v>21</v>
      </c>
      <c r="D54" s="1"/>
      <c r="E54" s="1">
        <v>0.96024200000000004</v>
      </c>
      <c r="F54">
        <f t="shared" si="25"/>
        <v>30.96300329</v>
      </c>
      <c r="H54" s="1">
        <v>1.00851</v>
      </c>
      <c r="I54">
        <f t="shared" si="2"/>
        <v>9480.2965530000001</v>
      </c>
      <c r="J54" s="4">
        <f t="shared" si="3"/>
        <v>0.37973495658854628</v>
      </c>
      <c r="L54" s="1">
        <v>0.97226000000000001</v>
      </c>
      <c r="M54">
        <f t="shared" si="4"/>
        <v>87.412007560000006</v>
      </c>
      <c r="O54" s="8">
        <v>4.6399999999999997</v>
      </c>
      <c r="P54">
        <f t="shared" si="5"/>
        <v>534.15</v>
      </c>
      <c r="U54">
        <f t="shared" si="6"/>
        <v>1</v>
      </c>
      <c r="V54" t="str">
        <f t="shared" si="26"/>
        <v>min</v>
      </c>
      <c r="W54" s="35">
        <f t="shared" si="7"/>
        <v>0</v>
      </c>
      <c r="X54" s="36">
        <f t="shared" si="8"/>
        <v>0</v>
      </c>
      <c r="Y54" s="35">
        <f t="shared" si="9"/>
        <v>0</v>
      </c>
      <c r="Z54" s="36">
        <f t="shared" si="10"/>
        <v>0</v>
      </c>
      <c r="AB54" s="35">
        <f t="shared" si="11"/>
        <v>0</v>
      </c>
      <c r="AC54" s="36">
        <f t="shared" si="12"/>
        <v>0</v>
      </c>
      <c r="AD54" s="35">
        <f t="shared" si="13"/>
        <v>0</v>
      </c>
      <c r="AE54" s="36">
        <f t="shared" si="14"/>
        <v>0</v>
      </c>
      <c r="AG54" s="35">
        <f t="shared" si="15"/>
        <v>0</v>
      </c>
      <c r="AH54" s="36">
        <f t="shared" si="16"/>
        <v>0</v>
      </c>
      <c r="AI54" s="35">
        <f t="shared" si="17"/>
        <v>0</v>
      </c>
      <c r="AJ54" s="36">
        <f t="shared" si="18"/>
        <v>0</v>
      </c>
      <c r="AL54" s="35">
        <f t="shared" si="19"/>
        <v>0</v>
      </c>
      <c r="AM54" s="36">
        <f t="shared" si="20"/>
        <v>0</v>
      </c>
      <c r="AN54" s="35">
        <f t="shared" si="21"/>
        <v>0</v>
      </c>
      <c r="AO54" s="36">
        <f t="shared" si="22"/>
        <v>0</v>
      </c>
    </row>
    <row r="55" spans="3:41" x14ac:dyDescent="0.3">
      <c r="C55" s="1">
        <v>22</v>
      </c>
      <c r="D55" s="1"/>
      <c r="E55" s="1">
        <v>0.95130999999999999</v>
      </c>
      <c r="F55">
        <f t="shared" si="25"/>
        <v>30.674990949999998</v>
      </c>
      <c r="H55" s="1">
        <v>1.010861</v>
      </c>
      <c r="I55">
        <f t="shared" si="2"/>
        <v>9502.3966583000001</v>
      </c>
      <c r="J55" s="4">
        <f t="shared" si="3"/>
        <v>0.37885179175882228</v>
      </c>
      <c r="L55" s="1">
        <v>0.96604199999999996</v>
      </c>
      <c r="M55">
        <f t="shared" si="4"/>
        <v>86.852972051999998</v>
      </c>
      <c r="O55" s="8">
        <v>5.68</v>
      </c>
      <c r="P55">
        <f t="shared" si="5"/>
        <v>535.18999999999994</v>
      </c>
      <c r="U55">
        <f t="shared" si="6"/>
        <v>1</v>
      </c>
      <c r="V55" t="str">
        <f t="shared" si="26"/>
        <v>min</v>
      </c>
      <c r="W55" s="35">
        <f t="shared" si="7"/>
        <v>0</v>
      </c>
      <c r="X55" s="36">
        <f t="shared" si="8"/>
        <v>0</v>
      </c>
      <c r="Y55" s="35">
        <f t="shared" si="9"/>
        <v>0</v>
      </c>
      <c r="Z55" s="36">
        <f t="shared" si="10"/>
        <v>0</v>
      </c>
      <c r="AB55" s="35">
        <f t="shared" si="11"/>
        <v>0</v>
      </c>
      <c r="AC55" s="36">
        <f t="shared" si="12"/>
        <v>0</v>
      </c>
      <c r="AD55" s="35">
        <f t="shared" si="13"/>
        <v>0</v>
      </c>
      <c r="AE55" s="36">
        <f t="shared" si="14"/>
        <v>0</v>
      </c>
      <c r="AG55" s="35">
        <f t="shared" si="15"/>
        <v>0</v>
      </c>
      <c r="AH55" s="36">
        <f t="shared" si="16"/>
        <v>0</v>
      </c>
      <c r="AI55" s="35">
        <f t="shared" si="17"/>
        <v>0</v>
      </c>
      <c r="AJ55" s="36">
        <f t="shared" si="18"/>
        <v>0</v>
      </c>
      <c r="AL55" s="35">
        <f t="shared" si="19"/>
        <v>0</v>
      </c>
      <c r="AM55" s="36">
        <f t="shared" si="20"/>
        <v>0</v>
      </c>
      <c r="AN55" s="35">
        <f t="shared" si="21"/>
        <v>0</v>
      </c>
      <c r="AO55" s="36">
        <f t="shared" si="22"/>
        <v>0</v>
      </c>
    </row>
    <row r="56" spans="3:41" x14ac:dyDescent="0.3">
      <c r="C56" s="1">
        <v>23</v>
      </c>
      <c r="D56" s="1"/>
      <c r="E56" s="1">
        <v>0.942658</v>
      </c>
      <c r="F56">
        <f t="shared" si="25"/>
        <v>30.396007209999997</v>
      </c>
      <c r="H56" s="1">
        <v>1.0132019999999999</v>
      </c>
      <c r="I56">
        <f t="shared" si="2"/>
        <v>9524.4027605999981</v>
      </c>
      <c r="J56" s="4">
        <f t="shared" si="3"/>
        <v>0.37797645589834494</v>
      </c>
      <c r="L56" s="1">
        <v>0.95998000000000006</v>
      </c>
      <c r="M56">
        <f t="shared" si="4"/>
        <v>86.307961880000008</v>
      </c>
      <c r="O56" s="8">
        <v>6.73</v>
      </c>
      <c r="P56">
        <f t="shared" si="5"/>
        <v>536.24</v>
      </c>
      <c r="U56">
        <f t="shared" si="6"/>
        <v>1</v>
      </c>
      <c r="V56" t="str">
        <f t="shared" si="26"/>
        <v>min</v>
      </c>
      <c r="W56" s="35">
        <f t="shared" si="7"/>
        <v>0</v>
      </c>
      <c r="X56" s="36">
        <f t="shared" si="8"/>
        <v>0</v>
      </c>
      <c r="Y56" s="35">
        <f t="shared" si="9"/>
        <v>0</v>
      </c>
      <c r="Z56" s="36">
        <f t="shared" si="10"/>
        <v>0</v>
      </c>
      <c r="AB56" s="35">
        <f t="shared" si="11"/>
        <v>0</v>
      </c>
      <c r="AC56" s="36">
        <f t="shared" si="12"/>
        <v>0</v>
      </c>
      <c r="AD56" s="35">
        <f t="shared" si="13"/>
        <v>0</v>
      </c>
      <c r="AE56" s="36">
        <f t="shared" si="14"/>
        <v>0</v>
      </c>
      <c r="AG56" s="35">
        <f t="shared" si="15"/>
        <v>0</v>
      </c>
      <c r="AH56" s="36">
        <f t="shared" si="16"/>
        <v>0</v>
      </c>
      <c r="AI56" s="35">
        <f t="shared" si="17"/>
        <v>0</v>
      </c>
      <c r="AJ56" s="36">
        <f t="shared" si="18"/>
        <v>0</v>
      </c>
      <c r="AL56" s="35">
        <f t="shared" si="19"/>
        <v>0</v>
      </c>
      <c r="AM56" s="36">
        <f t="shared" si="20"/>
        <v>0</v>
      </c>
      <c r="AN56" s="35">
        <f t="shared" si="21"/>
        <v>0</v>
      </c>
      <c r="AO56" s="36">
        <f t="shared" si="22"/>
        <v>0</v>
      </c>
    </row>
    <row r="57" spans="3:41" x14ac:dyDescent="0.3">
      <c r="C57" s="1">
        <v>24</v>
      </c>
      <c r="D57" s="1"/>
      <c r="E57" s="1">
        <v>0.93412899999999999</v>
      </c>
      <c r="F57">
        <f t="shared" si="25"/>
        <v>30.120989604999998</v>
      </c>
      <c r="H57" s="1">
        <v>1.015585</v>
      </c>
      <c r="I57">
        <f t="shared" si="2"/>
        <v>9546.8036754999994</v>
      </c>
      <c r="J57" s="4">
        <f t="shared" si="3"/>
        <v>0.37708956027227147</v>
      </c>
      <c r="L57" s="1">
        <v>0.95397399999999999</v>
      </c>
      <c r="M57">
        <f t="shared" si="4"/>
        <v>85.767986444000002</v>
      </c>
      <c r="O57" s="8">
        <v>7.8</v>
      </c>
      <c r="P57">
        <f t="shared" si="5"/>
        <v>537.30999999999995</v>
      </c>
      <c r="U57">
        <f t="shared" si="6"/>
        <v>1</v>
      </c>
      <c r="V57" t="str">
        <f t="shared" si="26"/>
        <v>min</v>
      </c>
      <c r="W57" s="35">
        <f t="shared" si="7"/>
        <v>0</v>
      </c>
      <c r="X57" s="36">
        <f t="shared" si="8"/>
        <v>0</v>
      </c>
      <c r="Y57" s="35">
        <f t="shared" si="9"/>
        <v>0</v>
      </c>
      <c r="Z57" s="36">
        <f t="shared" si="10"/>
        <v>0</v>
      </c>
      <c r="AB57" s="35">
        <f t="shared" si="11"/>
        <v>0</v>
      </c>
      <c r="AC57" s="36">
        <f t="shared" si="12"/>
        <v>0</v>
      </c>
      <c r="AD57" s="35">
        <f t="shared" si="13"/>
        <v>0</v>
      </c>
      <c r="AE57" s="36">
        <f t="shared" si="14"/>
        <v>0</v>
      </c>
      <c r="AG57" s="35">
        <f t="shared" si="15"/>
        <v>0</v>
      </c>
      <c r="AH57" s="36">
        <f t="shared" si="16"/>
        <v>0</v>
      </c>
      <c r="AI57" s="35">
        <f t="shared" si="17"/>
        <v>0</v>
      </c>
      <c r="AJ57" s="36">
        <f t="shared" si="18"/>
        <v>0</v>
      </c>
      <c r="AL57" s="35">
        <f t="shared" si="19"/>
        <v>0</v>
      </c>
      <c r="AM57" s="36">
        <f t="shared" si="20"/>
        <v>0</v>
      </c>
      <c r="AN57" s="35">
        <f t="shared" si="21"/>
        <v>0</v>
      </c>
      <c r="AO57" s="36">
        <f t="shared" si="22"/>
        <v>0</v>
      </c>
    </row>
    <row r="58" spans="3:41" x14ac:dyDescent="0.3">
      <c r="C58" s="13">
        <v>25</v>
      </c>
      <c r="D58" s="13"/>
      <c r="E58" s="13">
        <v>0.925539</v>
      </c>
      <c r="F58" s="17">
        <f t="shared" si="25"/>
        <v>29.844005054999997</v>
      </c>
      <c r="G58" s="17"/>
      <c r="H58" s="13">
        <v>1.017946</v>
      </c>
      <c r="I58" s="17">
        <f t="shared" si="2"/>
        <v>9568.9977837999995</v>
      </c>
      <c r="J58" s="18">
        <f t="shared" si="3"/>
        <v>0.3762149476191417</v>
      </c>
      <c r="K58" s="17"/>
      <c r="L58" s="13">
        <v>0.94791199999999998</v>
      </c>
      <c r="M58" s="17">
        <f t="shared" si="4"/>
        <v>85.222976271999997</v>
      </c>
      <c r="N58" s="17"/>
      <c r="O58" s="19">
        <v>8.82</v>
      </c>
      <c r="P58" s="17">
        <f t="shared" si="5"/>
        <v>538.33000000000004</v>
      </c>
      <c r="U58">
        <f t="shared" si="6"/>
        <v>1</v>
      </c>
      <c r="V58" t="str">
        <f t="shared" si="26"/>
        <v>min</v>
      </c>
      <c r="W58" s="35">
        <f t="shared" si="7"/>
        <v>0</v>
      </c>
      <c r="X58" s="36">
        <f t="shared" si="8"/>
        <v>0</v>
      </c>
      <c r="Y58" s="35">
        <f t="shared" si="9"/>
        <v>0</v>
      </c>
      <c r="Z58" s="36">
        <f t="shared" si="10"/>
        <v>0</v>
      </c>
      <c r="AB58" s="35">
        <f t="shared" si="11"/>
        <v>0</v>
      </c>
      <c r="AC58" s="36">
        <f t="shared" si="12"/>
        <v>0</v>
      </c>
      <c r="AD58" s="35">
        <f t="shared" si="13"/>
        <v>0</v>
      </c>
      <c r="AE58" s="36">
        <f t="shared" si="14"/>
        <v>0</v>
      </c>
      <c r="AG58" s="35">
        <f t="shared" si="15"/>
        <v>0</v>
      </c>
      <c r="AH58" s="36">
        <f t="shared" si="16"/>
        <v>0</v>
      </c>
      <c r="AI58" s="35">
        <f t="shared" si="17"/>
        <v>0</v>
      </c>
      <c r="AJ58" s="36">
        <f t="shared" si="18"/>
        <v>0</v>
      </c>
      <c r="AL58" s="35">
        <f t="shared" si="19"/>
        <v>0</v>
      </c>
      <c r="AM58" s="36">
        <f t="shared" si="20"/>
        <v>0</v>
      </c>
      <c r="AN58" s="35">
        <f t="shared" si="21"/>
        <v>0</v>
      </c>
      <c r="AO58" s="36">
        <f t="shared" si="22"/>
        <v>0</v>
      </c>
    </row>
    <row r="59" spans="3:41" x14ac:dyDescent="0.3">
      <c r="C59" s="1">
        <v>26</v>
      </c>
      <c r="D59" s="1"/>
      <c r="E59" s="1">
        <v>0.917041</v>
      </c>
      <c r="F59">
        <f t="shared" si="25"/>
        <v>29.569987044999998</v>
      </c>
      <c r="H59" s="1">
        <v>1.0204249999999999</v>
      </c>
      <c r="I59">
        <f t="shared" si="2"/>
        <v>9592.301127499999</v>
      </c>
      <c r="J59" s="4">
        <f t="shared" si="3"/>
        <v>0.37530097858158595</v>
      </c>
      <c r="L59" s="1">
        <v>0.94190600000000002</v>
      </c>
      <c r="M59">
        <f t="shared" si="4"/>
        <v>84.683000836000005</v>
      </c>
      <c r="O59" s="8">
        <v>9.89</v>
      </c>
      <c r="P59">
        <f t="shared" si="5"/>
        <v>539.4</v>
      </c>
      <c r="U59">
        <f t="shared" si="6"/>
        <v>1</v>
      </c>
      <c r="V59" t="str">
        <f t="shared" si="26"/>
        <v>min</v>
      </c>
      <c r="W59" s="35">
        <f t="shared" si="7"/>
        <v>0</v>
      </c>
      <c r="X59" s="36">
        <f t="shared" si="8"/>
        <v>0</v>
      </c>
      <c r="Y59" s="35">
        <f t="shared" si="9"/>
        <v>0</v>
      </c>
      <c r="Z59" s="36">
        <f t="shared" si="10"/>
        <v>0</v>
      </c>
      <c r="AB59" s="35">
        <f t="shared" si="11"/>
        <v>0</v>
      </c>
      <c r="AC59" s="36">
        <f t="shared" si="12"/>
        <v>0</v>
      </c>
      <c r="AD59" s="35">
        <f t="shared" si="13"/>
        <v>0</v>
      </c>
      <c r="AE59" s="36">
        <f t="shared" si="14"/>
        <v>0</v>
      </c>
      <c r="AG59" s="35">
        <f t="shared" si="15"/>
        <v>0</v>
      </c>
      <c r="AH59" s="36">
        <f t="shared" si="16"/>
        <v>0</v>
      </c>
      <c r="AI59" s="35">
        <f t="shared" si="17"/>
        <v>0</v>
      </c>
      <c r="AJ59" s="36">
        <f t="shared" si="18"/>
        <v>0</v>
      </c>
      <c r="AL59" s="35">
        <f t="shared" si="19"/>
        <v>0</v>
      </c>
      <c r="AM59" s="36">
        <f t="shared" si="20"/>
        <v>0</v>
      </c>
      <c r="AN59" s="35">
        <f t="shared" si="21"/>
        <v>0</v>
      </c>
      <c r="AO59" s="36">
        <f t="shared" si="22"/>
        <v>0</v>
      </c>
    </row>
    <row r="60" spans="3:41" x14ac:dyDescent="0.3">
      <c r="C60" s="1">
        <v>27</v>
      </c>
      <c r="D60" s="1"/>
      <c r="E60" s="1">
        <v>0.90801699999999996</v>
      </c>
      <c r="F60">
        <f t="shared" si="25"/>
        <v>29.279008164999997</v>
      </c>
      <c r="H60" s="1">
        <v>1.0231589999999999</v>
      </c>
      <c r="I60">
        <f t="shared" si="2"/>
        <v>9618.0015476999979</v>
      </c>
      <c r="J60" s="4">
        <f t="shared" si="3"/>
        <v>0.37429813066113371</v>
      </c>
      <c r="L60" s="1">
        <v>0.93550999999999995</v>
      </c>
      <c r="M60">
        <f t="shared" si="4"/>
        <v>84.107962060000006</v>
      </c>
      <c r="O60" s="8">
        <v>11.03</v>
      </c>
      <c r="P60">
        <f t="shared" si="5"/>
        <v>540.54</v>
      </c>
      <c r="U60">
        <f t="shared" si="6"/>
        <v>1</v>
      </c>
      <c r="V60" t="str">
        <f t="shared" si="26"/>
        <v>min</v>
      </c>
      <c r="W60" s="35">
        <f t="shared" si="7"/>
        <v>0</v>
      </c>
      <c r="X60" s="36">
        <f t="shared" si="8"/>
        <v>0</v>
      </c>
      <c r="Y60" s="35">
        <f t="shared" si="9"/>
        <v>0</v>
      </c>
      <c r="Z60" s="36">
        <f t="shared" si="10"/>
        <v>0</v>
      </c>
      <c r="AB60" s="35">
        <f t="shared" si="11"/>
        <v>0</v>
      </c>
      <c r="AC60" s="36">
        <f t="shared" si="12"/>
        <v>0</v>
      </c>
      <c r="AD60" s="35">
        <f t="shared" si="13"/>
        <v>0</v>
      </c>
      <c r="AE60" s="36">
        <f t="shared" si="14"/>
        <v>0</v>
      </c>
      <c r="AG60" s="35">
        <f t="shared" si="15"/>
        <v>0</v>
      </c>
      <c r="AH60" s="36">
        <f t="shared" si="16"/>
        <v>0</v>
      </c>
      <c r="AI60" s="35">
        <f t="shared" si="17"/>
        <v>0</v>
      </c>
      <c r="AJ60" s="36">
        <f t="shared" si="18"/>
        <v>0</v>
      </c>
      <c r="AL60" s="35">
        <f t="shared" si="19"/>
        <v>0</v>
      </c>
      <c r="AM60" s="36">
        <f t="shared" si="20"/>
        <v>0</v>
      </c>
      <c r="AN60" s="35">
        <f t="shared" si="21"/>
        <v>0</v>
      </c>
      <c r="AO60" s="36">
        <f t="shared" si="22"/>
        <v>0</v>
      </c>
    </row>
    <row r="61" spans="3:41" x14ac:dyDescent="0.3">
      <c r="C61" s="1">
        <v>28</v>
      </c>
      <c r="D61" s="1"/>
      <c r="E61" s="1">
        <v>0.89861999999999997</v>
      </c>
      <c r="F61">
        <f t="shared" si="25"/>
        <v>28.976001899999996</v>
      </c>
      <c r="H61" s="1">
        <v>1.0260629999999999</v>
      </c>
      <c r="I61">
        <f t="shared" si="2"/>
        <v>9645.3000188999995</v>
      </c>
      <c r="J61" s="4">
        <f t="shared" si="3"/>
        <v>0.3732387787778283</v>
      </c>
      <c r="L61" s="1">
        <v>0.92883700000000002</v>
      </c>
      <c r="M61">
        <f t="shared" si="4"/>
        <v>83.50801932200001</v>
      </c>
      <c r="O61" s="8">
        <v>12.21</v>
      </c>
      <c r="P61">
        <f t="shared" si="5"/>
        <v>541.72</v>
      </c>
      <c r="U61">
        <f t="shared" si="6"/>
        <v>1</v>
      </c>
      <c r="V61" t="str">
        <f t="shared" si="26"/>
        <v>min</v>
      </c>
      <c r="W61" s="35">
        <f t="shared" si="7"/>
        <v>0</v>
      </c>
      <c r="X61" s="36">
        <f t="shared" si="8"/>
        <v>0</v>
      </c>
      <c r="Y61" s="35">
        <f t="shared" si="9"/>
        <v>0</v>
      </c>
      <c r="Z61" s="36">
        <f t="shared" si="10"/>
        <v>0</v>
      </c>
      <c r="AB61" s="35">
        <f t="shared" si="11"/>
        <v>0</v>
      </c>
      <c r="AC61" s="36">
        <f t="shared" si="12"/>
        <v>0</v>
      </c>
      <c r="AD61" s="35">
        <f t="shared" si="13"/>
        <v>0</v>
      </c>
      <c r="AE61" s="36">
        <f t="shared" si="14"/>
        <v>0</v>
      </c>
      <c r="AG61" s="35">
        <f t="shared" si="15"/>
        <v>0</v>
      </c>
      <c r="AH61" s="36">
        <f t="shared" si="16"/>
        <v>0</v>
      </c>
      <c r="AI61" s="35">
        <f t="shared" si="17"/>
        <v>0</v>
      </c>
      <c r="AJ61" s="36">
        <f t="shared" si="18"/>
        <v>0</v>
      </c>
      <c r="AL61" s="35">
        <f t="shared" si="19"/>
        <v>0</v>
      </c>
      <c r="AM61" s="36">
        <f t="shared" si="20"/>
        <v>0</v>
      </c>
      <c r="AN61" s="35">
        <f t="shared" si="21"/>
        <v>0</v>
      </c>
      <c r="AO61" s="36">
        <f t="shared" si="22"/>
        <v>0</v>
      </c>
    </row>
    <row r="62" spans="3:41" x14ac:dyDescent="0.3">
      <c r="C62" s="1">
        <v>29</v>
      </c>
      <c r="D62" s="1"/>
      <c r="E62" s="1">
        <v>0.88919199999999998</v>
      </c>
      <c r="F62">
        <f t="shared" si="25"/>
        <v>28.671996039999996</v>
      </c>
      <c r="H62" s="1">
        <v>1.0291589999999999</v>
      </c>
      <c r="I62">
        <f t="shared" si="2"/>
        <v>9674.4033476999994</v>
      </c>
      <c r="J62" s="4">
        <f t="shared" si="3"/>
        <v>0.37211597145738884</v>
      </c>
      <c r="L62" s="1">
        <v>0.92215199999999997</v>
      </c>
      <c r="M62">
        <f t="shared" si="4"/>
        <v>82.906997712000006</v>
      </c>
      <c r="O62" s="1">
        <v>13.44</v>
      </c>
      <c r="P62">
        <f t="shared" si="5"/>
        <v>542.95000000000005</v>
      </c>
      <c r="U62">
        <f t="shared" si="6"/>
        <v>1</v>
      </c>
      <c r="V62" t="str">
        <f t="shared" si="26"/>
        <v>min</v>
      </c>
      <c r="W62" s="35">
        <f t="shared" si="7"/>
        <v>0</v>
      </c>
      <c r="X62" s="36">
        <f t="shared" si="8"/>
        <v>0</v>
      </c>
      <c r="Y62" s="35">
        <f t="shared" si="9"/>
        <v>0</v>
      </c>
      <c r="Z62" s="36">
        <f t="shared" si="10"/>
        <v>0</v>
      </c>
      <c r="AB62" s="35">
        <f t="shared" si="11"/>
        <v>0</v>
      </c>
      <c r="AC62" s="36">
        <f t="shared" si="12"/>
        <v>0</v>
      </c>
      <c r="AD62" s="35">
        <f t="shared" si="13"/>
        <v>0</v>
      </c>
      <c r="AE62" s="36">
        <f t="shared" si="14"/>
        <v>0</v>
      </c>
      <c r="AG62" s="35">
        <f t="shared" si="15"/>
        <v>0</v>
      </c>
      <c r="AH62" s="36">
        <f t="shared" si="16"/>
        <v>0</v>
      </c>
      <c r="AI62" s="35">
        <f t="shared" si="17"/>
        <v>0</v>
      </c>
      <c r="AJ62" s="36">
        <f t="shared" si="18"/>
        <v>0</v>
      </c>
      <c r="AL62" s="35">
        <f t="shared" si="19"/>
        <v>0</v>
      </c>
      <c r="AM62" s="36">
        <f t="shared" si="20"/>
        <v>0</v>
      </c>
      <c r="AN62" s="35">
        <f t="shared" si="21"/>
        <v>0</v>
      </c>
      <c r="AO62" s="36">
        <f t="shared" si="22"/>
        <v>0</v>
      </c>
    </row>
    <row r="63" spans="3:41" x14ac:dyDescent="0.3">
      <c r="C63" s="1">
        <v>30</v>
      </c>
      <c r="D63" s="1"/>
      <c r="E63" s="1">
        <v>0.88026099999999996</v>
      </c>
      <c r="F63">
        <f t="shared" si="25"/>
        <v>28.384015944999998</v>
      </c>
      <c r="H63" s="1">
        <v>1.0319560000000001</v>
      </c>
      <c r="I63">
        <f t="shared" si="2"/>
        <v>9700.6959867999994</v>
      </c>
      <c r="J63" s="4">
        <f t="shared" si="3"/>
        <v>0.37110739321164354</v>
      </c>
      <c r="L63" s="1">
        <v>0.91571199999999997</v>
      </c>
      <c r="M63">
        <f t="shared" si="4"/>
        <v>82.328003072000001</v>
      </c>
      <c r="O63" s="1">
        <v>14.56</v>
      </c>
      <c r="P63">
        <f t="shared" si="5"/>
        <v>544.06999999999994</v>
      </c>
      <c r="U63">
        <f t="shared" si="6"/>
        <v>1</v>
      </c>
      <c r="V63" t="str">
        <f t="shared" si="26"/>
        <v>min</v>
      </c>
      <c r="W63" s="35">
        <f t="shared" si="7"/>
        <v>0</v>
      </c>
      <c r="X63" s="36">
        <f t="shared" si="8"/>
        <v>0</v>
      </c>
      <c r="Y63" s="35">
        <f t="shared" si="9"/>
        <v>0</v>
      </c>
      <c r="Z63" s="36">
        <f t="shared" si="10"/>
        <v>0</v>
      </c>
      <c r="AB63" s="35">
        <f t="shared" si="11"/>
        <v>0</v>
      </c>
      <c r="AC63" s="36">
        <f t="shared" si="12"/>
        <v>0</v>
      </c>
      <c r="AD63" s="35">
        <f t="shared" si="13"/>
        <v>0</v>
      </c>
      <c r="AE63" s="36">
        <f t="shared" si="14"/>
        <v>0</v>
      </c>
      <c r="AG63" s="35">
        <f t="shared" si="15"/>
        <v>0</v>
      </c>
      <c r="AH63" s="36">
        <f t="shared" si="16"/>
        <v>0</v>
      </c>
      <c r="AI63" s="35">
        <f t="shared" si="17"/>
        <v>0</v>
      </c>
      <c r="AJ63" s="36">
        <f t="shared" si="18"/>
        <v>0</v>
      </c>
      <c r="AL63" s="35">
        <f t="shared" si="19"/>
        <v>0</v>
      </c>
      <c r="AM63" s="36">
        <f t="shared" si="20"/>
        <v>0</v>
      </c>
      <c r="AN63" s="35">
        <f t="shared" si="21"/>
        <v>0</v>
      </c>
      <c r="AO63" s="36">
        <f t="shared" si="22"/>
        <v>0</v>
      </c>
    </row>
    <row r="64" spans="3:41" x14ac:dyDescent="0.3">
      <c r="C64" s="1">
        <v>31</v>
      </c>
      <c r="D64" s="1"/>
      <c r="E64" s="1">
        <v>0.87083299999999997</v>
      </c>
      <c r="F64">
        <f t="shared" si="25"/>
        <v>28.080010084999998</v>
      </c>
      <c r="H64" s="1">
        <v>1.034999</v>
      </c>
      <c r="I64">
        <f t="shared" si="2"/>
        <v>9729.3010997000001</v>
      </c>
      <c r="J64" s="4">
        <f t="shared" si="3"/>
        <v>0.37001630056561868</v>
      </c>
      <c r="L64" s="1">
        <v>0.90880499999999997</v>
      </c>
      <c r="M64">
        <f t="shared" si="4"/>
        <v>81.707022330000001</v>
      </c>
      <c r="O64" s="1">
        <v>15.75</v>
      </c>
      <c r="P64">
        <f t="shared" si="5"/>
        <v>545.26</v>
      </c>
      <c r="U64">
        <f t="shared" si="6"/>
        <v>1</v>
      </c>
      <c r="V64" t="str">
        <f t="shared" si="26"/>
        <v>min</v>
      </c>
      <c r="W64" s="35">
        <f t="shared" si="7"/>
        <v>0</v>
      </c>
      <c r="X64" s="36">
        <f t="shared" si="8"/>
        <v>0</v>
      </c>
      <c r="Y64" s="35">
        <f t="shared" si="9"/>
        <v>0</v>
      </c>
      <c r="Z64" s="36">
        <f t="shared" si="10"/>
        <v>0</v>
      </c>
      <c r="AB64" s="35">
        <f t="shared" si="11"/>
        <v>0</v>
      </c>
      <c r="AC64" s="36">
        <f t="shared" si="12"/>
        <v>0</v>
      </c>
      <c r="AD64" s="35">
        <f t="shared" si="13"/>
        <v>0</v>
      </c>
      <c r="AE64" s="36">
        <f t="shared" si="14"/>
        <v>0</v>
      </c>
      <c r="AG64" s="35">
        <f t="shared" si="15"/>
        <v>0</v>
      </c>
      <c r="AH64" s="36">
        <f t="shared" si="16"/>
        <v>0</v>
      </c>
      <c r="AI64" s="35">
        <f t="shared" si="17"/>
        <v>0</v>
      </c>
      <c r="AJ64" s="36">
        <f t="shared" si="18"/>
        <v>0</v>
      </c>
      <c r="AL64" s="35">
        <f t="shared" si="19"/>
        <v>0</v>
      </c>
      <c r="AM64" s="36">
        <f t="shared" si="20"/>
        <v>0</v>
      </c>
      <c r="AN64" s="35">
        <f t="shared" si="21"/>
        <v>0</v>
      </c>
      <c r="AO64" s="36">
        <f t="shared" si="22"/>
        <v>0</v>
      </c>
    </row>
    <row r="65" spans="3:41" x14ac:dyDescent="0.3">
      <c r="C65" s="1">
        <v>32</v>
      </c>
      <c r="D65" s="1"/>
      <c r="E65" s="1">
        <v>0.86177700000000002</v>
      </c>
      <c r="F65">
        <f t="shared" si="25"/>
        <v>27.787999364999997</v>
      </c>
      <c r="H65" s="1">
        <v>1.038009</v>
      </c>
      <c r="I65">
        <f t="shared" si="2"/>
        <v>9757.5960026999983</v>
      </c>
      <c r="J65" s="4">
        <f t="shared" si="3"/>
        <v>0.36894333389124268</v>
      </c>
      <c r="L65" s="1">
        <v>0.90216399999999997</v>
      </c>
      <c r="M65">
        <f t="shared" si="4"/>
        <v>81.109956584000003</v>
      </c>
      <c r="O65" s="1">
        <v>16.940000000000001</v>
      </c>
      <c r="P65">
        <f t="shared" si="5"/>
        <v>546.45000000000005</v>
      </c>
      <c r="U65">
        <f t="shared" si="6"/>
        <v>1</v>
      </c>
      <c r="V65" t="str">
        <f t="shared" si="26"/>
        <v>min</v>
      </c>
      <c r="W65" s="35">
        <f t="shared" si="7"/>
        <v>0</v>
      </c>
      <c r="X65" s="36">
        <f t="shared" si="8"/>
        <v>0</v>
      </c>
      <c r="Y65" s="35">
        <f t="shared" si="9"/>
        <v>0</v>
      </c>
      <c r="Z65" s="36">
        <f t="shared" si="10"/>
        <v>0</v>
      </c>
      <c r="AB65" s="35">
        <f t="shared" si="11"/>
        <v>0</v>
      </c>
      <c r="AC65" s="36">
        <f t="shared" si="12"/>
        <v>0</v>
      </c>
      <c r="AD65" s="35">
        <f t="shared" si="13"/>
        <v>0</v>
      </c>
      <c r="AE65" s="36">
        <f t="shared" si="14"/>
        <v>0</v>
      </c>
      <c r="AG65" s="35">
        <f t="shared" si="15"/>
        <v>0</v>
      </c>
      <c r="AH65" s="36">
        <f t="shared" si="16"/>
        <v>0</v>
      </c>
      <c r="AI65" s="35">
        <f t="shared" si="17"/>
        <v>0</v>
      </c>
      <c r="AJ65" s="36">
        <f t="shared" si="18"/>
        <v>0</v>
      </c>
      <c r="AL65" s="35">
        <f t="shared" si="19"/>
        <v>0</v>
      </c>
      <c r="AM65" s="36">
        <f t="shared" si="20"/>
        <v>0</v>
      </c>
      <c r="AN65" s="35">
        <f t="shared" si="21"/>
        <v>0</v>
      </c>
      <c r="AO65" s="36">
        <f t="shared" si="22"/>
        <v>0</v>
      </c>
    </row>
    <row r="66" spans="3:41" x14ac:dyDescent="0.3">
      <c r="C66" s="1">
        <v>33</v>
      </c>
      <c r="D66" s="1"/>
      <c r="E66" s="1">
        <v>0.85253500000000004</v>
      </c>
      <c r="F66">
        <f t="shared" si="25"/>
        <v>27.489991074999999</v>
      </c>
      <c r="H66" s="1">
        <v>1.041169</v>
      </c>
      <c r="I66">
        <f t="shared" si="2"/>
        <v>9787.3009506999988</v>
      </c>
      <c r="J66" s="4">
        <f t="shared" si="3"/>
        <v>0.36782357241630786</v>
      </c>
      <c r="L66" s="1">
        <v>0.89537999999999995</v>
      </c>
      <c r="M66">
        <f t="shared" si="4"/>
        <v>80.500034279999994</v>
      </c>
      <c r="O66" s="1">
        <v>18.149999999999999</v>
      </c>
      <c r="P66">
        <f t="shared" si="5"/>
        <v>547.66</v>
      </c>
      <c r="U66">
        <f t="shared" si="6"/>
        <v>1</v>
      </c>
      <c r="V66" t="str">
        <f t="shared" si="26"/>
        <v>min</v>
      </c>
      <c r="W66" s="35">
        <f t="shared" si="7"/>
        <v>0</v>
      </c>
      <c r="X66" s="36">
        <f t="shared" si="8"/>
        <v>0</v>
      </c>
      <c r="Y66" s="35">
        <f t="shared" si="9"/>
        <v>0</v>
      </c>
      <c r="Z66" s="36">
        <f t="shared" si="10"/>
        <v>0</v>
      </c>
      <c r="AB66" s="35">
        <f t="shared" si="11"/>
        <v>0</v>
      </c>
      <c r="AC66" s="36">
        <f t="shared" si="12"/>
        <v>0</v>
      </c>
      <c r="AD66" s="35">
        <f t="shared" si="13"/>
        <v>0</v>
      </c>
      <c r="AE66" s="36">
        <f t="shared" si="14"/>
        <v>0</v>
      </c>
      <c r="AG66" s="35">
        <f t="shared" si="15"/>
        <v>0</v>
      </c>
      <c r="AH66" s="36">
        <f t="shared" si="16"/>
        <v>0</v>
      </c>
      <c r="AI66" s="35">
        <f t="shared" si="17"/>
        <v>0</v>
      </c>
      <c r="AJ66" s="36">
        <f t="shared" si="18"/>
        <v>0</v>
      </c>
      <c r="AL66" s="35">
        <f t="shared" si="19"/>
        <v>0</v>
      </c>
      <c r="AM66" s="36">
        <f t="shared" si="20"/>
        <v>0</v>
      </c>
      <c r="AN66" s="35">
        <f t="shared" si="21"/>
        <v>0</v>
      </c>
      <c r="AO66" s="36">
        <f t="shared" si="22"/>
        <v>0</v>
      </c>
    </row>
    <row r="67" spans="3:41" x14ac:dyDescent="0.3">
      <c r="C67" s="1">
        <v>34</v>
      </c>
      <c r="D67" s="1"/>
      <c r="E67" s="1">
        <v>0.843387</v>
      </c>
      <c r="F67">
        <f t="shared" ref="F67:F83" si="27">E67*$A$2</f>
        <v>27.195013814999999</v>
      </c>
      <c r="H67" s="1">
        <v>1.044467</v>
      </c>
      <c r="I67">
        <f t="shared" si="2"/>
        <v>9818.3031400999989</v>
      </c>
      <c r="J67" s="4">
        <f t="shared" si="3"/>
        <v>0.36666213587323948</v>
      </c>
      <c r="L67" s="1">
        <v>0.88869500000000001</v>
      </c>
      <c r="M67">
        <f t="shared" si="4"/>
        <v>79.899012670000005</v>
      </c>
      <c r="O67" s="8">
        <v>19.399999999999999</v>
      </c>
      <c r="P67">
        <f t="shared" si="5"/>
        <v>548.91</v>
      </c>
      <c r="U67">
        <f t="shared" si="6"/>
        <v>1</v>
      </c>
      <c r="V67" t="str">
        <f t="shared" si="26"/>
        <v>min</v>
      </c>
      <c r="W67" s="35">
        <f t="shared" si="7"/>
        <v>0</v>
      </c>
      <c r="X67" s="36">
        <f t="shared" si="8"/>
        <v>0</v>
      </c>
      <c r="Y67" s="35">
        <f t="shared" si="9"/>
        <v>0</v>
      </c>
      <c r="Z67" s="36">
        <f t="shared" si="10"/>
        <v>0</v>
      </c>
      <c r="AB67" s="35">
        <f t="shared" si="11"/>
        <v>0</v>
      </c>
      <c r="AC67" s="36">
        <f t="shared" si="12"/>
        <v>0</v>
      </c>
      <c r="AD67" s="35">
        <f t="shared" si="13"/>
        <v>0</v>
      </c>
      <c r="AE67" s="36">
        <f t="shared" si="14"/>
        <v>0</v>
      </c>
      <c r="AG67" s="35">
        <f t="shared" si="15"/>
        <v>0</v>
      </c>
      <c r="AH67" s="36">
        <f t="shared" si="16"/>
        <v>0</v>
      </c>
      <c r="AI67" s="35">
        <f t="shared" si="17"/>
        <v>0</v>
      </c>
      <c r="AJ67" s="36">
        <f t="shared" si="18"/>
        <v>0</v>
      </c>
      <c r="AL67" s="35">
        <f t="shared" si="19"/>
        <v>0</v>
      </c>
      <c r="AM67" s="36">
        <f t="shared" si="20"/>
        <v>0</v>
      </c>
      <c r="AN67" s="35">
        <f t="shared" si="21"/>
        <v>0</v>
      </c>
      <c r="AO67" s="36">
        <f t="shared" si="22"/>
        <v>0</v>
      </c>
    </row>
    <row r="68" spans="3:41" x14ac:dyDescent="0.3">
      <c r="C68" s="1">
        <v>35</v>
      </c>
      <c r="D68" s="1"/>
      <c r="E68" s="1">
        <v>0.83454799999999996</v>
      </c>
      <c r="F68">
        <f t="shared" si="27"/>
        <v>26.910000259999997</v>
      </c>
      <c r="H68" s="1">
        <v>1.047722</v>
      </c>
      <c r="I68">
        <f t="shared" ref="I68:I83" si="28">H68*$A$6</f>
        <v>9848.9011166</v>
      </c>
      <c r="J68" s="4">
        <f t="shared" ref="J68:J83" si="29">1/(I68/3600)</f>
        <v>0.36552301189544056</v>
      </c>
      <c r="L68" s="1">
        <v>0.88215500000000002</v>
      </c>
      <c r="M68">
        <f t="shared" ref="M68:M83" si="30">L68*$A$10</f>
        <v>79.31102743000001</v>
      </c>
      <c r="O68" s="8">
        <v>20.65</v>
      </c>
      <c r="P68">
        <f t="shared" ref="P68:P83" si="31">O68+$A$14</f>
        <v>550.16</v>
      </c>
      <c r="U68">
        <f t="shared" ref="U68:U83" si="32">IF($T$3&gt;C68,0,1)</f>
        <v>1</v>
      </c>
      <c r="V68" t="str">
        <f t="shared" si="26"/>
        <v>min</v>
      </c>
      <c r="W68" s="35">
        <f t="shared" ref="W68:W83" si="33">IF($U68=0,IF($V68="min",$F68,0),0)</f>
        <v>0</v>
      </c>
      <c r="X68" s="36">
        <f t="shared" ref="X68:X83" si="34">IF($W68=0,0,$C68)</f>
        <v>0</v>
      </c>
      <c r="Y68" s="35">
        <f t="shared" ref="Y68:Y83" si="35">IF($W67=0,0,$F68)</f>
        <v>0</v>
      </c>
      <c r="Z68" s="36">
        <f t="shared" ref="Z68:Z83" si="36">IF($Y68=0,0,$C68)</f>
        <v>0</v>
      </c>
      <c r="AB68" s="35">
        <f t="shared" ref="AB68:AB83" si="37">IF($U68=0,IF($V68="min",$I68,0),0)</f>
        <v>0</v>
      </c>
      <c r="AC68" s="36">
        <f t="shared" ref="AC68:AC83" si="38">IF($AB68=0,0,$C68)</f>
        <v>0</v>
      </c>
      <c r="AD68" s="35">
        <f t="shared" ref="AD68:AD83" si="39">IF($AB67=0,0,$I68)</f>
        <v>0</v>
      </c>
      <c r="AE68" s="36">
        <f t="shared" ref="AE68:AE83" si="40">IF($AD68=0,0,$C68)</f>
        <v>0</v>
      </c>
      <c r="AG68" s="35">
        <f t="shared" ref="AG68:AG83" si="41">IF($U68=0,IF($V68="min",$M68,0),0)</f>
        <v>0</v>
      </c>
      <c r="AH68" s="36">
        <f t="shared" ref="AH68:AH83" si="42">IF($AG68=0,0,$C68)</f>
        <v>0</v>
      </c>
      <c r="AI68" s="35">
        <f t="shared" ref="AI68:AI83" si="43">IF($AG67=0,0,$M68)</f>
        <v>0</v>
      </c>
      <c r="AJ68" s="36">
        <f t="shared" ref="AJ68:AJ83" si="44">IF($AI68=0,0,$C68)</f>
        <v>0</v>
      </c>
      <c r="AL68" s="35">
        <f t="shared" ref="AL68:AL83" si="45">IF($U68=0,IF($V68="min",$P68,0),0)</f>
        <v>0</v>
      </c>
      <c r="AM68" s="36">
        <f t="shared" ref="AM68:AM83" si="46">IF($AL68=0,0,$C68)</f>
        <v>0</v>
      </c>
      <c r="AN68" s="35">
        <f t="shared" ref="AN68:AN83" si="47">IF($AL67=0,0,$P68)</f>
        <v>0</v>
      </c>
      <c r="AO68" s="36">
        <f t="shared" ref="AO68:AO83" si="48">IF($AN68=0,0,$C68)</f>
        <v>0</v>
      </c>
    </row>
    <row r="69" spans="3:41" x14ac:dyDescent="0.3">
      <c r="C69" s="1">
        <v>36</v>
      </c>
      <c r="D69" s="1"/>
      <c r="E69" s="1">
        <v>0.82574000000000003</v>
      </c>
      <c r="F69">
        <f t="shared" si="27"/>
        <v>26.625986299999997</v>
      </c>
      <c r="H69" s="1">
        <v>1.0509770000000001</v>
      </c>
      <c r="I69">
        <f t="shared" si="28"/>
        <v>9879.4990930999993</v>
      </c>
      <c r="J69" s="4">
        <f t="shared" si="29"/>
        <v>0.36439094392086108</v>
      </c>
      <c r="L69" s="1">
        <v>0.875637</v>
      </c>
      <c r="M69">
        <f t="shared" si="30"/>
        <v>78.725020122000004</v>
      </c>
      <c r="O69" s="8">
        <v>21.86</v>
      </c>
      <c r="P69">
        <f t="shared" si="31"/>
        <v>551.37</v>
      </c>
      <c r="U69">
        <f t="shared" si="32"/>
        <v>1</v>
      </c>
      <c r="V69" t="str">
        <f t="shared" si="26"/>
        <v>min</v>
      </c>
      <c r="W69" s="35">
        <f t="shared" si="33"/>
        <v>0</v>
      </c>
      <c r="X69" s="36">
        <f t="shared" si="34"/>
        <v>0</v>
      </c>
      <c r="Y69" s="35">
        <f t="shared" si="35"/>
        <v>0</v>
      </c>
      <c r="Z69" s="36">
        <f t="shared" si="36"/>
        <v>0</v>
      </c>
      <c r="AB69" s="35">
        <f t="shared" si="37"/>
        <v>0</v>
      </c>
      <c r="AC69" s="36">
        <f t="shared" si="38"/>
        <v>0</v>
      </c>
      <c r="AD69" s="35">
        <f t="shared" si="39"/>
        <v>0</v>
      </c>
      <c r="AE69" s="36">
        <f t="shared" si="40"/>
        <v>0</v>
      </c>
      <c r="AG69" s="35">
        <f t="shared" si="41"/>
        <v>0</v>
      </c>
      <c r="AH69" s="36">
        <f t="shared" si="42"/>
        <v>0</v>
      </c>
      <c r="AI69" s="35">
        <f t="shared" si="43"/>
        <v>0</v>
      </c>
      <c r="AJ69" s="36">
        <f t="shared" si="44"/>
        <v>0</v>
      </c>
      <c r="AL69" s="35">
        <f t="shared" si="45"/>
        <v>0</v>
      </c>
      <c r="AM69" s="36">
        <f t="shared" si="46"/>
        <v>0</v>
      </c>
      <c r="AN69" s="35">
        <f t="shared" si="47"/>
        <v>0</v>
      </c>
      <c r="AO69" s="36">
        <f t="shared" si="48"/>
        <v>0</v>
      </c>
    </row>
    <row r="70" spans="3:41" x14ac:dyDescent="0.3">
      <c r="C70" s="1">
        <v>37</v>
      </c>
      <c r="D70" s="1"/>
      <c r="E70" s="1">
        <v>0.81718100000000005</v>
      </c>
      <c r="F70">
        <f t="shared" si="27"/>
        <v>26.350001344999999</v>
      </c>
      <c r="H70" s="1">
        <v>1.0542959999999999</v>
      </c>
      <c r="I70">
        <f t="shared" si="28"/>
        <v>9910.6986887999974</v>
      </c>
      <c r="J70" s="4">
        <f t="shared" si="29"/>
        <v>0.36324381489554636</v>
      </c>
      <c r="L70" s="1">
        <v>0.86925200000000002</v>
      </c>
      <c r="M70">
        <f t="shared" si="30"/>
        <v>78.150970312000013</v>
      </c>
      <c r="O70" s="8">
        <v>23.11</v>
      </c>
      <c r="P70">
        <f t="shared" si="31"/>
        <v>552.62</v>
      </c>
      <c r="U70">
        <f t="shared" si="32"/>
        <v>1</v>
      </c>
      <c r="V70" t="str">
        <f t="shared" si="26"/>
        <v>min</v>
      </c>
      <c r="W70" s="35">
        <f t="shared" si="33"/>
        <v>0</v>
      </c>
      <c r="X70" s="36">
        <f t="shared" si="34"/>
        <v>0</v>
      </c>
      <c r="Y70" s="35">
        <f t="shared" si="35"/>
        <v>0</v>
      </c>
      <c r="Z70" s="36">
        <f t="shared" si="36"/>
        <v>0</v>
      </c>
      <c r="AB70" s="35">
        <f t="shared" si="37"/>
        <v>0</v>
      </c>
      <c r="AC70" s="36">
        <f t="shared" si="38"/>
        <v>0</v>
      </c>
      <c r="AD70" s="35">
        <f t="shared" si="39"/>
        <v>0</v>
      </c>
      <c r="AE70" s="36">
        <f t="shared" si="40"/>
        <v>0</v>
      </c>
      <c r="AG70" s="35">
        <f t="shared" si="41"/>
        <v>0</v>
      </c>
      <c r="AH70" s="36">
        <f t="shared" si="42"/>
        <v>0</v>
      </c>
      <c r="AI70" s="35">
        <f t="shared" si="43"/>
        <v>0</v>
      </c>
      <c r="AJ70" s="36">
        <f t="shared" si="44"/>
        <v>0</v>
      </c>
      <c r="AL70" s="35">
        <f t="shared" si="45"/>
        <v>0</v>
      </c>
      <c r="AM70" s="36">
        <f t="shared" si="46"/>
        <v>0</v>
      </c>
      <c r="AN70" s="35">
        <f t="shared" si="47"/>
        <v>0</v>
      </c>
      <c r="AO70" s="36">
        <f t="shared" si="48"/>
        <v>0</v>
      </c>
    </row>
    <row r="71" spans="3:41" x14ac:dyDescent="0.3">
      <c r="C71" s="1">
        <v>38</v>
      </c>
      <c r="D71" s="1"/>
      <c r="E71" s="1">
        <v>0.80728800000000001</v>
      </c>
      <c r="F71">
        <f t="shared" si="27"/>
        <v>26.031001559999996</v>
      </c>
      <c r="H71" s="1">
        <v>1.0582750000000001</v>
      </c>
      <c r="I71">
        <f t="shared" si="28"/>
        <v>9948.1024825000004</v>
      </c>
      <c r="J71" s="4">
        <f t="shared" si="29"/>
        <v>0.36187805728106093</v>
      </c>
      <c r="L71" s="1">
        <v>0.86198900000000001</v>
      </c>
      <c r="M71">
        <f t="shared" si="30"/>
        <v>77.497983034000001</v>
      </c>
      <c r="O71" s="8">
        <v>24.47</v>
      </c>
      <c r="P71">
        <f t="shared" si="31"/>
        <v>553.98</v>
      </c>
      <c r="U71">
        <f t="shared" si="32"/>
        <v>1</v>
      </c>
      <c r="V71" t="str">
        <f t="shared" si="26"/>
        <v>min</v>
      </c>
      <c r="W71" s="35">
        <f t="shared" si="33"/>
        <v>0</v>
      </c>
      <c r="X71" s="36">
        <f t="shared" si="34"/>
        <v>0</v>
      </c>
      <c r="Y71" s="35">
        <f t="shared" si="35"/>
        <v>0</v>
      </c>
      <c r="Z71" s="36">
        <f t="shared" si="36"/>
        <v>0</v>
      </c>
      <c r="AB71" s="35">
        <f t="shared" si="37"/>
        <v>0</v>
      </c>
      <c r="AC71" s="36">
        <f t="shared" si="38"/>
        <v>0</v>
      </c>
      <c r="AD71" s="35">
        <f t="shared" si="39"/>
        <v>0</v>
      </c>
      <c r="AE71" s="36">
        <f t="shared" si="40"/>
        <v>0</v>
      </c>
      <c r="AG71" s="35">
        <f t="shared" si="41"/>
        <v>0</v>
      </c>
      <c r="AH71" s="36">
        <f t="shared" si="42"/>
        <v>0</v>
      </c>
      <c r="AI71" s="35">
        <f t="shared" si="43"/>
        <v>0</v>
      </c>
      <c r="AJ71" s="36">
        <f t="shared" si="44"/>
        <v>0</v>
      </c>
      <c r="AL71" s="35">
        <f t="shared" si="45"/>
        <v>0</v>
      </c>
      <c r="AM71" s="36">
        <f t="shared" si="46"/>
        <v>0</v>
      </c>
      <c r="AN71" s="35">
        <f t="shared" si="47"/>
        <v>0</v>
      </c>
      <c r="AO71" s="36">
        <f t="shared" si="48"/>
        <v>0</v>
      </c>
    </row>
    <row r="72" spans="3:41" x14ac:dyDescent="0.3">
      <c r="C72" s="1">
        <v>39</v>
      </c>
      <c r="D72" s="1"/>
      <c r="E72" s="1">
        <v>0.79832499999999995</v>
      </c>
      <c r="F72">
        <f t="shared" si="27"/>
        <v>25.741989624999995</v>
      </c>
      <c r="H72" s="1">
        <v>1.062041</v>
      </c>
      <c r="I72">
        <f t="shared" si="28"/>
        <v>9983.5040122999999</v>
      </c>
      <c r="J72" s="4">
        <f t="shared" si="29"/>
        <v>0.36059483679925242</v>
      </c>
      <c r="L72" s="1">
        <v>0.85530399999999995</v>
      </c>
      <c r="M72">
        <f t="shared" si="30"/>
        <v>76.896961423999997</v>
      </c>
      <c r="O72" s="8">
        <v>25.82</v>
      </c>
      <c r="P72">
        <f t="shared" si="31"/>
        <v>555.33000000000004</v>
      </c>
      <c r="U72">
        <f t="shared" si="32"/>
        <v>1</v>
      </c>
      <c r="V72" t="str">
        <f t="shared" si="26"/>
        <v>min</v>
      </c>
      <c r="W72" s="35">
        <f t="shared" si="33"/>
        <v>0</v>
      </c>
      <c r="X72" s="36">
        <f t="shared" si="34"/>
        <v>0</v>
      </c>
      <c r="Y72" s="35">
        <f t="shared" si="35"/>
        <v>0</v>
      </c>
      <c r="Z72" s="36">
        <f t="shared" si="36"/>
        <v>0</v>
      </c>
      <c r="AB72" s="35">
        <f t="shared" si="37"/>
        <v>0</v>
      </c>
      <c r="AC72" s="36">
        <f t="shared" si="38"/>
        <v>0</v>
      </c>
      <c r="AD72" s="35">
        <f t="shared" si="39"/>
        <v>0</v>
      </c>
      <c r="AE72" s="36">
        <f t="shared" si="40"/>
        <v>0</v>
      </c>
      <c r="AG72" s="35">
        <f t="shared" si="41"/>
        <v>0</v>
      </c>
      <c r="AH72" s="36">
        <f t="shared" si="42"/>
        <v>0</v>
      </c>
      <c r="AI72" s="35">
        <f t="shared" si="43"/>
        <v>0</v>
      </c>
      <c r="AJ72" s="36">
        <f t="shared" si="44"/>
        <v>0</v>
      </c>
      <c r="AL72" s="35">
        <f t="shared" si="45"/>
        <v>0</v>
      </c>
      <c r="AM72" s="36">
        <f t="shared" si="46"/>
        <v>0</v>
      </c>
      <c r="AN72" s="35">
        <f t="shared" si="47"/>
        <v>0</v>
      </c>
      <c r="AO72" s="36">
        <f t="shared" si="48"/>
        <v>0</v>
      </c>
    </row>
    <row r="73" spans="3:41" x14ac:dyDescent="0.3">
      <c r="C73" s="1">
        <v>40</v>
      </c>
      <c r="D73" s="1"/>
      <c r="E73" s="1">
        <v>0.78967299999999996</v>
      </c>
      <c r="F73">
        <f t="shared" si="27"/>
        <v>25.463005884999998</v>
      </c>
      <c r="H73" s="1">
        <v>1.065796</v>
      </c>
      <c r="I73">
        <f t="shared" si="28"/>
        <v>10018.8021388</v>
      </c>
      <c r="J73" s="4">
        <f t="shared" si="29"/>
        <v>0.35932439328831678</v>
      </c>
      <c r="L73" s="1">
        <v>0.84882000000000002</v>
      </c>
      <c r="M73">
        <f t="shared" si="30"/>
        <v>76.314010920000001</v>
      </c>
      <c r="O73" s="8">
        <v>27.19</v>
      </c>
      <c r="P73">
        <f t="shared" si="31"/>
        <v>556.70000000000005</v>
      </c>
      <c r="U73">
        <f t="shared" si="32"/>
        <v>1</v>
      </c>
      <c r="V73" t="str">
        <f t="shared" si="26"/>
        <v>min</v>
      </c>
      <c r="W73" s="35">
        <f t="shared" si="33"/>
        <v>0</v>
      </c>
      <c r="X73" s="36">
        <f t="shared" si="34"/>
        <v>0</v>
      </c>
      <c r="Y73" s="35">
        <f t="shared" si="35"/>
        <v>0</v>
      </c>
      <c r="Z73" s="36">
        <f t="shared" si="36"/>
        <v>0</v>
      </c>
      <c r="AB73" s="35">
        <f t="shared" si="37"/>
        <v>0</v>
      </c>
      <c r="AC73" s="36">
        <f t="shared" si="38"/>
        <v>0</v>
      </c>
      <c r="AD73" s="35">
        <f t="shared" si="39"/>
        <v>0</v>
      </c>
      <c r="AE73" s="36">
        <f t="shared" si="40"/>
        <v>0</v>
      </c>
      <c r="AG73" s="35">
        <f t="shared" si="41"/>
        <v>0</v>
      </c>
      <c r="AH73" s="36">
        <f t="shared" si="42"/>
        <v>0</v>
      </c>
      <c r="AI73" s="35">
        <f t="shared" si="43"/>
        <v>0</v>
      </c>
      <c r="AJ73" s="36">
        <f t="shared" si="44"/>
        <v>0</v>
      </c>
      <c r="AL73" s="35">
        <f t="shared" si="45"/>
        <v>0</v>
      </c>
      <c r="AM73" s="36">
        <f t="shared" si="46"/>
        <v>0</v>
      </c>
      <c r="AN73" s="35">
        <f t="shared" si="47"/>
        <v>0</v>
      </c>
      <c r="AO73" s="36">
        <f t="shared" si="48"/>
        <v>0</v>
      </c>
    </row>
    <row r="74" spans="3:41" x14ac:dyDescent="0.3">
      <c r="C74" s="1">
        <v>41</v>
      </c>
      <c r="D74" s="1"/>
      <c r="E74" s="1">
        <v>0.78092700000000004</v>
      </c>
      <c r="F74">
        <f t="shared" si="27"/>
        <v>25.180991114999998</v>
      </c>
      <c r="H74" s="1">
        <v>1.0696570000000001</v>
      </c>
      <c r="I74">
        <f t="shared" si="28"/>
        <v>10055.0966971</v>
      </c>
      <c r="J74" s="4">
        <f t="shared" si="29"/>
        <v>0.35802738734857514</v>
      </c>
      <c r="L74" s="1">
        <v>0.842302</v>
      </c>
      <c r="M74">
        <f t="shared" si="30"/>
        <v>75.728003612000009</v>
      </c>
      <c r="O74" s="8">
        <v>28.5</v>
      </c>
      <c r="P74">
        <f t="shared" si="31"/>
        <v>558.01</v>
      </c>
      <c r="U74">
        <f t="shared" si="32"/>
        <v>1</v>
      </c>
      <c r="V74" t="str">
        <f t="shared" si="26"/>
        <v>min</v>
      </c>
      <c r="W74" s="35">
        <f t="shared" si="33"/>
        <v>0</v>
      </c>
      <c r="X74" s="36">
        <f t="shared" si="34"/>
        <v>0</v>
      </c>
      <c r="Y74" s="35">
        <f t="shared" si="35"/>
        <v>0</v>
      </c>
      <c r="Z74" s="36">
        <f t="shared" si="36"/>
        <v>0</v>
      </c>
      <c r="AB74" s="35">
        <f t="shared" si="37"/>
        <v>0</v>
      </c>
      <c r="AC74" s="36">
        <f t="shared" si="38"/>
        <v>0</v>
      </c>
      <c r="AD74" s="35">
        <f t="shared" si="39"/>
        <v>0</v>
      </c>
      <c r="AE74" s="36">
        <f t="shared" si="40"/>
        <v>0</v>
      </c>
      <c r="AG74" s="35">
        <f t="shared" si="41"/>
        <v>0</v>
      </c>
      <c r="AH74" s="36">
        <f t="shared" si="42"/>
        <v>0</v>
      </c>
      <c r="AI74" s="35">
        <f t="shared" si="43"/>
        <v>0</v>
      </c>
      <c r="AJ74" s="36">
        <f t="shared" si="44"/>
        <v>0</v>
      </c>
      <c r="AL74" s="35">
        <f t="shared" si="45"/>
        <v>0</v>
      </c>
      <c r="AM74" s="36">
        <f t="shared" si="46"/>
        <v>0</v>
      </c>
      <c r="AN74" s="35">
        <f t="shared" si="47"/>
        <v>0</v>
      </c>
      <c r="AO74" s="36">
        <f t="shared" si="48"/>
        <v>0</v>
      </c>
    </row>
    <row r="75" spans="3:41" x14ac:dyDescent="0.3">
      <c r="C75" s="1">
        <v>42</v>
      </c>
      <c r="D75" s="1"/>
      <c r="E75" s="1">
        <v>0.77255399999999996</v>
      </c>
      <c r="F75">
        <f t="shared" si="27"/>
        <v>24.911003729999997</v>
      </c>
      <c r="H75" s="1">
        <v>1.073434</v>
      </c>
      <c r="I75">
        <f t="shared" si="28"/>
        <v>10090.601630199999</v>
      </c>
      <c r="J75" s="4">
        <f t="shared" si="29"/>
        <v>0.35676762713787236</v>
      </c>
      <c r="L75" s="1">
        <v>0.835951</v>
      </c>
      <c r="M75">
        <f t="shared" si="30"/>
        <v>75.157010606</v>
      </c>
      <c r="O75" s="1">
        <v>29.81</v>
      </c>
      <c r="P75">
        <f t="shared" si="31"/>
        <v>559.31999999999994</v>
      </c>
      <c r="U75">
        <f t="shared" si="32"/>
        <v>1</v>
      </c>
      <c r="V75" t="str">
        <f t="shared" si="26"/>
        <v>min</v>
      </c>
      <c r="W75" s="35">
        <f t="shared" si="33"/>
        <v>0</v>
      </c>
      <c r="X75" s="36">
        <f t="shared" si="34"/>
        <v>0</v>
      </c>
      <c r="Y75" s="35">
        <f t="shared" si="35"/>
        <v>0</v>
      </c>
      <c r="Z75" s="36">
        <f t="shared" si="36"/>
        <v>0</v>
      </c>
      <c r="AB75" s="35">
        <f t="shared" si="37"/>
        <v>0</v>
      </c>
      <c r="AC75" s="36">
        <f t="shared" si="38"/>
        <v>0</v>
      </c>
      <c r="AD75" s="35">
        <f t="shared" si="39"/>
        <v>0</v>
      </c>
      <c r="AE75" s="36">
        <f t="shared" si="40"/>
        <v>0</v>
      </c>
      <c r="AG75" s="35">
        <f t="shared" si="41"/>
        <v>0</v>
      </c>
      <c r="AH75" s="36">
        <f t="shared" si="42"/>
        <v>0</v>
      </c>
      <c r="AI75" s="35">
        <f t="shared" si="43"/>
        <v>0</v>
      </c>
      <c r="AJ75" s="36">
        <f t="shared" si="44"/>
        <v>0</v>
      </c>
      <c r="AL75" s="35">
        <f t="shared" si="45"/>
        <v>0</v>
      </c>
      <c r="AM75" s="36">
        <f t="shared" si="46"/>
        <v>0</v>
      </c>
      <c r="AN75" s="35">
        <f t="shared" si="47"/>
        <v>0</v>
      </c>
      <c r="AO75" s="36">
        <f t="shared" si="48"/>
        <v>0</v>
      </c>
    </row>
    <row r="76" spans="3:41" x14ac:dyDescent="0.3">
      <c r="C76" s="1">
        <v>43</v>
      </c>
      <c r="D76" s="1"/>
      <c r="E76" s="1">
        <v>0.76430500000000001</v>
      </c>
      <c r="F76">
        <f t="shared" si="27"/>
        <v>24.645014724999999</v>
      </c>
      <c r="H76" s="1">
        <v>1.07721</v>
      </c>
      <c r="I76">
        <f t="shared" si="28"/>
        <v>10126.097162999999</v>
      </c>
      <c r="J76" s="4">
        <f t="shared" si="29"/>
        <v>0.35551703109803556</v>
      </c>
      <c r="L76" s="1">
        <v>0.82967800000000003</v>
      </c>
      <c r="M76">
        <f t="shared" si="30"/>
        <v>74.593030268000007</v>
      </c>
      <c r="O76" s="1">
        <v>31.09</v>
      </c>
      <c r="P76">
        <f t="shared" si="31"/>
        <v>560.6</v>
      </c>
      <c r="U76">
        <f t="shared" si="32"/>
        <v>1</v>
      </c>
      <c r="V76" t="str">
        <f t="shared" si="26"/>
        <v>min</v>
      </c>
      <c r="W76" s="35">
        <f t="shared" si="33"/>
        <v>0</v>
      </c>
      <c r="X76" s="36">
        <f t="shared" si="34"/>
        <v>0</v>
      </c>
      <c r="Y76" s="35">
        <f t="shared" si="35"/>
        <v>0</v>
      </c>
      <c r="Z76" s="36">
        <f t="shared" si="36"/>
        <v>0</v>
      </c>
      <c r="AB76" s="35">
        <f t="shared" si="37"/>
        <v>0</v>
      </c>
      <c r="AC76" s="36">
        <f t="shared" si="38"/>
        <v>0</v>
      </c>
      <c r="AD76" s="35">
        <f t="shared" si="39"/>
        <v>0</v>
      </c>
      <c r="AE76" s="36">
        <f t="shared" si="40"/>
        <v>0</v>
      </c>
      <c r="AG76" s="35">
        <f t="shared" si="41"/>
        <v>0</v>
      </c>
      <c r="AH76" s="36">
        <f t="shared" si="42"/>
        <v>0</v>
      </c>
      <c r="AI76" s="35">
        <f t="shared" si="43"/>
        <v>0</v>
      </c>
      <c r="AJ76" s="36">
        <f t="shared" si="44"/>
        <v>0</v>
      </c>
      <c r="AL76" s="35">
        <f t="shared" si="45"/>
        <v>0</v>
      </c>
      <c r="AM76" s="36">
        <f t="shared" si="46"/>
        <v>0</v>
      </c>
      <c r="AN76" s="35">
        <f t="shared" si="47"/>
        <v>0</v>
      </c>
      <c r="AO76" s="36">
        <f t="shared" si="48"/>
        <v>0</v>
      </c>
    </row>
    <row r="77" spans="3:41" x14ac:dyDescent="0.3">
      <c r="C77" s="1">
        <v>44</v>
      </c>
      <c r="D77" s="1"/>
      <c r="E77" s="1">
        <v>0.75605500000000003</v>
      </c>
      <c r="F77">
        <f t="shared" si="27"/>
        <v>24.378993474999998</v>
      </c>
      <c r="H77" s="1">
        <v>1.081242</v>
      </c>
      <c r="I77">
        <f t="shared" si="28"/>
        <v>10163.999172599999</v>
      </c>
      <c r="J77" s="4">
        <f t="shared" si="29"/>
        <v>0.35419129211509992</v>
      </c>
      <c r="L77" s="1">
        <v>0.82338199999999995</v>
      </c>
      <c r="M77">
        <f t="shared" si="30"/>
        <v>74.026982091999997</v>
      </c>
      <c r="O77" s="1">
        <v>32.47</v>
      </c>
      <c r="P77">
        <f t="shared" si="31"/>
        <v>561.98</v>
      </c>
      <c r="U77">
        <f t="shared" si="32"/>
        <v>1</v>
      </c>
      <c r="V77" t="str">
        <f t="shared" si="26"/>
        <v>min</v>
      </c>
      <c r="W77" s="35">
        <f t="shared" si="33"/>
        <v>0</v>
      </c>
      <c r="X77" s="36">
        <f t="shared" si="34"/>
        <v>0</v>
      </c>
      <c r="Y77" s="35">
        <f t="shared" si="35"/>
        <v>0</v>
      </c>
      <c r="Z77" s="36">
        <f t="shared" si="36"/>
        <v>0</v>
      </c>
      <c r="AB77" s="35">
        <f t="shared" si="37"/>
        <v>0</v>
      </c>
      <c r="AC77" s="36">
        <f t="shared" si="38"/>
        <v>0</v>
      </c>
      <c r="AD77" s="35">
        <f t="shared" si="39"/>
        <v>0</v>
      </c>
      <c r="AE77" s="36">
        <f t="shared" si="40"/>
        <v>0</v>
      </c>
      <c r="AG77" s="35">
        <f t="shared" si="41"/>
        <v>0</v>
      </c>
      <c r="AH77" s="36">
        <f t="shared" si="42"/>
        <v>0</v>
      </c>
      <c r="AI77" s="35">
        <f t="shared" si="43"/>
        <v>0</v>
      </c>
      <c r="AJ77" s="36">
        <f t="shared" si="44"/>
        <v>0</v>
      </c>
      <c r="AL77" s="35">
        <f t="shared" si="45"/>
        <v>0</v>
      </c>
      <c r="AM77" s="36">
        <f t="shared" si="46"/>
        <v>0</v>
      </c>
      <c r="AN77" s="35">
        <f t="shared" si="47"/>
        <v>0</v>
      </c>
      <c r="AO77" s="36">
        <f t="shared" si="48"/>
        <v>0</v>
      </c>
    </row>
    <row r="78" spans="3:41" x14ac:dyDescent="0.3">
      <c r="C78" s="1">
        <v>45</v>
      </c>
      <c r="D78" s="1"/>
      <c r="E78" s="1">
        <v>0.74799199999999999</v>
      </c>
      <c r="F78">
        <f t="shared" si="27"/>
        <v>24.119002039999998</v>
      </c>
      <c r="H78" s="1">
        <v>1.0851139999999999</v>
      </c>
      <c r="I78">
        <f t="shared" si="28"/>
        <v>10200.397134199999</v>
      </c>
      <c r="J78" s="4">
        <f t="shared" si="29"/>
        <v>0.35292743533777549</v>
      </c>
      <c r="L78" s="1">
        <v>0.81715300000000002</v>
      </c>
      <c r="M78">
        <f t="shared" si="30"/>
        <v>73.466957618000009</v>
      </c>
      <c r="O78" s="1">
        <v>33.76</v>
      </c>
      <c r="P78">
        <f t="shared" si="31"/>
        <v>563.27</v>
      </c>
      <c r="U78">
        <f t="shared" si="32"/>
        <v>1</v>
      </c>
      <c r="V78" t="str">
        <f t="shared" si="26"/>
        <v>min</v>
      </c>
      <c r="W78" s="35">
        <f t="shared" si="33"/>
        <v>0</v>
      </c>
      <c r="X78" s="36">
        <f t="shared" si="34"/>
        <v>0</v>
      </c>
      <c r="Y78" s="35">
        <f t="shared" si="35"/>
        <v>0</v>
      </c>
      <c r="Z78" s="36">
        <f t="shared" si="36"/>
        <v>0</v>
      </c>
      <c r="AB78" s="35">
        <f t="shared" si="37"/>
        <v>0</v>
      </c>
      <c r="AC78" s="36">
        <f t="shared" si="38"/>
        <v>0</v>
      </c>
      <c r="AD78" s="35">
        <f t="shared" si="39"/>
        <v>0</v>
      </c>
      <c r="AE78" s="36">
        <f t="shared" si="40"/>
        <v>0</v>
      </c>
      <c r="AG78" s="35">
        <f t="shared" si="41"/>
        <v>0</v>
      </c>
      <c r="AH78" s="36">
        <f t="shared" si="42"/>
        <v>0</v>
      </c>
      <c r="AI78" s="35">
        <f t="shared" si="43"/>
        <v>0</v>
      </c>
      <c r="AJ78" s="36">
        <f t="shared" si="44"/>
        <v>0</v>
      </c>
      <c r="AL78" s="35">
        <f t="shared" si="45"/>
        <v>0</v>
      </c>
      <c r="AM78" s="36">
        <f t="shared" si="46"/>
        <v>0</v>
      </c>
      <c r="AN78" s="35">
        <f t="shared" si="47"/>
        <v>0</v>
      </c>
      <c r="AO78" s="36">
        <f t="shared" si="48"/>
        <v>0</v>
      </c>
    </row>
    <row r="79" spans="3:41" x14ac:dyDescent="0.3">
      <c r="C79" s="1">
        <v>46</v>
      </c>
      <c r="D79" s="1"/>
      <c r="E79" s="1">
        <v>0.73999099999999995</v>
      </c>
      <c r="F79">
        <f t="shared" si="27"/>
        <v>23.861009794999998</v>
      </c>
      <c r="H79" s="1">
        <v>1.089189</v>
      </c>
      <c r="I79">
        <f t="shared" si="28"/>
        <v>10238.703356699998</v>
      </c>
      <c r="J79" s="4">
        <f t="shared" si="29"/>
        <v>0.35160702235251634</v>
      </c>
      <c r="L79" s="1">
        <v>0.81093599999999999</v>
      </c>
      <c r="M79">
        <f t="shared" si="30"/>
        <v>72.908012016000001</v>
      </c>
      <c r="O79" s="1">
        <v>35.130000000000003</v>
      </c>
      <c r="P79">
        <f t="shared" si="31"/>
        <v>564.64</v>
      </c>
      <c r="U79">
        <f t="shared" si="32"/>
        <v>1</v>
      </c>
      <c r="V79" t="str">
        <f t="shared" si="26"/>
        <v>min</v>
      </c>
      <c r="W79" s="35">
        <f t="shared" si="33"/>
        <v>0</v>
      </c>
      <c r="X79" s="36">
        <f t="shared" si="34"/>
        <v>0</v>
      </c>
      <c r="Y79" s="35">
        <f t="shared" si="35"/>
        <v>0</v>
      </c>
      <c r="Z79" s="36">
        <f t="shared" si="36"/>
        <v>0</v>
      </c>
      <c r="AB79" s="35">
        <f t="shared" si="37"/>
        <v>0</v>
      </c>
      <c r="AC79" s="36">
        <f t="shared" si="38"/>
        <v>0</v>
      </c>
      <c r="AD79" s="35">
        <f t="shared" si="39"/>
        <v>0</v>
      </c>
      <c r="AE79" s="36">
        <f t="shared" si="40"/>
        <v>0</v>
      </c>
      <c r="AG79" s="35">
        <f t="shared" si="41"/>
        <v>0</v>
      </c>
      <c r="AH79" s="36">
        <f t="shared" si="42"/>
        <v>0</v>
      </c>
      <c r="AI79" s="35">
        <f t="shared" si="43"/>
        <v>0</v>
      </c>
      <c r="AJ79" s="36">
        <f t="shared" si="44"/>
        <v>0</v>
      </c>
      <c r="AL79" s="35">
        <f t="shared" si="45"/>
        <v>0</v>
      </c>
      <c r="AM79" s="36">
        <f t="shared" si="46"/>
        <v>0</v>
      </c>
      <c r="AN79" s="35">
        <f t="shared" si="47"/>
        <v>0</v>
      </c>
      <c r="AO79" s="36">
        <f t="shared" si="48"/>
        <v>0</v>
      </c>
    </row>
    <row r="80" spans="3:41" x14ac:dyDescent="0.3">
      <c r="C80" s="1">
        <v>47</v>
      </c>
      <c r="D80" s="1"/>
      <c r="E80" s="1">
        <v>0.73208200000000001</v>
      </c>
      <c r="F80">
        <f t="shared" si="27"/>
        <v>23.60598409</v>
      </c>
      <c r="H80" s="1">
        <v>1.0933060000000001</v>
      </c>
      <c r="I80">
        <f t="shared" si="28"/>
        <v>10277.404391800001</v>
      </c>
      <c r="J80" s="4">
        <f t="shared" si="29"/>
        <v>0.35028299585762335</v>
      </c>
      <c r="L80" s="1">
        <v>0.80478499999999997</v>
      </c>
      <c r="M80">
        <f t="shared" si="30"/>
        <v>72.35500021</v>
      </c>
      <c r="O80" s="1">
        <v>36.47</v>
      </c>
      <c r="P80">
        <f t="shared" si="31"/>
        <v>565.98</v>
      </c>
      <c r="U80">
        <f t="shared" si="32"/>
        <v>1</v>
      </c>
      <c r="V80" t="str">
        <f t="shared" si="26"/>
        <v>min</v>
      </c>
      <c r="W80" s="35">
        <f t="shared" si="33"/>
        <v>0</v>
      </c>
      <c r="X80" s="36">
        <f t="shared" si="34"/>
        <v>0</v>
      </c>
      <c r="Y80" s="35">
        <f t="shared" si="35"/>
        <v>0</v>
      </c>
      <c r="Z80" s="36">
        <f t="shared" si="36"/>
        <v>0</v>
      </c>
      <c r="AB80" s="35">
        <f t="shared" si="37"/>
        <v>0</v>
      </c>
      <c r="AC80" s="36">
        <f t="shared" si="38"/>
        <v>0</v>
      </c>
      <c r="AD80" s="35">
        <f t="shared" si="39"/>
        <v>0</v>
      </c>
      <c r="AE80" s="36">
        <f t="shared" si="40"/>
        <v>0</v>
      </c>
      <c r="AG80" s="35">
        <f t="shared" si="41"/>
        <v>0</v>
      </c>
      <c r="AH80" s="36">
        <f t="shared" si="42"/>
        <v>0</v>
      </c>
      <c r="AI80" s="35">
        <f t="shared" si="43"/>
        <v>0</v>
      </c>
      <c r="AJ80" s="36">
        <f t="shared" si="44"/>
        <v>0</v>
      </c>
      <c r="AL80" s="35">
        <f t="shared" si="45"/>
        <v>0</v>
      </c>
      <c r="AM80" s="36">
        <f t="shared" si="46"/>
        <v>0</v>
      </c>
      <c r="AN80" s="35">
        <f t="shared" si="47"/>
        <v>0</v>
      </c>
      <c r="AO80" s="36">
        <f t="shared" si="48"/>
        <v>0</v>
      </c>
    </row>
    <row r="81" spans="3:41" x14ac:dyDescent="0.3">
      <c r="C81" s="1">
        <v>48</v>
      </c>
      <c r="D81" s="1"/>
      <c r="E81" s="1">
        <v>0.72426699999999999</v>
      </c>
      <c r="F81">
        <f t="shared" si="27"/>
        <v>23.353989414999997</v>
      </c>
      <c r="H81" s="1">
        <v>1.0974539999999999</v>
      </c>
      <c r="I81">
        <f t="shared" si="28"/>
        <v>10316.396836199998</v>
      </c>
      <c r="J81" s="4">
        <f t="shared" si="29"/>
        <v>0.34895904618245038</v>
      </c>
      <c r="L81" s="1">
        <v>0.79861199999999999</v>
      </c>
      <c r="M81">
        <f t="shared" si="30"/>
        <v>71.800010471999997</v>
      </c>
      <c r="O81" s="1">
        <v>37.82</v>
      </c>
      <c r="P81">
        <f t="shared" si="31"/>
        <v>567.33000000000004</v>
      </c>
      <c r="U81">
        <f t="shared" si="32"/>
        <v>1</v>
      </c>
      <c r="V81" t="str">
        <f t="shared" si="26"/>
        <v>min</v>
      </c>
      <c r="W81" s="35">
        <f t="shared" si="33"/>
        <v>0</v>
      </c>
      <c r="X81" s="36">
        <f t="shared" si="34"/>
        <v>0</v>
      </c>
      <c r="Y81" s="35">
        <f t="shared" si="35"/>
        <v>0</v>
      </c>
      <c r="Z81" s="36">
        <f t="shared" si="36"/>
        <v>0</v>
      </c>
      <c r="AB81" s="35">
        <f t="shared" si="37"/>
        <v>0</v>
      </c>
      <c r="AC81" s="36">
        <f t="shared" si="38"/>
        <v>0</v>
      </c>
      <c r="AD81" s="35">
        <f t="shared" si="39"/>
        <v>0</v>
      </c>
      <c r="AE81" s="36">
        <f t="shared" si="40"/>
        <v>0</v>
      </c>
      <c r="AG81" s="35">
        <f t="shared" si="41"/>
        <v>0</v>
      </c>
      <c r="AH81" s="36">
        <f t="shared" si="42"/>
        <v>0</v>
      </c>
      <c r="AI81" s="35">
        <f t="shared" si="43"/>
        <v>0</v>
      </c>
      <c r="AJ81" s="36">
        <f t="shared" si="44"/>
        <v>0</v>
      </c>
      <c r="AL81" s="35">
        <f t="shared" si="45"/>
        <v>0</v>
      </c>
      <c r="AM81" s="36">
        <f t="shared" si="46"/>
        <v>0</v>
      </c>
      <c r="AN81" s="35">
        <f t="shared" si="47"/>
        <v>0</v>
      </c>
      <c r="AO81" s="36">
        <f t="shared" si="48"/>
        <v>0</v>
      </c>
    </row>
    <row r="82" spans="3:41" x14ac:dyDescent="0.3">
      <c r="C82" s="1">
        <v>49</v>
      </c>
      <c r="D82" s="1"/>
      <c r="E82" s="1">
        <v>0.71673100000000001</v>
      </c>
      <c r="F82">
        <f t="shared" si="27"/>
        <v>23.110991094999999</v>
      </c>
      <c r="H82" s="1">
        <v>1.1016140000000001</v>
      </c>
      <c r="I82">
        <f t="shared" si="28"/>
        <v>10355.502084199999</v>
      </c>
      <c r="J82" s="4">
        <f t="shared" si="29"/>
        <v>0.34764128003921052</v>
      </c>
      <c r="L82" s="1">
        <v>0.79259400000000002</v>
      </c>
      <c r="M82">
        <f t="shared" si="30"/>
        <v>71.258956164000011</v>
      </c>
      <c r="O82" s="1">
        <v>39.19</v>
      </c>
      <c r="P82">
        <f t="shared" si="31"/>
        <v>568.70000000000005</v>
      </c>
      <c r="U82">
        <f t="shared" si="32"/>
        <v>1</v>
      </c>
      <c r="V82" t="str">
        <f t="shared" si="26"/>
        <v>min</v>
      </c>
      <c r="W82" s="35">
        <f t="shared" si="33"/>
        <v>0</v>
      </c>
      <c r="X82" s="36">
        <f t="shared" si="34"/>
        <v>0</v>
      </c>
      <c r="Y82" s="35">
        <f t="shared" si="35"/>
        <v>0</v>
      </c>
      <c r="Z82" s="36">
        <f t="shared" si="36"/>
        <v>0</v>
      </c>
      <c r="AB82" s="35">
        <f t="shared" si="37"/>
        <v>0</v>
      </c>
      <c r="AC82" s="36">
        <f t="shared" si="38"/>
        <v>0</v>
      </c>
      <c r="AD82" s="35">
        <f t="shared" si="39"/>
        <v>0</v>
      </c>
      <c r="AE82" s="36">
        <f t="shared" si="40"/>
        <v>0</v>
      </c>
      <c r="AG82" s="35">
        <f t="shared" si="41"/>
        <v>0</v>
      </c>
      <c r="AH82" s="36">
        <f t="shared" si="42"/>
        <v>0</v>
      </c>
      <c r="AI82" s="35">
        <f t="shared" si="43"/>
        <v>0</v>
      </c>
      <c r="AJ82" s="36">
        <f t="shared" si="44"/>
        <v>0</v>
      </c>
      <c r="AL82" s="35">
        <f t="shared" si="45"/>
        <v>0</v>
      </c>
      <c r="AM82" s="36">
        <f t="shared" si="46"/>
        <v>0</v>
      </c>
      <c r="AN82" s="35">
        <f t="shared" si="47"/>
        <v>0</v>
      </c>
      <c r="AO82" s="36">
        <f t="shared" si="48"/>
        <v>0</v>
      </c>
    </row>
    <row r="83" spans="3:41" x14ac:dyDescent="0.3">
      <c r="C83" s="1">
        <v>50</v>
      </c>
      <c r="D83" s="1"/>
      <c r="E83" s="1">
        <v>0.70931900000000003</v>
      </c>
      <c r="F83">
        <f t="shared" si="27"/>
        <v>22.871991155</v>
      </c>
      <c r="H83" s="1">
        <v>1.105688</v>
      </c>
      <c r="I83">
        <f t="shared" si="28"/>
        <v>10393.798906399999</v>
      </c>
      <c r="J83" s="4">
        <f t="shared" si="29"/>
        <v>0.34636036663969838</v>
      </c>
      <c r="L83" s="1">
        <v>0.78662200000000004</v>
      </c>
      <c r="M83">
        <f t="shared" si="30"/>
        <v>70.722037532000002</v>
      </c>
      <c r="O83" s="1">
        <v>40.49</v>
      </c>
      <c r="P83">
        <f t="shared" si="31"/>
        <v>570</v>
      </c>
      <c r="U83">
        <f t="shared" si="32"/>
        <v>1</v>
      </c>
      <c r="V83">
        <f t="shared" si="26"/>
        <v>0</v>
      </c>
      <c r="W83" s="37">
        <f t="shared" si="33"/>
        <v>0</v>
      </c>
      <c r="X83" s="38">
        <f t="shared" si="34"/>
        <v>0</v>
      </c>
      <c r="Y83" s="37">
        <f t="shared" si="35"/>
        <v>0</v>
      </c>
      <c r="Z83" s="38">
        <f t="shared" si="36"/>
        <v>0</v>
      </c>
      <c r="AB83" s="37">
        <f t="shared" si="37"/>
        <v>0</v>
      </c>
      <c r="AC83" s="38">
        <f t="shared" si="38"/>
        <v>0</v>
      </c>
      <c r="AD83" s="37">
        <f t="shared" si="39"/>
        <v>0</v>
      </c>
      <c r="AE83" s="38">
        <f t="shared" si="40"/>
        <v>0</v>
      </c>
      <c r="AG83" s="37">
        <f t="shared" si="41"/>
        <v>0</v>
      </c>
      <c r="AH83" s="38">
        <f t="shared" si="42"/>
        <v>0</v>
      </c>
      <c r="AI83" s="37">
        <f t="shared" si="43"/>
        <v>0</v>
      </c>
      <c r="AJ83" s="38">
        <f t="shared" si="44"/>
        <v>0</v>
      </c>
      <c r="AL83" s="37">
        <f t="shared" si="45"/>
        <v>0</v>
      </c>
      <c r="AM83" s="38">
        <f t="shared" si="46"/>
        <v>0</v>
      </c>
      <c r="AN83" s="37">
        <f t="shared" si="47"/>
        <v>0</v>
      </c>
      <c r="AO83" s="38">
        <f t="shared" si="48"/>
        <v>0</v>
      </c>
    </row>
    <row r="84" spans="3:41" x14ac:dyDescent="0.3">
      <c r="C84" s="1"/>
      <c r="D84" s="1"/>
      <c r="E84" s="1"/>
      <c r="H84" s="1"/>
      <c r="L84" s="1"/>
      <c r="O84" s="1"/>
      <c r="W84" s="44">
        <f>SUM(W2:W83)</f>
        <v>33.539991444999991</v>
      </c>
      <c r="X84" s="44">
        <f>SUM(X2:X83)</f>
        <v>9</v>
      </c>
      <c r="Y84" s="44">
        <f>SUM(Y2:Y83)</f>
        <v>33.316985024999994</v>
      </c>
      <c r="Z84" s="44">
        <f>SUM(Z2:Z83)</f>
        <v>10</v>
      </c>
      <c r="AA84" s="43"/>
      <c r="AB84" s="44">
        <f>SUM(AB2:AB83)</f>
        <v>9328.0022926999991</v>
      </c>
      <c r="AC84" s="44">
        <f t="shared" ref="AC84" si="49">SUM(AC2:AC83)</f>
        <v>9</v>
      </c>
      <c r="AD84" s="44">
        <f t="shared" ref="AD84" si="50">SUM(AD2:AD83)</f>
        <v>9340.1004787999991</v>
      </c>
      <c r="AE84" s="44">
        <f t="shared" ref="AE84" si="51">SUM(AE2:AE83)</f>
        <v>10</v>
      </c>
      <c r="AF84" s="43"/>
      <c r="AG84" s="44">
        <f>SUM(AG2:AG83)</f>
        <v>92.36600797200002</v>
      </c>
      <c r="AH84" s="44">
        <f t="shared" ref="AH84" si="52">SUM(AH2:AH83)</f>
        <v>9</v>
      </c>
      <c r="AI84" s="44">
        <f t="shared" ref="AI84" si="53">SUM(AI2:AI83)</f>
        <v>91.949023944000004</v>
      </c>
      <c r="AJ84" s="44">
        <f t="shared" ref="AJ84" si="54">SUM(AJ2:AJ83)</f>
        <v>10</v>
      </c>
      <c r="AK84" s="43"/>
      <c r="AL84" s="44">
        <f>SUM(AL2:AL83)</f>
        <v>525.04999999999995</v>
      </c>
      <c r="AM84" s="44">
        <f t="shared" ref="AM84" si="55">SUM(AM2:AM83)</f>
        <v>9</v>
      </c>
      <c r="AN84" s="44">
        <f t="shared" ref="AN84" si="56">SUM(AN2:AN83)</f>
        <v>525.79</v>
      </c>
      <c r="AO84" s="44">
        <f t="shared" ref="AO84" si="57">SUM(AO2:AO83)</f>
        <v>10</v>
      </c>
    </row>
  </sheetData>
  <mergeCells count="9">
    <mergeCell ref="AL1:AM1"/>
    <mergeCell ref="AN1:AO1"/>
    <mergeCell ref="S6:T6"/>
    <mergeCell ref="W1:X1"/>
    <mergeCell ref="Y1:Z1"/>
    <mergeCell ref="AB1:AC1"/>
    <mergeCell ref="AD1:AE1"/>
    <mergeCell ref="AG1:AH1"/>
    <mergeCell ref="AI1:AJ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84"/>
  <sheetViews>
    <sheetView zoomScale="55" zoomScaleNormal="55" workbookViewId="0">
      <selection activeCell="U59" sqref="U59"/>
    </sheetView>
  </sheetViews>
  <sheetFormatPr defaultRowHeight="14.4" x14ac:dyDescent="0.3"/>
  <cols>
    <col min="1" max="1" width="9.88671875" bestFit="1" customWidth="1"/>
    <col min="6" max="6" width="12.44140625" bestFit="1" customWidth="1"/>
    <col min="9" max="9" width="12" bestFit="1" customWidth="1"/>
    <col min="20" max="20" width="10.6640625" customWidth="1"/>
    <col min="27" max="27" width="3.33203125" customWidth="1"/>
    <col min="32" max="32" width="3.33203125" customWidth="1"/>
    <col min="37" max="37" width="3.33203125" customWidth="1"/>
  </cols>
  <sheetData>
    <row r="1" spans="1:41" ht="15" thickBot="1" x14ac:dyDescent="0.35">
      <c r="A1" s="3" t="s">
        <v>12</v>
      </c>
      <c r="W1" s="148" t="s">
        <v>34</v>
      </c>
      <c r="X1" s="149"/>
      <c r="Y1" s="148" t="s">
        <v>35</v>
      </c>
      <c r="Z1" s="149"/>
      <c r="AB1" s="148" t="s">
        <v>36</v>
      </c>
      <c r="AC1" s="149"/>
      <c r="AD1" s="148" t="s">
        <v>37</v>
      </c>
      <c r="AE1" s="149"/>
      <c r="AG1" s="148" t="s">
        <v>38</v>
      </c>
      <c r="AH1" s="149"/>
      <c r="AI1" s="148" t="s">
        <v>39</v>
      </c>
      <c r="AJ1" s="149"/>
      <c r="AL1" s="148" t="s">
        <v>40</v>
      </c>
      <c r="AM1" s="149"/>
      <c r="AN1" s="148" t="s">
        <v>41</v>
      </c>
      <c r="AO1" s="149"/>
    </row>
    <row r="2" spans="1:41" x14ac:dyDescent="0.3">
      <c r="A2">
        <v>32.244999999999997</v>
      </c>
      <c r="C2" s="5" t="s">
        <v>18</v>
      </c>
      <c r="D2" s="5"/>
      <c r="E2" s="5"/>
      <c r="F2" s="5" t="s">
        <v>14</v>
      </c>
      <c r="G2" s="21"/>
      <c r="H2" s="21"/>
      <c r="I2" s="5" t="s">
        <v>5</v>
      </c>
      <c r="J2" s="5" t="s">
        <v>6</v>
      </c>
      <c r="K2" s="21"/>
      <c r="L2" s="21"/>
      <c r="M2" s="5" t="s">
        <v>10</v>
      </c>
      <c r="N2" s="21"/>
      <c r="O2" s="21"/>
      <c r="P2" s="5" t="s">
        <v>11</v>
      </c>
      <c r="S2" s="5"/>
      <c r="T2" s="32" t="s">
        <v>21</v>
      </c>
      <c r="U2" s="24"/>
      <c r="V2" s="24"/>
      <c r="W2" s="39">
        <v>0</v>
      </c>
      <c r="X2" s="42"/>
      <c r="Y2" s="39"/>
      <c r="Z2" s="40"/>
      <c r="AB2" s="39">
        <v>0</v>
      </c>
      <c r="AC2" s="42"/>
      <c r="AD2" s="39"/>
      <c r="AE2" s="40"/>
      <c r="AG2" s="39">
        <v>0</v>
      </c>
      <c r="AH2" s="42"/>
      <c r="AI2" s="39"/>
      <c r="AJ2" s="40"/>
      <c r="AL2" s="39">
        <v>0</v>
      </c>
      <c r="AM2" s="42"/>
      <c r="AN2" s="39"/>
      <c r="AO2" s="40"/>
    </row>
    <row r="3" spans="1:41" x14ac:dyDescent="0.3">
      <c r="A3" t="s">
        <v>13</v>
      </c>
      <c r="C3" s="1">
        <v>0.85897000000000001</v>
      </c>
      <c r="D3" s="21"/>
      <c r="E3" s="1">
        <v>0.84409999999999996</v>
      </c>
      <c r="F3" s="22">
        <f>E3*$A$2</f>
        <v>27.218004499999996</v>
      </c>
      <c r="G3" s="1"/>
      <c r="H3" s="1">
        <v>1.003819</v>
      </c>
      <c r="I3" s="22">
        <f>H3*$A$6</f>
        <v>9436.1997456999998</v>
      </c>
      <c r="J3" s="23">
        <f>1/(I3/3600)</f>
        <v>0.38150951622664525</v>
      </c>
      <c r="K3" s="1"/>
      <c r="L3" s="1">
        <v>0.84648400000000001</v>
      </c>
      <c r="M3" s="21">
        <f>L3*$A$10</f>
        <v>76.103990504000009</v>
      </c>
      <c r="N3" s="1"/>
      <c r="O3" s="1">
        <v>0.77</v>
      </c>
      <c r="P3" s="21">
        <f>O3+$A$14</f>
        <v>530.28</v>
      </c>
      <c r="T3" s="33">
        <f>'GT maps'!G5</f>
        <v>1.01325</v>
      </c>
      <c r="U3">
        <f>IF($T$3&gt;C3,0,1)</f>
        <v>0</v>
      </c>
      <c r="V3">
        <f t="shared" ref="V3:V49" si="0">IF(U4=1, "min",0)</f>
        <v>0</v>
      </c>
      <c r="W3" s="35">
        <f>IF($U3=0,IF($V3="min",$F3,0),0)</f>
        <v>0</v>
      </c>
      <c r="X3" s="36">
        <f>IF($W3=0,0,$C3)</f>
        <v>0</v>
      </c>
      <c r="Y3" s="35">
        <f>IF($W2=0,0,$F3)</f>
        <v>0</v>
      </c>
      <c r="Z3" s="36">
        <f>IF($Y3=0,0,$C3)</f>
        <v>0</v>
      </c>
      <c r="AB3" s="35">
        <f>IF($U3=0,IF($V3="min",$I3,0),0)</f>
        <v>0</v>
      </c>
      <c r="AC3" s="36">
        <f>IF($AB3=0,0,$C3)</f>
        <v>0</v>
      </c>
      <c r="AD3" s="35">
        <f>IF($AB2=0,0,$I3)</f>
        <v>0</v>
      </c>
      <c r="AE3" s="36">
        <f>IF($AD3=0,0,$C3)</f>
        <v>0</v>
      </c>
      <c r="AG3" s="35">
        <f>IF($U3=0,IF($V3="min",$M3,0),0)</f>
        <v>0</v>
      </c>
      <c r="AH3" s="36">
        <f>IF($AG3=0,0,$C3)</f>
        <v>0</v>
      </c>
      <c r="AI3" s="35">
        <f>IF($AG2=0,0,$M3)</f>
        <v>0</v>
      </c>
      <c r="AJ3" s="36">
        <f>IF($AI3=0,0,$C3)</f>
        <v>0</v>
      </c>
      <c r="AL3" s="35">
        <f>IF($U3=0,IF($V3="min",$P3,0),0)</f>
        <v>0</v>
      </c>
      <c r="AM3" s="36">
        <f>IF($AL3=0,0,$C3)</f>
        <v>0</v>
      </c>
      <c r="AN3" s="35">
        <f>IF($AL2=0,0,$P3)</f>
        <v>0</v>
      </c>
      <c r="AO3" s="36">
        <f>IF($AN3=0,0,$C3)</f>
        <v>0</v>
      </c>
    </row>
    <row r="4" spans="1:41" ht="15" thickBot="1" x14ac:dyDescent="0.35">
      <c r="C4" s="1">
        <v>0.86217999999999995</v>
      </c>
      <c r="D4" s="21"/>
      <c r="E4" s="1">
        <v>0.84757300000000002</v>
      </c>
      <c r="F4" s="22">
        <f t="shared" ref="F4:F53" si="1">E4*$A$2</f>
        <v>27.329991385</v>
      </c>
      <c r="G4" s="1"/>
      <c r="H4" s="1">
        <v>1.003681</v>
      </c>
      <c r="I4" s="22">
        <f t="shared" ref="I4:I53" si="2">H4*$A$6</f>
        <v>9434.9025043000001</v>
      </c>
      <c r="J4" s="23">
        <f t="shared" ref="J4:J53" si="3">1/(I4/3600)</f>
        <v>0.38156197145219928</v>
      </c>
      <c r="K4" s="1"/>
      <c r="L4" s="1">
        <v>0.84982100000000005</v>
      </c>
      <c r="M4" s="21">
        <f t="shared" ref="M4:M53" si="4">L4*$A$10</f>
        <v>76.404006826000014</v>
      </c>
      <c r="N4" s="1"/>
      <c r="O4" s="1">
        <v>0.77</v>
      </c>
      <c r="P4" s="21">
        <f t="shared" ref="P4:P53" si="5">O4+$A$14</f>
        <v>530.28</v>
      </c>
      <c r="T4" s="34" t="s">
        <v>25</v>
      </c>
      <c r="U4">
        <f t="shared" ref="U4:U53" si="6">IF($T$3&gt;C4,0,1)</f>
        <v>0</v>
      </c>
      <c r="V4">
        <f t="shared" si="0"/>
        <v>0</v>
      </c>
      <c r="W4" s="35">
        <f t="shared" ref="W4:W53" si="7">IF($U4=0,IF($V4="min",$F4,0),0)</f>
        <v>0</v>
      </c>
      <c r="X4" s="36">
        <f t="shared" ref="X4:X53" si="8">IF($W4=0,0,$C4)</f>
        <v>0</v>
      </c>
      <c r="Y4" s="35">
        <f t="shared" ref="Y4:Y53" si="9">IF($W3=0,0,$F4)</f>
        <v>0</v>
      </c>
      <c r="Z4" s="36">
        <f t="shared" ref="Z4:Z53" si="10">IF($Y4=0,0,$C4)</f>
        <v>0</v>
      </c>
      <c r="AB4" s="35">
        <f t="shared" ref="AB4:AB53" si="11">IF($U4=0,IF($V4="min",$I4,0),0)</f>
        <v>0</v>
      </c>
      <c r="AC4" s="36">
        <f t="shared" ref="AC4:AC51" si="12">IF($AB4=0,0,$C4)</f>
        <v>0</v>
      </c>
      <c r="AD4" s="35">
        <f t="shared" ref="AD4:AD53" si="13">IF($AB3=0,0,$I4)</f>
        <v>0</v>
      </c>
      <c r="AE4" s="36">
        <f t="shared" ref="AE4:AE52" si="14">IF($AD4=0,0,$C4)</f>
        <v>0</v>
      </c>
      <c r="AG4" s="35">
        <f t="shared" ref="AG4:AG53" si="15">IF($U4=0,IF($V4="min",$M4,0),0)</f>
        <v>0</v>
      </c>
      <c r="AH4" s="36">
        <f t="shared" ref="AH4:AH52" si="16">IF($AG4=0,0,$C4)</f>
        <v>0</v>
      </c>
      <c r="AI4" s="35">
        <f t="shared" ref="AI4:AI53" si="17">IF($AG3=0,0,$M4)</f>
        <v>0</v>
      </c>
      <c r="AJ4" s="36">
        <f t="shared" ref="AJ4:AJ52" si="18">IF($AI4=0,0,$C4)</f>
        <v>0</v>
      </c>
      <c r="AL4" s="35">
        <f t="shared" ref="AL4:AL53" si="19">IF($U4=0,IF($V4="min",$P4,0),0)</f>
        <v>0</v>
      </c>
      <c r="AM4" s="36">
        <f t="shared" ref="AM4:AM52" si="20">IF($AL4=0,0,$C4)</f>
        <v>0</v>
      </c>
      <c r="AN4" s="35">
        <f t="shared" ref="AN4:AN53" si="21">IF($AL3=0,0,$P4)</f>
        <v>0</v>
      </c>
      <c r="AO4" s="36">
        <f t="shared" ref="AO4:AO52" si="22">IF($AN4=0,0,$C4)</f>
        <v>0</v>
      </c>
    </row>
    <row r="5" spans="1:41" ht="15" thickBot="1" x14ac:dyDescent="0.35">
      <c r="A5" s="3" t="s">
        <v>1</v>
      </c>
      <c r="C5" s="1">
        <v>0.86539999999999995</v>
      </c>
      <c r="D5" s="21"/>
      <c r="E5" s="1">
        <v>0.85082999999999998</v>
      </c>
      <c r="F5" s="22">
        <f t="shared" si="1"/>
        <v>27.435013349999998</v>
      </c>
      <c r="G5" s="1"/>
      <c r="H5" s="1">
        <v>1.0035849999999999</v>
      </c>
      <c r="I5" s="22">
        <f t="shared" si="2"/>
        <v>9434.0000754999983</v>
      </c>
      <c r="J5" s="23">
        <f t="shared" si="3"/>
        <v>0.38159847055218526</v>
      </c>
      <c r="K5" s="1"/>
      <c r="L5" s="1">
        <v>0.853024</v>
      </c>
      <c r="M5" s="21">
        <f t="shared" si="4"/>
        <v>76.691975744000004</v>
      </c>
      <c r="N5" s="1"/>
      <c r="O5" s="1">
        <v>0.75</v>
      </c>
      <c r="P5" s="21">
        <f t="shared" si="5"/>
        <v>530.26</v>
      </c>
      <c r="U5">
        <f t="shared" si="6"/>
        <v>0</v>
      </c>
      <c r="V5">
        <f t="shared" si="0"/>
        <v>0</v>
      </c>
      <c r="W5" s="35">
        <f t="shared" si="7"/>
        <v>0</v>
      </c>
      <c r="X5" s="36">
        <f t="shared" si="8"/>
        <v>0</v>
      </c>
      <c r="Y5" s="35">
        <f t="shared" si="9"/>
        <v>0</v>
      </c>
      <c r="Z5" s="36">
        <f t="shared" si="10"/>
        <v>0</v>
      </c>
      <c r="AB5" s="35">
        <f t="shared" si="11"/>
        <v>0</v>
      </c>
      <c r="AC5" s="36">
        <f t="shared" si="12"/>
        <v>0</v>
      </c>
      <c r="AD5" s="35">
        <f t="shared" si="13"/>
        <v>0</v>
      </c>
      <c r="AE5" s="36">
        <f t="shared" si="14"/>
        <v>0</v>
      </c>
      <c r="AG5" s="35">
        <f t="shared" si="15"/>
        <v>0</v>
      </c>
      <c r="AH5" s="36">
        <f t="shared" si="16"/>
        <v>0</v>
      </c>
      <c r="AI5" s="35">
        <f t="shared" si="17"/>
        <v>0</v>
      </c>
      <c r="AJ5" s="36">
        <f t="shared" si="18"/>
        <v>0</v>
      </c>
      <c r="AL5" s="35">
        <f t="shared" si="19"/>
        <v>0</v>
      </c>
      <c r="AM5" s="36">
        <f t="shared" si="20"/>
        <v>0</v>
      </c>
      <c r="AN5" s="35">
        <f t="shared" si="21"/>
        <v>0</v>
      </c>
      <c r="AO5" s="36">
        <f t="shared" si="22"/>
        <v>0</v>
      </c>
    </row>
    <row r="6" spans="1:41" x14ac:dyDescent="0.3">
      <c r="A6">
        <v>9400.2999999999993</v>
      </c>
      <c r="C6" s="1">
        <v>0.86861999999999995</v>
      </c>
      <c r="D6" s="21"/>
      <c r="E6" s="1">
        <v>0.85386899999999999</v>
      </c>
      <c r="F6" s="22">
        <f t="shared" si="1"/>
        <v>27.533005904999996</v>
      </c>
      <c r="G6" s="1"/>
      <c r="H6" s="1">
        <v>1.0035210000000001</v>
      </c>
      <c r="I6" s="22">
        <f t="shared" si="2"/>
        <v>9433.3984562999995</v>
      </c>
      <c r="J6" s="23">
        <f t="shared" si="3"/>
        <v>0.38162280716508656</v>
      </c>
      <c r="K6" s="1"/>
      <c r="L6" s="1">
        <v>0.85608300000000004</v>
      </c>
      <c r="M6" s="21">
        <f t="shared" si="4"/>
        <v>76.966998198000013</v>
      </c>
      <c r="N6" s="1"/>
      <c r="O6" s="1">
        <v>0.71</v>
      </c>
      <c r="P6" s="21">
        <f t="shared" si="5"/>
        <v>530.22</v>
      </c>
      <c r="S6" s="150" t="s">
        <v>42</v>
      </c>
      <c r="T6" s="151"/>
      <c r="U6">
        <f t="shared" si="6"/>
        <v>0</v>
      </c>
      <c r="V6">
        <f t="shared" si="0"/>
        <v>0</v>
      </c>
      <c r="W6" s="35">
        <f t="shared" si="7"/>
        <v>0</v>
      </c>
      <c r="X6" s="36">
        <f t="shared" si="8"/>
        <v>0</v>
      </c>
      <c r="Y6" s="35">
        <f t="shared" si="9"/>
        <v>0</v>
      </c>
      <c r="Z6" s="36">
        <f t="shared" si="10"/>
        <v>0</v>
      </c>
      <c r="AB6" s="35">
        <f t="shared" si="11"/>
        <v>0</v>
      </c>
      <c r="AC6" s="36">
        <f t="shared" si="12"/>
        <v>0</v>
      </c>
      <c r="AD6" s="35">
        <f t="shared" si="13"/>
        <v>0</v>
      </c>
      <c r="AE6" s="36">
        <f t="shared" si="14"/>
        <v>0</v>
      </c>
      <c r="AG6" s="35">
        <f t="shared" si="15"/>
        <v>0</v>
      </c>
      <c r="AH6" s="36">
        <f t="shared" si="16"/>
        <v>0</v>
      </c>
      <c r="AI6" s="35">
        <f t="shared" si="17"/>
        <v>0</v>
      </c>
      <c r="AJ6" s="36">
        <f t="shared" si="18"/>
        <v>0</v>
      </c>
      <c r="AL6" s="35">
        <f t="shared" si="19"/>
        <v>0</v>
      </c>
      <c r="AM6" s="36">
        <f t="shared" si="20"/>
        <v>0</v>
      </c>
      <c r="AN6" s="35">
        <f t="shared" si="21"/>
        <v>0</v>
      </c>
      <c r="AO6" s="36">
        <f t="shared" si="22"/>
        <v>0</v>
      </c>
    </row>
    <row r="7" spans="1:41" x14ac:dyDescent="0.3">
      <c r="A7" t="s">
        <v>2</v>
      </c>
      <c r="C7" s="1">
        <v>0.87185999999999997</v>
      </c>
      <c r="D7" s="21"/>
      <c r="E7" s="1">
        <v>0.85737300000000005</v>
      </c>
      <c r="F7" s="22">
        <f t="shared" si="1"/>
        <v>27.645992385</v>
      </c>
      <c r="G7" s="1"/>
      <c r="H7" s="1">
        <v>1.0033829999999999</v>
      </c>
      <c r="I7" s="22">
        <f t="shared" si="2"/>
        <v>9432.101214899998</v>
      </c>
      <c r="J7" s="23">
        <f t="shared" si="3"/>
        <v>0.38167529355103175</v>
      </c>
      <c r="K7" s="1"/>
      <c r="L7" s="1">
        <v>0.85946400000000001</v>
      </c>
      <c r="M7" s="21">
        <f t="shared" si="4"/>
        <v>77.270970384000009</v>
      </c>
      <c r="N7" s="1"/>
      <c r="O7" s="1">
        <v>0.71</v>
      </c>
      <c r="P7" s="21">
        <f t="shared" si="5"/>
        <v>530.22</v>
      </c>
      <c r="S7" s="45"/>
      <c r="T7" s="46">
        <f>Y54+(W54-Y54)/(X54-Z54)*($T$3-Z54)</f>
        <v>32.244999999999997</v>
      </c>
      <c r="U7">
        <f t="shared" si="6"/>
        <v>0</v>
      </c>
      <c r="V7">
        <f t="shared" si="0"/>
        <v>0</v>
      </c>
      <c r="W7" s="35">
        <f t="shared" si="7"/>
        <v>0</v>
      </c>
      <c r="X7" s="36">
        <f t="shared" si="8"/>
        <v>0</v>
      </c>
      <c r="Y7" s="35">
        <f t="shared" si="9"/>
        <v>0</v>
      </c>
      <c r="Z7" s="36">
        <f t="shared" si="10"/>
        <v>0</v>
      </c>
      <c r="AB7" s="35">
        <f t="shared" si="11"/>
        <v>0</v>
      </c>
      <c r="AC7" s="36">
        <f t="shared" si="12"/>
        <v>0</v>
      </c>
      <c r="AD7" s="35">
        <f t="shared" si="13"/>
        <v>0</v>
      </c>
      <c r="AE7" s="36">
        <f t="shared" si="14"/>
        <v>0</v>
      </c>
      <c r="AG7" s="35">
        <f t="shared" si="15"/>
        <v>0</v>
      </c>
      <c r="AH7" s="36">
        <f t="shared" si="16"/>
        <v>0</v>
      </c>
      <c r="AI7" s="35">
        <f t="shared" si="17"/>
        <v>0</v>
      </c>
      <c r="AJ7" s="36">
        <f t="shared" si="18"/>
        <v>0</v>
      </c>
      <c r="AL7" s="35">
        <f t="shared" si="19"/>
        <v>0</v>
      </c>
      <c r="AM7" s="36">
        <f t="shared" si="20"/>
        <v>0</v>
      </c>
      <c r="AN7" s="35">
        <f t="shared" si="21"/>
        <v>0</v>
      </c>
      <c r="AO7" s="36">
        <f t="shared" si="22"/>
        <v>0</v>
      </c>
    </row>
    <row r="8" spans="1:41" x14ac:dyDescent="0.3">
      <c r="C8" s="1">
        <v>0.87511000000000005</v>
      </c>
      <c r="D8" s="21"/>
      <c r="E8" s="1">
        <v>0.86069200000000001</v>
      </c>
      <c r="F8" s="22">
        <f t="shared" si="1"/>
        <v>27.753013539999998</v>
      </c>
      <c r="G8" s="1"/>
      <c r="H8" s="1">
        <v>1.0032760000000001</v>
      </c>
      <c r="I8" s="22">
        <f t="shared" si="2"/>
        <v>9431.0953828000002</v>
      </c>
      <c r="J8" s="23">
        <f t="shared" si="3"/>
        <v>0.38171599945490053</v>
      </c>
      <c r="K8" s="1"/>
      <c r="L8" s="1">
        <v>0.86270100000000005</v>
      </c>
      <c r="M8" s="21">
        <f t="shared" si="4"/>
        <v>77.561996106000009</v>
      </c>
      <c r="N8" s="1"/>
      <c r="O8" s="1">
        <v>0.7</v>
      </c>
      <c r="P8" s="21">
        <f t="shared" si="5"/>
        <v>530.21</v>
      </c>
      <c r="S8" s="45" t="s">
        <v>12</v>
      </c>
      <c r="T8" s="47">
        <f>T7/F48</f>
        <v>1</v>
      </c>
      <c r="U8">
        <f t="shared" si="6"/>
        <v>0</v>
      </c>
      <c r="V8">
        <f t="shared" si="0"/>
        <v>0</v>
      </c>
      <c r="W8" s="35">
        <f t="shared" si="7"/>
        <v>0</v>
      </c>
      <c r="X8" s="36">
        <f t="shared" si="8"/>
        <v>0</v>
      </c>
      <c r="Y8" s="35">
        <f t="shared" si="9"/>
        <v>0</v>
      </c>
      <c r="Z8" s="36">
        <f t="shared" si="10"/>
        <v>0</v>
      </c>
      <c r="AB8" s="35">
        <f t="shared" si="11"/>
        <v>0</v>
      </c>
      <c r="AC8" s="36">
        <f t="shared" si="12"/>
        <v>0</v>
      </c>
      <c r="AD8" s="35">
        <f t="shared" si="13"/>
        <v>0</v>
      </c>
      <c r="AE8" s="36">
        <f t="shared" si="14"/>
        <v>0</v>
      </c>
      <c r="AG8" s="35">
        <f t="shared" si="15"/>
        <v>0</v>
      </c>
      <c r="AH8" s="36">
        <f t="shared" si="16"/>
        <v>0</v>
      </c>
      <c r="AI8" s="35">
        <f t="shared" si="17"/>
        <v>0</v>
      </c>
      <c r="AJ8" s="36">
        <f t="shared" si="18"/>
        <v>0</v>
      </c>
      <c r="AL8" s="35">
        <f t="shared" si="19"/>
        <v>0</v>
      </c>
      <c r="AM8" s="36">
        <f t="shared" si="20"/>
        <v>0</v>
      </c>
      <c r="AN8" s="35">
        <f t="shared" si="21"/>
        <v>0</v>
      </c>
      <c r="AO8" s="36">
        <f t="shared" si="22"/>
        <v>0</v>
      </c>
    </row>
    <row r="9" spans="1:41" x14ac:dyDescent="0.3">
      <c r="A9" s="3" t="s">
        <v>8</v>
      </c>
      <c r="C9" s="1">
        <v>0.87836000000000003</v>
      </c>
      <c r="D9" s="21"/>
      <c r="E9" s="1">
        <v>0.86400999999999994</v>
      </c>
      <c r="F9" s="22">
        <f t="shared" si="1"/>
        <v>27.860002449999996</v>
      </c>
      <c r="G9" s="1"/>
      <c r="H9" s="1">
        <v>1.0031909999999999</v>
      </c>
      <c r="I9" s="22">
        <f t="shared" si="2"/>
        <v>9430.2963572999979</v>
      </c>
      <c r="J9" s="23">
        <f t="shared" si="3"/>
        <v>0.38174834210944364</v>
      </c>
      <c r="K9" s="1"/>
      <c r="L9" s="1">
        <v>0.86594899999999997</v>
      </c>
      <c r="M9" s="21">
        <f t="shared" si="4"/>
        <v>77.854010794000004</v>
      </c>
      <c r="N9" s="1"/>
      <c r="O9" s="1">
        <v>0.68</v>
      </c>
      <c r="P9" s="21">
        <f t="shared" si="5"/>
        <v>530.18999999999994</v>
      </c>
      <c r="S9" s="45"/>
      <c r="T9" s="48"/>
      <c r="U9">
        <f t="shared" si="6"/>
        <v>0</v>
      </c>
      <c r="V9">
        <f t="shared" si="0"/>
        <v>0</v>
      </c>
      <c r="W9" s="35">
        <f t="shared" si="7"/>
        <v>0</v>
      </c>
      <c r="X9" s="36">
        <f t="shared" si="8"/>
        <v>0</v>
      </c>
      <c r="Y9" s="35">
        <f t="shared" si="9"/>
        <v>0</v>
      </c>
      <c r="Z9" s="36">
        <f t="shared" si="10"/>
        <v>0</v>
      </c>
      <c r="AB9" s="35">
        <f t="shared" si="11"/>
        <v>0</v>
      </c>
      <c r="AC9" s="36">
        <f t="shared" si="12"/>
        <v>0</v>
      </c>
      <c r="AD9" s="35">
        <f t="shared" si="13"/>
        <v>0</v>
      </c>
      <c r="AE9" s="36">
        <f t="shared" si="14"/>
        <v>0</v>
      </c>
      <c r="AG9" s="35">
        <f t="shared" si="15"/>
        <v>0</v>
      </c>
      <c r="AH9" s="36">
        <f t="shared" si="16"/>
        <v>0</v>
      </c>
      <c r="AI9" s="35">
        <f t="shared" si="17"/>
        <v>0</v>
      </c>
      <c r="AJ9" s="36">
        <f t="shared" si="18"/>
        <v>0</v>
      </c>
      <c r="AL9" s="35">
        <f t="shared" si="19"/>
        <v>0</v>
      </c>
      <c r="AM9" s="36">
        <f t="shared" si="20"/>
        <v>0</v>
      </c>
      <c r="AN9" s="35">
        <f t="shared" si="21"/>
        <v>0</v>
      </c>
      <c r="AO9" s="36">
        <f t="shared" si="22"/>
        <v>0</v>
      </c>
    </row>
    <row r="10" spans="1:41" x14ac:dyDescent="0.3">
      <c r="A10">
        <v>89.906000000000006</v>
      </c>
      <c r="C10" s="1">
        <v>0.88163000000000002</v>
      </c>
      <c r="D10" s="21"/>
      <c r="E10" s="1">
        <v>0.86735899999999999</v>
      </c>
      <c r="F10" s="22">
        <f t="shared" si="1"/>
        <v>27.967990954999998</v>
      </c>
      <c r="G10" s="1"/>
      <c r="H10" s="1">
        <v>1.003053</v>
      </c>
      <c r="I10" s="22">
        <f t="shared" si="2"/>
        <v>9428.9991158999983</v>
      </c>
      <c r="J10" s="23">
        <f t="shared" si="3"/>
        <v>0.38180086303427124</v>
      </c>
      <c r="K10" s="1"/>
      <c r="L10" s="1">
        <v>0.86924100000000004</v>
      </c>
      <c r="M10" s="21">
        <f t="shared" si="4"/>
        <v>78.149981346000004</v>
      </c>
      <c r="N10" s="1"/>
      <c r="O10" s="1">
        <v>0.64</v>
      </c>
      <c r="P10" s="21">
        <f t="shared" si="5"/>
        <v>530.15</v>
      </c>
      <c r="S10" s="45"/>
      <c r="T10" s="46">
        <f>AD54+(AB54-AD54)/(AC54-AE54)*($T$3-AE54)</f>
        <v>9400.2999999999993</v>
      </c>
      <c r="U10">
        <f t="shared" si="6"/>
        <v>0</v>
      </c>
      <c r="V10">
        <f t="shared" si="0"/>
        <v>0</v>
      </c>
      <c r="W10" s="35">
        <f t="shared" si="7"/>
        <v>0</v>
      </c>
      <c r="X10" s="36">
        <f t="shared" si="8"/>
        <v>0</v>
      </c>
      <c r="Y10" s="35">
        <f t="shared" si="9"/>
        <v>0</v>
      </c>
      <c r="Z10" s="36">
        <f t="shared" si="10"/>
        <v>0</v>
      </c>
      <c r="AB10" s="35">
        <f t="shared" si="11"/>
        <v>0</v>
      </c>
      <c r="AC10" s="36">
        <f t="shared" si="12"/>
        <v>0</v>
      </c>
      <c r="AD10" s="35">
        <f t="shared" si="13"/>
        <v>0</v>
      </c>
      <c r="AE10" s="36">
        <f t="shared" si="14"/>
        <v>0</v>
      </c>
      <c r="AG10" s="35">
        <f t="shared" si="15"/>
        <v>0</v>
      </c>
      <c r="AH10" s="36">
        <f t="shared" si="16"/>
        <v>0</v>
      </c>
      <c r="AI10" s="35">
        <f t="shared" si="17"/>
        <v>0</v>
      </c>
      <c r="AJ10" s="36">
        <f t="shared" si="18"/>
        <v>0</v>
      </c>
      <c r="AL10" s="35">
        <f t="shared" si="19"/>
        <v>0</v>
      </c>
      <c r="AM10" s="36">
        <f t="shared" si="20"/>
        <v>0</v>
      </c>
      <c r="AN10" s="35">
        <f t="shared" si="21"/>
        <v>0</v>
      </c>
      <c r="AO10" s="36">
        <f t="shared" si="22"/>
        <v>0</v>
      </c>
    </row>
    <row r="11" spans="1:41" x14ac:dyDescent="0.3">
      <c r="A11" t="s">
        <v>9</v>
      </c>
      <c r="C11" s="1">
        <v>0.88490999999999997</v>
      </c>
      <c r="D11" s="21"/>
      <c r="E11" s="1">
        <v>0.87067799999999995</v>
      </c>
      <c r="F11" s="22">
        <f t="shared" si="1"/>
        <v>28.075012109999996</v>
      </c>
      <c r="G11" s="1"/>
      <c r="H11" s="1">
        <v>1.002947</v>
      </c>
      <c r="I11" s="22">
        <f t="shared" si="2"/>
        <v>9428.0026840999999</v>
      </c>
      <c r="J11" s="23">
        <f t="shared" si="3"/>
        <v>0.38184121500848484</v>
      </c>
      <c r="K11" s="1"/>
      <c r="L11" s="1">
        <v>0.87250000000000005</v>
      </c>
      <c r="M11" s="21">
        <f t="shared" si="4"/>
        <v>78.442985000000007</v>
      </c>
      <c r="N11" s="1"/>
      <c r="O11" s="1">
        <v>0.63</v>
      </c>
      <c r="P11" s="21">
        <f t="shared" si="5"/>
        <v>530.14</v>
      </c>
      <c r="S11" s="45" t="s">
        <v>17</v>
      </c>
      <c r="T11" s="47">
        <f>T10/I48</f>
        <v>1</v>
      </c>
      <c r="U11">
        <f t="shared" si="6"/>
        <v>0</v>
      </c>
      <c r="V11">
        <f t="shared" si="0"/>
        <v>0</v>
      </c>
      <c r="W11" s="35">
        <f t="shared" si="7"/>
        <v>0</v>
      </c>
      <c r="X11" s="36">
        <f t="shared" si="8"/>
        <v>0</v>
      </c>
      <c r="Y11" s="35">
        <f t="shared" si="9"/>
        <v>0</v>
      </c>
      <c r="Z11" s="36">
        <f t="shared" si="10"/>
        <v>0</v>
      </c>
      <c r="AB11" s="35">
        <f t="shared" si="11"/>
        <v>0</v>
      </c>
      <c r="AC11" s="36">
        <f t="shared" si="12"/>
        <v>0</v>
      </c>
      <c r="AD11" s="35">
        <f t="shared" si="13"/>
        <v>0</v>
      </c>
      <c r="AE11" s="36">
        <f t="shared" si="14"/>
        <v>0</v>
      </c>
      <c r="AG11" s="35">
        <f t="shared" si="15"/>
        <v>0</v>
      </c>
      <c r="AH11" s="36">
        <f t="shared" si="16"/>
        <v>0</v>
      </c>
      <c r="AI11" s="35">
        <f t="shared" si="17"/>
        <v>0</v>
      </c>
      <c r="AJ11" s="36">
        <f t="shared" si="18"/>
        <v>0</v>
      </c>
      <c r="AL11" s="35">
        <f t="shared" si="19"/>
        <v>0</v>
      </c>
      <c r="AM11" s="36">
        <f t="shared" si="20"/>
        <v>0</v>
      </c>
      <c r="AN11" s="35">
        <f t="shared" si="21"/>
        <v>0</v>
      </c>
      <c r="AO11" s="36">
        <f t="shared" si="22"/>
        <v>0</v>
      </c>
    </row>
    <row r="12" spans="1:41" x14ac:dyDescent="0.3">
      <c r="C12" s="1">
        <v>0.88819999999999999</v>
      </c>
      <c r="D12" s="21"/>
      <c r="E12" s="1">
        <v>0.874027</v>
      </c>
      <c r="F12" s="22">
        <f t="shared" si="1"/>
        <v>28.183000614999997</v>
      </c>
      <c r="G12" s="1"/>
      <c r="H12" s="1">
        <v>1.0028509999999999</v>
      </c>
      <c r="I12" s="22">
        <f t="shared" si="2"/>
        <v>9427.100255299998</v>
      </c>
      <c r="J12" s="23">
        <f t="shared" si="3"/>
        <v>0.38187776755381897</v>
      </c>
      <c r="K12" s="1"/>
      <c r="L12" s="1">
        <v>0.87578100000000003</v>
      </c>
      <c r="M12" s="21">
        <f t="shared" si="4"/>
        <v>78.737966586000013</v>
      </c>
      <c r="N12" s="1"/>
      <c r="O12" s="1">
        <v>0.6</v>
      </c>
      <c r="P12" s="21">
        <f t="shared" si="5"/>
        <v>530.11</v>
      </c>
      <c r="S12" s="45"/>
      <c r="T12" s="48"/>
      <c r="U12">
        <f t="shared" si="6"/>
        <v>0</v>
      </c>
      <c r="V12">
        <f t="shared" si="0"/>
        <v>0</v>
      </c>
      <c r="W12" s="35">
        <f t="shared" si="7"/>
        <v>0</v>
      </c>
      <c r="X12" s="36">
        <f t="shared" si="8"/>
        <v>0</v>
      </c>
      <c r="Y12" s="35">
        <f t="shared" si="9"/>
        <v>0</v>
      </c>
      <c r="Z12" s="36">
        <f t="shared" si="10"/>
        <v>0</v>
      </c>
      <c r="AB12" s="35">
        <f t="shared" si="11"/>
        <v>0</v>
      </c>
      <c r="AC12" s="36">
        <f t="shared" si="12"/>
        <v>0</v>
      </c>
      <c r="AD12" s="35">
        <f t="shared" si="13"/>
        <v>0</v>
      </c>
      <c r="AE12" s="36">
        <f t="shared" si="14"/>
        <v>0</v>
      </c>
      <c r="AG12" s="35">
        <f t="shared" si="15"/>
        <v>0</v>
      </c>
      <c r="AH12" s="36">
        <f t="shared" si="16"/>
        <v>0</v>
      </c>
      <c r="AI12" s="35">
        <f t="shared" si="17"/>
        <v>0</v>
      </c>
      <c r="AJ12" s="36">
        <f t="shared" si="18"/>
        <v>0</v>
      </c>
      <c r="AL12" s="35">
        <f t="shared" si="19"/>
        <v>0</v>
      </c>
      <c r="AM12" s="36">
        <f t="shared" si="20"/>
        <v>0</v>
      </c>
      <c r="AN12" s="35">
        <f t="shared" si="21"/>
        <v>0</v>
      </c>
      <c r="AO12" s="36">
        <f t="shared" si="22"/>
        <v>0</v>
      </c>
    </row>
    <row r="13" spans="1:41" x14ac:dyDescent="0.3">
      <c r="A13" s="3" t="s">
        <v>7</v>
      </c>
      <c r="C13" s="1">
        <v>0.89149</v>
      </c>
      <c r="D13" s="21"/>
      <c r="E13" s="1">
        <v>0.87737600000000004</v>
      </c>
      <c r="F13" s="22">
        <f t="shared" si="1"/>
        <v>28.290989119999999</v>
      </c>
      <c r="G13" s="1"/>
      <c r="H13" s="1">
        <v>1.0027550000000001</v>
      </c>
      <c r="I13" s="22">
        <f t="shared" si="2"/>
        <v>9426.1978264999998</v>
      </c>
      <c r="J13" s="23">
        <f t="shared" si="3"/>
        <v>0.38191432709795992</v>
      </c>
      <c r="K13" s="1"/>
      <c r="L13" s="1">
        <v>0.87907400000000002</v>
      </c>
      <c r="M13" s="21">
        <f t="shared" si="4"/>
        <v>79.034027044000013</v>
      </c>
      <c r="N13" s="1"/>
      <c r="O13" s="1">
        <v>0.57999999999999996</v>
      </c>
      <c r="P13" s="21">
        <f t="shared" si="5"/>
        <v>530.09</v>
      </c>
      <c r="S13" s="45"/>
      <c r="T13" s="46">
        <f>AI54+(AG54-AI54)/(AH54-AJ54)*($T$3-AJ54)</f>
        <v>89.906000000000006</v>
      </c>
      <c r="U13">
        <f t="shared" si="6"/>
        <v>0</v>
      </c>
      <c r="V13">
        <f t="shared" si="0"/>
        <v>0</v>
      </c>
      <c r="W13" s="35">
        <f t="shared" si="7"/>
        <v>0</v>
      </c>
      <c r="X13" s="36">
        <f t="shared" si="8"/>
        <v>0</v>
      </c>
      <c r="Y13" s="35">
        <f t="shared" si="9"/>
        <v>0</v>
      </c>
      <c r="Z13" s="36">
        <f t="shared" si="10"/>
        <v>0</v>
      </c>
      <c r="AB13" s="35">
        <f t="shared" si="11"/>
        <v>0</v>
      </c>
      <c r="AC13" s="36">
        <f t="shared" si="12"/>
        <v>0</v>
      </c>
      <c r="AD13" s="35">
        <f t="shared" si="13"/>
        <v>0</v>
      </c>
      <c r="AE13" s="36">
        <f t="shared" si="14"/>
        <v>0</v>
      </c>
      <c r="AG13" s="35">
        <f t="shared" si="15"/>
        <v>0</v>
      </c>
      <c r="AH13" s="36">
        <f t="shared" si="16"/>
        <v>0</v>
      </c>
      <c r="AI13" s="35">
        <f t="shared" si="17"/>
        <v>0</v>
      </c>
      <c r="AJ13" s="36">
        <f t="shared" si="18"/>
        <v>0</v>
      </c>
      <c r="AL13" s="35">
        <f t="shared" si="19"/>
        <v>0</v>
      </c>
      <c r="AM13" s="36">
        <f t="shared" si="20"/>
        <v>0</v>
      </c>
      <c r="AN13" s="35">
        <f t="shared" si="21"/>
        <v>0</v>
      </c>
      <c r="AO13" s="36">
        <f t="shared" si="22"/>
        <v>0</v>
      </c>
    </row>
    <row r="14" spans="1:41" x14ac:dyDescent="0.3">
      <c r="A14">
        <v>529.51</v>
      </c>
      <c r="C14" s="1">
        <v>0.89478999999999997</v>
      </c>
      <c r="D14" s="21"/>
      <c r="E14" s="1">
        <v>0.88075700000000001</v>
      </c>
      <c r="F14" s="22">
        <f t="shared" si="1"/>
        <v>28.400009464999997</v>
      </c>
      <c r="G14" s="1"/>
      <c r="H14" s="1">
        <v>1.0026489999999999</v>
      </c>
      <c r="I14" s="22">
        <f t="shared" si="2"/>
        <v>9425.2013946999978</v>
      </c>
      <c r="J14" s="23">
        <f t="shared" si="3"/>
        <v>0.38195470306070711</v>
      </c>
      <c r="K14" s="1"/>
      <c r="L14" s="1">
        <v>0.88237699999999997</v>
      </c>
      <c r="M14" s="21">
        <f t="shared" si="4"/>
        <v>79.330986562000007</v>
      </c>
      <c r="N14" s="1"/>
      <c r="O14" s="1">
        <v>0.56000000000000005</v>
      </c>
      <c r="P14" s="21">
        <f t="shared" si="5"/>
        <v>530.06999999999994</v>
      </c>
      <c r="S14" s="45" t="s">
        <v>43</v>
      </c>
      <c r="T14" s="47">
        <f>T13/M48</f>
        <v>1</v>
      </c>
      <c r="U14">
        <f t="shared" si="6"/>
        <v>0</v>
      </c>
      <c r="V14">
        <f t="shared" si="0"/>
        <v>0</v>
      </c>
      <c r="W14" s="35">
        <f t="shared" si="7"/>
        <v>0</v>
      </c>
      <c r="X14" s="36">
        <f t="shared" si="8"/>
        <v>0</v>
      </c>
      <c r="Y14" s="35">
        <f t="shared" si="9"/>
        <v>0</v>
      </c>
      <c r="Z14" s="36">
        <f t="shared" si="10"/>
        <v>0</v>
      </c>
      <c r="AB14" s="35">
        <f t="shared" si="11"/>
        <v>0</v>
      </c>
      <c r="AC14" s="36">
        <f t="shared" si="12"/>
        <v>0</v>
      </c>
      <c r="AD14" s="35">
        <f t="shared" si="13"/>
        <v>0</v>
      </c>
      <c r="AE14" s="36">
        <f t="shared" si="14"/>
        <v>0</v>
      </c>
      <c r="AG14" s="35">
        <f t="shared" si="15"/>
        <v>0</v>
      </c>
      <c r="AH14" s="36">
        <f t="shared" si="16"/>
        <v>0</v>
      </c>
      <c r="AI14" s="35">
        <f t="shared" si="17"/>
        <v>0</v>
      </c>
      <c r="AJ14" s="36">
        <f t="shared" si="18"/>
        <v>0</v>
      </c>
      <c r="AL14" s="35">
        <f t="shared" si="19"/>
        <v>0</v>
      </c>
      <c r="AM14" s="36">
        <f t="shared" si="20"/>
        <v>0</v>
      </c>
      <c r="AN14" s="35">
        <f t="shared" si="21"/>
        <v>0</v>
      </c>
      <c r="AO14" s="36">
        <f t="shared" si="22"/>
        <v>0</v>
      </c>
    </row>
    <row r="15" spans="1:41" x14ac:dyDescent="0.3">
      <c r="A15" t="s">
        <v>4</v>
      </c>
      <c r="C15" s="1">
        <v>0.89810999999999996</v>
      </c>
      <c r="D15" s="21"/>
      <c r="E15" s="1">
        <v>0.88407500000000006</v>
      </c>
      <c r="F15" s="22">
        <f t="shared" si="1"/>
        <v>28.506998374999998</v>
      </c>
      <c r="G15" s="1"/>
      <c r="H15" s="1">
        <v>1.002553</v>
      </c>
      <c r="I15" s="22">
        <f t="shared" si="2"/>
        <v>9424.2989658999995</v>
      </c>
      <c r="J15" s="23">
        <f t="shared" si="3"/>
        <v>0.3819912773380707</v>
      </c>
      <c r="K15" s="1"/>
      <c r="L15" s="1">
        <v>0.88566900000000004</v>
      </c>
      <c r="M15" s="21">
        <f t="shared" si="4"/>
        <v>79.626957114000007</v>
      </c>
      <c r="N15" s="1"/>
      <c r="O15" s="1">
        <v>0.54</v>
      </c>
      <c r="P15" s="21">
        <f t="shared" si="5"/>
        <v>530.04999999999995</v>
      </c>
      <c r="S15" s="45"/>
      <c r="T15" s="48"/>
      <c r="U15">
        <f t="shared" si="6"/>
        <v>0</v>
      </c>
      <c r="V15">
        <f t="shared" si="0"/>
        <v>0</v>
      </c>
      <c r="W15" s="35">
        <f t="shared" si="7"/>
        <v>0</v>
      </c>
      <c r="X15" s="36">
        <f t="shared" si="8"/>
        <v>0</v>
      </c>
      <c r="Y15" s="35">
        <f t="shared" si="9"/>
        <v>0</v>
      </c>
      <c r="Z15" s="36">
        <f t="shared" si="10"/>
        <v>0</v>
      </c>
      <c r="AB15" s="35">
        <f t="shared" si="11"/>
        <v>0</v>
      </c>
      <c r="AC15" s="36">
        <f t="shared" si="12"/>
        <v>0</v>
      </c>
      <c r="AD15" s="35">
        <f t="shared" si="13"/>
        <v>0</v>
      </c>
      <c r="AE15" s="36">
        <f t="shared" si="14"/>
        <v>0</v>
      </c>
      <c r="AG15" s="35">
        <f t="shared" si="15"/>
        <v>0</v>
      </c>
      <c r="AH15" s="36">
        <f t="shared" si="16"/>
        <v>0</v>
      </c>
      <c r="AI15" s="35">
        <f t="shared" si="17"/>
        <v>0</v>
      </c>
      <c r="AJ15" s="36">
        <f t="shared" si="18"/>
        <v>0</v>
      </c>
      <c r="AL15" s="35">
        <f t="shared" si="19"/>
        <v>0</v>
      </c>
      <c r="AM15" s="36">
        <f t="shared" si="20"/>
        <v>0</v>
      </c>
      <c r="AN15" s="35">
        <f t="shared" si="21"/>
        <v>0</v>
      </c>
      <c r="AO15" s="36">
        <f t="shared" si="22"/>
        <v>0</v>
      </c>
    </row>
    <row r="16" spans="1:41" x14ac:dyDescent="0.3">
      <c r="C16" s="1">
        <v>0.90144000000000002</v>
      </c>
      <c r="D16" s="21"/>
      <c r="E16" s="1">
        <v>0.88742399999999999</v>
      </c>
      <c r="F16" s="22">
        <f t="shared" si="1"/>
        <v>28.614986879999996</v>
      </c>
      <c r="G16" s="1"/>
      <c r="H16" s="1">
        <v>1.0024679999999999</v>
      </c>
      <c r="I16" s="22">
        <f t="shared" si="2"/>
        <v>9423.4999403999991</v>
      </c>
      <c r="J16" s="23">
        <f t="shared" si="3"/>
        <v>0.38202366665979848</v>
      </c>
      <c r="K16" s="1"/>
      <c r="L16" s="1">
        <v>0.88896200000000003</v>
      </c>
      <c r="M16" s="21">
        <f t="shared" si="4"/>
        <v>79.923017572000006</v>
      </c>
      <c r="N16" s="1"/>
      <c r="O16" s="1">
        <v>0.52</v>
      </c>
      <c r="P16" s="21">
        <f t="shared" si="5"/>
        <v>530.03</v>
      </c>
      <c r="S16" s="45"/>
      <c r="T16" s="46">
        <f>AN54+(AL54-AN54)/(AM54-AO54)*($T$3-AO54)</f>
        <v>529.51</v>
      </c>
      <c r="U16">
        <f t="shared" si="6"/>
        <v>0</v>
      </c>
      <c r="V16">
        <f t="shared" si="0"/>
        <v>0</v>
      </c>
      <c r="W16" s="35">
        <f t="shared" si="7"/>
        <v>0</v>
      </c>
      <c r="X16" s="36">
        <f t="shared" si="8"/>
        <v>0</v>
      </c>
      <c r="Y16" s="35">
        <f t="shared" si="9"/>
        <v>0</v>
      </c>
      <c r="Z16" s="36">
        <f t="shared" si="10"/>
        <v>0</v>
      </c>
      <c r="AB16" s="35">
        <f t="shared" si="11"/>
        <v>0</v>
      </c>
      <c r="AC16" s="36">
        <f t="shared" si="12"/>
        <v>0</v>
      </c>
      <c r="AD16" s="35">
        <f t="shared" si="13"/>
        <v>0</v>
      </c>
      <c r="AE16" s="36">
        <f t="shared" si="14"/>
        <v>0</v>
      </c>
      <c r="AG16" s="35">
        <f t="shared" si="15"/>
        <v>0</v>
      </c>
      <c r="AH16" s="36">
        <f t="shared" si="16"/>
        <v>0</v>
      </c>
      <c r="AI16" s="35">
        <f t="shared" si="17"/>
        <v>0</v>
      </c>
      <c r="AJ16" s="36">
        <f t="shared" si="18"/>
        <v>0</v>
      </c>
      <c r="AL16" s="35">
        <f t="shared" si="19"/>
        <v>0</v>
      </c>
      <c r="AM16" s="36">
        <f t="shared" si="20"/>
        <v>0</v>
      </c>
      <c r="AN16" s="35">
        <f t="shared" si="21"/>
        <v>0</v>
      </c>
      <c r="AO16" s="36">
        <f t="shared" si="22"/>
        <v>0</v>
      </c>
    </row>
    <row r="17" spans="3:41" ht="15" thickBot="1" x14ac:dyDescent="0.35">
      <c r="C17" s="1">
        <v>0.90476999999999996</v>
      </c>
      <c r="D17" s="21"/>
      <c r="E17" s="1">
        <v>0.89086699999999996</v>
      </c>
      <c r="F17" s="22">
        <f t="shared" si="1"/>
        <v>28.726006414999997</v>
      </c>
      <c r="G17" s="1"/>
      <c r="H17" s="1">
        <v>1.002362</v>
      </c>
      <c r="I17" s="22">
        <f t="shared" si="2"/>
        <v>9422.5035085999989</v>
      </c>
      <c r="J17" s="23">
        <f t="shared" si="3"/>
        <v>0.38206406574582324</v>
      </c>
      <c r="K17" s="1"/>
      <c r="L17" s="1">
        <v>0.89232100000000003</v>
      </c>
      <c r="M17" s="21">
        <f t="shared" si="4"/>
        <v>80.225011826000014</v>
      </c>
      <c r="N17" s="1"/>
      <c r="O17" s="1">
        <v>0.51</v>
      </c>
      <c r="P17" s="21">
        <f t="shared" si="5"/>
        <v>530.02</v>
      </c>
      <c r="S17" s="49" t="s">
        <v>44</v>
      </c>
      <c r="T17" s="50">
        <f>T16-P48</f>
        <v>0</v>
      </c>
      <c r="U17">
        <f t="shared" si="6"/>
        <v>0</v>
      </c>
      <c r="V17">
        <f t="shared" si="0"/>
        <v>0</v>
      </c>
      <c r="W17" s="35">
        <f t="shared" si="7"/>
        <v>0</v>
      </c>
      <c r="X17" s="36">
        <f t="shared" si="8"/>
        <v>0</v>
      </c>
      <c r="Y17" s="35">
        <f t="shared" si="9"/>
        <v>0</v>
      </c>
      <c r="Z17" s="36">
        <f t="shared" si="10"/>
        <v>0</v>
      </c>
      <c r="AB17" s="35">
        <f t="shared" si="11"/>
        <v>0</v>
      </c>
      <c r="AC17" s="36">
        <f t="shared" si="12"/>
        <v>0</v>
      </c>
      <c r="AD17" s="35">
        <f t="shared" si="13"/>
        <v>0</v>
      </c>
      <c r="AE17" s="36">
        <f t="shared" si="14"/>
        <v>0</v>
      </c>
      <c r="AG17" s="35">
        <f t="shared" si="15"/>
        <v>0</v>
      </c>
      <c r="AH17" s="36">
        <f t="shared" si="16"/>
        <v>0</v>
      </c>
      <c r="AI17" s="35">
        <f t="shared" si="17"/>
        <v>0</v>
      </c>
      <c r="AJ17" s="36">
        <f t="shared" si="18"/>
        <v>0</v>
      </c>
      <c r="AL17" s="35">
        <f t="shared" si="19"/>
        <v>0</v>
      </c>
      <c r="AM17" s="36">
        <f t="shared" si="20"/>
        <v>0</v>
      </c>
      <c r="AN17" s="35">
        <f t="shared" si="21"/>
        <v>0</v>
      </c>
      <c r="AO17" s="36">
        <f t="shared" si="22"/>
        <v>0</v>
      </c>
    </row>
    <row r="18" spans="3:41" x14ac:dyDescent="0.3">
      <c r="C18" s="1">
        <v>0.90812000000000004</v>
      </c>
      <c r="D18" s="21"/>
      <c r="E18" s="1">
        <v>0.89421600000000001</v>
      </c>
      <c r="F18" s="22">
        <f t="shared" si="1"/>
        <v>28.833994919999999</v>
      </c>
      <c r="G18" s="1"/>
      <c r="H18" s="1">
        <v>1.0022770000000001</v>
      </c>
      <c r="I18" s="22">
        <f t="shared" si="2"/>
        <v>9421.7044831000003</v>
      </c>
      <c r="J18" s="23">
        <f t="shared" si="3"/>
        <v>0.38209646741281583</v>
      </c>
      <c r="K18" s="1"/>
      <c r="L18" s="1">
        <v>0.89563499999999996</v>
      </c>
      <c r="M18" s="21">
        <f t="shared" si="4"/>
        <v>80.522960310000002</v>
      </c>
      <c r="N18" s="1"/>
      <c r="O18" s="1">
        <v>0.49</v>
      </c>
      <c r="P18" s="21">
        <f t="shared" si="5"/>
        <v>530</v>
      </c>
      <c r="U18">
        <f t="shared" si="6"/>
        <v>0</v>
      </c>
      <c r="V18">
        <f t="shared" si="0"/>
        <v>0</v>
      </c>
      <c r="W18" s="35">
        <f t="shared" si="7"/>
        <v>0</v>
      </c>
      <c r="X18" s="36">
        <f t="shared" si="8"/>
        <v>0</v>
      </c>
      <c r="Y18" s="35">
        <f t="shared" si="9"/>
        <v>0</v>
      </c>
      <c r="Z18" s="36">
        <f t="shared" si="10"/>
        <v>0</v>
      </c>
      <c r="AB18" s="35">
        <f t="shared" si="11"/>
        <v>0</v>
      </c>
      <c r="AC18" s="36">
        <f t="shared" si="12"/>
        <v>0</v>
      </c>
      <c r="AD18" s="35">
        <f t="shared" si="13"/>
        <v>0</v>
      </c>
      <c r="AE18" s="36">
        <f t="shared" si="14"/>
        <v>0</v>
      </c>
      <c r="AG18" s="35">
        <f t="shared" si="15"/>
        <v>0</v>
      </c>
      <c r="AH18" s="36">
        <f t="shared" si="16"/>
        <v>0</v>
      </c>
      <c r="AI18" s="35">
        <f t="shared" si="17"/>
        <v>0</v>
      </c>
      <c r="AJ18" s="36">
        <f t="shared" si="18"/>
        <v>0</v>
      </c>
      <c r="AL18" s="35">
        <f t="shared" si="19"/>
        <v>0</v>
      </c>
      <c r="AM18" s="36">
        <f t="shared" si="20"/>
        <v>0</v>
      </c>
      <c r="AN18" s="35">
        <f t="shared" si="21"/>
        <v>0</v>
      </c>
      <c r="AO18" s="36">
        <f t="shared" si="22"/>
        <v>0</v>
      </c>
    </row>
    <row r="19" spans="3:41" x14ac:dyDescent="0.3">
      <c r="C19" s="1">
        <v>0.91147</v>
      </c>
      <c r="D19" s="21"/>
      <c r="E19" s="1">
        <v>0.89762799999999998</v>
      </c>
      <c r="F19" s="22">
        <f t="shared" si="1"/>
        <v>28.944014859999996</v>
      </c>
      <c r="G19" s="1"/>
      <c r="H19" s="1">
        <v>1.0021910000000001</v>
      </c>
      <c r="I19" s="22">
        <f t="shared" si="2"/>
        <v>9420.8960573000004</v>
      </c>
      <c r="J19" s="23">
        <f t="shared" si="3"/>
        <v>0.38212925586950469</v>
      </c>
      <c r="K19" s="1"/>
      <c r="L19" s="1">
        <v>0.89898299999999998</v>
      </c>
      <c r="M19" s="21">
        <f t="shared" si="4"/>
        <v>80.823965598000001</v>
      </c>
      <c r="N19" s="1"/>
      <c r="O19" s="1">
        <v>0.47</v>
      </c>
      <c r="P19" s="21">
        <f t="shared" si="5"/>
        <v>529.98</v>
      </c>
      <c r="U19">
        <f t="shared" si="6"/>
        <v>0</v>
      </c>
      <c r="V19">
        <f t="shared" si="0"/>
        <v>0</v>
      </c>
      <c r="W19" s="35">
        <f t="shared" si="7"/>
        <v>0</v>
      </c>
      <c r="X19" s="36">
        <f t="shared" si="8"/>
        <v>0</v>
      </c>
      <c r="Y19" s="35">
        <f t="shared" si="9"/>
        <v>0</v>
      </c>
      <c r="Z19" s="36">
        <f t="shared" si="10"/>
        <v>0</v>
      </c>
      <c r="AB19" s="35">
        <f t="shared" si="11"/>
        <v>0</v>
      </c>
      <c r="AC19" s="36">
        <f t="shared" si="12"/>
        <v>0</v>
      </c>
      <c r="AD19" s="35">
        <f t="shared" si="13"/>
        <v>0</v>
      </c>
      <c r="AE19" s="36">
        <f t="shared" si="14"/>
        <v>0</v>
      </c>
      <c r="AG19" s="35">
        <f t="shared" si="15"/>
        <v>0</v>
      </c>
      <c r="AH19" s="36">
        <f t="shared" si="16"/>
        <v>0</v>
      </c>
      <c r="AI19" s="35">
        <f t="shared" si="17"/>
        <v>0</v>
      </c>
      <c r="AJ19" s="36">
        <f t="shared" si="18"/>
        <v>0</v>
      </c>
      <c r="AL19" s="35">
        <f t="shared" si="19"/>
        <v>0</v>
      </c>
      <c r="AM19" s="36">
        <f t="shared" si="20"/>
        <v>0</v>
      </c>
      <c r="AN19" s="35">
        <f t="shared" si="21"/>
        <v>0</v>
      </c>
      <c r="AO19" s="36">
        <f t="shared" si="22"/>
        <v>0</v>
      </c>
    </row>
    <row r="20" spans="3:41" x14ac:dyDescent="0.3">
      <c r="C20" s="1">
        <v>0.91483999999999999</v>
      </c>
      <c r="D20" s="21"/>
      <c r="E20" s="1">
        <v>0.90100800000000003</v>
      </c>
      <c r="F20" s="22">
        <f t="shared" si="1"/>
        <v>29.053002959999997</v>
      </c>
      <c r="G20" s="1"/>
      <c r="H20" s="1">
        <v>1.0021059999999999</v>
      </c>
      <c r="I20" s="22">
        <f t="shared" si="2"/>
        <v>9420.0970317999981</v>
      </c>
      <c r="J20" s="23">
        <f t="shared" si="3"/>
        <v>0.38216166859505368</v>
      </c>
      <c r="K20" s="1"/>
      <c r="L20" s="1">
        <v>0.90232000000000001</v>
      </c>
      <c r="M20" s="21">
        <f t="shared" si="4"/>
        <v>81.123981920000006</v>
      </c>
      <c r="N20" s="1"/>
      <c r="O20" s="1">
        <v>0.46</v>
      </c>
      <c r="P20" s="21">
        <f t="shared" si="5"/>
        <v>529.97</v>
      </c>
      <c r="U20">
        <f t="shared" si="6"/>
        <v>0</v>
      </c>
      <c r="V20">
        <f t="shared" si="0"/>
        <v>0</v>
      </c>
      <c r="W20" s="35">
        <f t="shared" si="7"/>
        <v>0</v>
      </c>
      <c r="X20" s="36">
        <f t="shared" si="8"/>
        <v>0</v>
      </c>
      <c r="Y20" s="35">
        <f t="shared" si="9"/>
        <v>0</v>
      </c>
      <c r="Z20" s="36">
        <f t="shared" si="10"/>
        <v>0</v>
      </c>
      <c r="AB20" s="35">
        <f t="shared" si="11"/>
        <v>0</v>
      </c>
      <c r="AC20" s="36">
        <f t="shared" si="12"/>
        <v>0</v>
      </c>
      <c r="AD20" s="35">
        <f t="shared" si="13"/>
        <v>0</v>
      </c>
      <c r="AE20" s="36">
        <f t="shared" si="14"/>
        <v>0</v>
      </c>
      <c r="AG20" s="35">
        <f t="shared" si="15"/>
        <v>0</v>
      </c>
      <c r="AH20" s="36">
        <f t="shared" si="16"/>
        <v>0</v>
      </c>
      <c r="AI20" s="35">
        <f t="shared" si="17"/>
        <v>0</v>
      </c>
      <c r="AJ20" s="36">
        <f t="shared" si="18"/>
        <v>0</v>
      </c>
      <c r="AL20" s="35">
        <f t="shared" si="19"/>
        <v>0</v>
      </c>
      <c r="AM20" s="36">
        <f t="shared" si="20"/>
        <v>0</v>
      </c>
      <c r="AN20" s="35">
        <f t="shared" si="21"/>
        <v>0</v>
      </c>
      <c r="AO20" s="36">
        <f t="shared" si="22"/>
        <v>0</v>
      </c>
    </row>
    <row r="21" spans="3:41" x14ac:dyDescent="0.3">
      <c r="C21" s="1">
        <v>0.91822000000000004</v>
      </c>
      <c r="D21" s="21"/>
      <c r="E21" s="1">
        <v>0.90441899999999997</v>
      </c>
      <c r="F21" s="22">
        <f t="shared" si="1"/>
        <v>29.162990654999998</v>
      </c>
      <c r="G21" s="1"/>
      <c r="H21" s="1">
        <v>1.0020210000000001</v>
      </c>
      <c r="I21" s="22">
        <f t="shared" si="2"/>
        <v>9419.2980062999995</v>
      </c>
      <c r="J21" s="23">
        <f t="shared" si="3"/>
        <v>0.38219408681965228</v>
      </c>
      <c r="K21" s="1"/>
      <c r="L21" s="1">
        <v>0.90567900000000001</v>
      </c>
      <c r="M21" s="21">
        <f t="shared" si="4"/>
        <v>81.425976174000013</v>
      </c>
      <c r="N21" s="1"/>
      <c r="O21" s="1">
        <v>0.44</v>
      </c>
      <c r="P21" s="21">
        <f t="shared" si="5"/>
        <v>529.95000000000005</v>
      </c>
      <c r="U21">
        <f t="shared" si="6"/>
        <v>0</v>
      </c>
      <c r="V21">
        <f t="shared" si="0"/>
        <v>0</v>
      </c>
      <c r="W21" s="35">
        <f t="shared" si="7"/>
        <v>0</v>
      </c>
      <c r="X21" s="36">
        <f t="shared" si="8"/>
        <v>0</v>
      </c>
      <c r="Y21" s="35">
        <f t="shared" si="9"/>
        <v>0</v>
      </c>
      <c r="Z21" s="36">
        <f t="shared" si="10"/>
        <v>0</v>
      </c>
      <c r="AB21" s="35">
        <f t="shared" si="11"/>
        <v>0</v>
      </c>
      <c r="AC21" s="36">
        <f t="shared" si="12"/>
        <v>0</v>
      </c>
      <c r="AD21" s="35">
        <f t="shared" si="13"/>
        <v>0</v>
      </c>
      <c r="AE21" s="36">
        <f t="shared" si="14"/>
        <v>0</v>
      </c>
      <c r="AG21" s="35">
        <f t="shared" si="15"/>
        <v>0</v>
      </c>
      <c r="AH21" s="36">
        <f t="shared" si="16"/>
        <v>0</v>
      </c>
      <c r="AI21" s="35">
        <f t="shared" si="17"/>
        <v>0</v>
      </c>
      <c r="AJ21" s="36">
        <f t="shared" si="18"/>
        <v>0</v>
      </c>
      <c r="AL21" s="35">
        <f t="shared" si="19"/>
        <v>0</v>
      </c>
      <c r="AM21" s="36">
        <f t="shared" si="20"/>
        <v>0</v>
      </c>
      <c r="AN21" s="35">
        <f t="shared" si="21"/>
        <v>0</v>
      </c>
      <c r="AO21" s="36">
        <f t="shared" si="22"/>
        <v>0</v>
      </c>
    </row>
    <row r="22" spans="3:41" x14ac:dyDescent="0.3">
      <c r="C22" s="1">
        <v>0.92159999999999997</v>
      </c>
      <c r="D22" s="21"/>
      <c r="E22" s="1">
        <v>0.90786199999999995</v>
      </c>
      <c r="F22" s="22">
        <f t="shared" si="1"/>
        <v>29.274010189999995</v>
      </c>
      <c r="G22" s="1"/>
      <c r="H22" s="1">
        <v>1.0019359999999999</v>
      </c>
      <c r="I22" s="22">
        <f t="shared" si="2"/>
        <v>9418.4989807999991</v>
      </c>
      <c r="J22" s="23">
        <f t="shared" si="3"/>
        <v>0.3822265105447003</v>
      </c>
      <c r="K22" s="1"/>
      <c r="L22" s="1">
        <v>0.909049</v>
      </c>
      <c r="M22" s="21">
        <f t="shared" si="4"/>
        <v>81.728959394</v>
      </c>
      <c r="N22" s="1"/>
      <c r="O22" s="1">
        <v>0.42</v>
      </c>
      <c r="P22" s="21">
        <f t="shared" si="5"/>
        <v>529.92999999999995</v>
      </c>
      <c r="U22">
        <f t="shared" si="6"/>
        <v>0</v>
      </c>
      <c r="V22">
        <f t="shared" si="0"/>
        <v>0</v>
      </c>
      <c r="W22" s="35">
        <f t="shared" si="7"/>
        <v>0</v>
      </c>
      <c r="X22" s="36">
        <f t="shared" si="8"/>
        <v>0</v>
      </c>
      <c r="Y22" s="35">
        <f t="shared" si="9"/>
        <v>0</v>
      </c>
      <c r="Z22" s="36">
        <f t="shared" si="10"/>
        <v>0</v>
      </c>
      <c r="AB22" s="35">
        <f t="shared" si="11"/>
        <v>0</v>
      </c>
      <c r="AC22" s="36">
        <f t="shared" si="12"/>
        <v>0</v>
      </c>
      <c r="AD22" s="35">
        <f t="shared" si="13"/>
        <v>0</v>
      </c>
      <c r="AE22" s="36">
        <f t="shared" si="14"/>
        <v>0</v>
      </c>
      <c r="AG22" s="35">
        <f t="shared" si="15"/>
        <v>0</v>
      </c>
      <c r="AH22" s="36">
        <f t="shared" si="16"/>
        <v>0</v>
      </c>
      <c r="AI22" s="35">
        <f t="shared" si="17"/>
        <v>0</v>
      </c>
      <c r="AJ22" s="36">
        <f t="shared" si="18"/>
        <v>0</v>
      </c>
      <c r="AL22" s="35">
        <f t="shared" si="19"/>
        <v>0</v>
      </c>
      <c r="AM22" s="36">
        <f t="shared" si="20"/>
        <v>0</v>
      </c>
      <c r="AN22" s="35">
        <f t="shared" si="21"/>
        <v>0</v>
      </c>
      <c r="AO22" s="36">
        <f t="shared" si="22"/>
        <v>0</v>
      </c>
    </row>
    <row r="23" spans="3:41" x14ac:dyDescent="0.3">
      <c r="C23" s="1">
        <v>0.92500000000000004</v>
      </c>
      <c r="D23" s="21"/>
      <c r="E23" s="1">
        <v>0.911273</v>
      </c>
      <c r="F23" s="22">
        <f t="shared" si="1"/>
        <v>29.383997884999999</v>
      </c>
      <c r="G23" s="1"/>
      <c r="H23" s="1">
        <v>1.001851</v>
      </c>
      <c r="I23" s="22">
        <f t="shared" si="2"/>
        <v>9417.6999553000005</v>
      </c>
      <c r="J23" s="23">
        <f t="shared" si="3"/>
        <v>0.38225893977159758</v>
      </c>
      <c r="K23" s="1"/>
      <c r="L23" s="1">
        <v>0.91243099999999999</v>
      </c>
      <c r="M23" s="21">
        <f t="shared" si="4"/>
        <v>82.03302148600001</v>
      </c>
      <c r="N23" s="1"/>
      <c r="O23" s="1">
        <v>0.41</v>
      </c>
      <c r="P23" s="21">
        <f t="shared" si="5"/>
        <v>529.91999999999996</v>
      </c>
      <c r="U23">
        <f t="shared" si="6"/>
        <v>0</v>
      </c>
      <c r="V23">
        <f t="shared" si="0"/>
        <v>0</v>
      </c>
      <c r="W23" s="35">
        <f t="shared" si="7"/>
        <v>0</v>
      </c>
      <c r="X23" s="36">
        <f t="shared" si="8"/>
        <v>0</v>
      </c>
      <c r="Y23" s="35">
        <f t="shared" si="9"/>
        <v>0</v>
      </c>
      <c r="Z23" s="36">
        <f t="shared" si="10"/>
        <v>0</v>
      </c>
      <c r="AB23" s="35">
        <f t="shared" si="11"/>
        <v>0</v>
      </c>
      <c r="AC23" s="36">
        <f t="shared" si="12"/>
        <v>0</v>
      </c>
      <c r="AD23" s="35">
        <f t="shared" si="13"/>
        <v>0</v>
      </c>
      <c r="AE23" s="36">
        <f t="shared" si="14"/>
        <v>0</v>
      </c>
      <c r="AG23" s="35">
        <f t="shared" si="15"/>
        <v>0</v>
      </c>
      <c r="AH23" s="36">
        <f t="shared" si="16"/>
        <v>0</v>
      </c>
      <c r="AI23" s="35">
        <f t="shared" si="17"/>
        <v>0</v>
      </c>
      <c r="AJ23" s="36">
        <f t="shared" si="18"/>
        <v>0</v>
      </c>
      <c r="AL23" s="35">
        <f t="shared" si="19"/>
        <v>0</v>
      </c>
      <c r="AM23" s="36">
        <f t="shared" si="20"/>
        <v>0</v>
      </c>
      <c r="AN23" s="35">
        <f t="shared" si="21"/>
        <v>0</v>
      </c>
      <c r="AO23" s="36">
        <f t="shared" si="22"/>
        <v>0</v>
      </c>
    </row>
    <row r="24" spans="3:41" x14ac:dyDescent="0.3">
      <c r="C24" s="1">
        <v>0.92840999999999996</v>
      </c>
      <c r="D24" s="21"/>
      <c r="E24" s="1">
        <v>0.91471499999999994</v>
      </c>
      <c r="F24" s="22">
        <f t="shared" si="1"/>
        <v>29.494985174999997</v>
      </c>
      <c r="G24" s="1"/>
      <c r="H24" s="1">
        <v>1.0017659999999999</v>
      </c>
      <c r="I24" s="22">
        <f t="shared" si="2"/>
        <v>9416.9009297999983</v>
      </c>
      <c r="J24" s="23">
        <f t="shared" si="3"/>
        <v>0.38229137450174483</v>
      </c>
      <c r="K24" s="1"/>
      <c r="L24" s="1">
        <v>0.91581199999999996</v>
      </c>
      <c r="M24" s="21">
        <f t="shared" si="4"/>
        <v>82.336993672000006</v>
      </c>
      <c r="N24" s="1"/>
      <c r="O24" s="1">
        <v>0.39</v>
      </c>
      <c r="P24" s="21">
        <f t="shared" si="5"/>
        <v>529.9</v>
      </c>
      <c r="U24">
        <f t="shared" si="6"/>
        <v>0</v>
      </c>
      <c r="V24">
        <f t="shared" si="0"/>
        <v>0</v>
      </c>
      <c r="W24" s="35">
        <f t="shared" si="7"/>
        <v>0</v>
      </c>
      <c r="X24" s="36">
        <f t="shared" si="8"/>
        <v>0</v>
      </c>
      <c r="Y24" s="35">
        <f t="shared" si="9"/>
        <v>0</v>
      </c>
      <c r="Z24" s="36">
        <f t="shared" si="10"/>
        <v>0</v>
      </c>
      <c r="AB24" s="35">
        <f t="shared" si="11"/>
        <v>0</v>
      </c>
      <c r="AC24" s="36">
        <f t="shared" si="12"/>
        <v>0</v>
      </c>
      <c r="AD24" s="35">
        <f t="shared" si="13"/>
        <v>0</v>
      </c>
      <c r="AE24" s="36">
        <f t="shared" si="14"/>
        <v>0</v>
      </c>
      <c r="AG24" s="35">
        <f t="shared" si="15"/>
        <v>0</v>
      </c>
      <c r="AH24" s="36">
        <f t="shared" si="16"/>
        <v>0</v>
      </c>
      <c r="AI24" s="35">
        <f t="shared" si="17"/>
        <v>0</v>
      </c>
      <c r="AJ24" s="36">
        <f t="shared" si="18"/>
        <v>0</v>
      </c>
      <c r="AL24" s="35">
        <f t="shared" si="19"/>
        <v>0</v>
      </c>
      <c r="AM24" s="36">
        <f t="shared" si="20"/>
        <v>0</v>
      </c>
      <c r="AN24" s="35">
        <f t="shared" si="21"/>
        <v>0</v>
      </c>
      <c r="AO24" s="36">
        <f t="shared" si="22"/>
        <v>0</v>
      </c>
    </row>
    <row r="25" spans="3:41" x14ac:dyDescent="0.3">
      <c r="C25" s="1">
        <v>0.93181999999999998</v>
      </c>
      <c r="D25" s="21"/>
      <c r="E25" s="1">
        <v>0.91815800000000003</v>
      </c>
      <c r="F25" s="22">
        <f t="shared" si="1"/>
        <v>29.606004709999997</v>
      </c>
      <c r="G25" s="1"/>
      <c r="H25" s="1">
        <v>1.0016910000000001</v>
      </c>
      <c r="I25" s="22">
        <f t="shared" si="2"/>
        <v>9416.1959072999998</v>
      </c>
      <c r="J25" s="23">
        <f t="shared" si="3"/>
        <v>0.38231999795257704</v>
      </c>
      <c r="K25" s="1"/>
      <c r="L25" s="1">
        <v>0.91921600000000003</v>
      </c>
      <c r="M25" s="21">
        <f t="shared" si="4"/>
        <v>82.643033696000003</v>
      </c>
      <c r="N25" s="1"/>
      <c r="O25" s="1">
        <v>0.37</v>
      </c>
      <c r="P25" s="21">
        <f t="shared" si="5"/>
        <v>529.88</v>
      </c>
      <c r="U25">
        <f t="shared" si="6"/>
        <v>0</v>
      </c>
      <c r="V25">
        <f t="shared" si="0"/>
        <v>0</v>
      </c>
      <c r="W25" s="35">
        <f t="shared" si="7"/>
        <v>0</v>
      </c>
      <c r="X25" s="36">
        <f t="shared" si="8"/>
        <v>0</v>
      </c>
      <c r="Y25" s="35">
        <f t="shared" si="9"/>
        <v>0</v>
      </c>
      <c r="Z25" s="36">
        <f t="shared" si="10"/>
        <v>0</v>
      </c>
      <c r="AB25" s="35">
        <f t="shared" si="11"/>
        <v>0</v>
      </c>
      <c r="AC25" s="36">
        <f t="shared" si="12"/>
        <v>0</v>
      </c>
      <c r="AD25" s="35">
        <f t="shared" si="13"/>
        <v>0</v>
      </c>
      <c r="AE25" s="36">
        <f t="shared" si="14"/>
        <v>0</v>
      </c>
      <c r="AG25" s="35">
        <f t="shared" si="15"/>
        <v>0</v>
      </c>
      <c r="AH25" s="36">
        <f t="shared" si="16"/>
        <v>0</v>
      </c>
      <c r="AI25" s="35">
        <f t="shared" si="17"/>
        <v>0</v>
      </c>
      <c r="AJ25" s="36">
        <f t="shared" si="18"/>
        <v>0</v>
      </c>
      <c r="AL25" s="35">
        <f t="shared" si="19"/>
        <v>0</v>
      </c>
      <c r="AM25" s="36">
        <f t="shared" si="20"/>
        <v>0</v>
      </c>
      <c r="AN25" s="35">
        <f t="shared" si="21"/>
        <v>0</v>
      </c>
      <c r="AO25" s="36">
        <f t="shared" si="22"/>
        <v>0</v>
      </c>
    </row>
    <row r="26" spans="3:41" x14ac:dyDescent="0.3">
      <c r="C26" s="1">
        <v>0.93525000000000003</v>
      </c>
      <c r="D26" s="21"/>
      <c r="E26" s="1">
        <v>0.92159999999999997</v>
      </c>
      <c r="F26" s="22">
        <f t="shared" si="1"/>
        <v>29.716991999999998</v>
      </c>
      <c r="G26" s="1"/>
      <c r="H26" s="1">
        <v>1.001606</v>
      </c>
      <c r="I26" s="22">
        <f t="shared" si="2"/>
        <v>9415.3968817999994</v>
      </c>
      <c r="J26" s="23">
        <f t="shared" si="3"/>
        <v>0.38235244304558363</v>
      </c>
      <c r="K26" s="1"/>
      <c r="L26" s="1">
        <v>0.92260799999999998</v>
      </c>
      <c r="M26" s="21">
        <f t="shared" si="4"/>
        <v>82.947994848000008</v>
      </c>
      <c r="N26" s="1"/>
      <c r="O26" s="1">
        <v>0.36</v>
      </c>
      <c r="P26" s="21">
        <f t="shared" si="5"/>
        <v>529.87</v>
      </c>
      <c r="U26">
        <f t="shared" si="6"/>
        <v>0</v>
      </c>
      <c r="V26">
        <f t="shared" si="0"/>
        <v>0</v>
      </c>
      <c r="W26" s="35">
        <f t="shared" si="7"/>
        <v>0</v>
      </c>
      <c r="X26" s="36">
        <f t="shared" si="8"/>
        <v>0</v>
      </c>
      <c r="Y26" s="35">
        <f t="shared" si="9"/>
        <v>0</v>
      </c>
      <c r="Z26" s="36">
        <f t="shared" si="10"/>
        <v>0</v>
      </c>
      <c r="AB26" s="35">
        <f t="shared" si="11"/>
        <v>0</v>
      </c>
      <c r="AC26" s="36">
        <f t="shared" si="12"/>
        <v>0</v>
      </c>
      <c r="AD26" s="35">
        <f t="shared" si="13"/>
        <v>0</v>
      </c>
      <c r="AE26" s="36">
        <f t="shared" si="14"/>
        <v>0</v>
      </c>
      <c r="AG26" s="35">
        <f t="shared" si="15"/>
        <v>0</v>
      </c>
      <c r="AH26" s="36">
        <f t="shared" si="16"/>
        <v>0</v>
      </c>
      <c r="AI26" s="35">
        <f t="shared" si="17"/>
        <v>0</v>
      </c>
      <c r="AJ26" s="36">
        <f t="shared" si="18"/>
        <v>0</v>
      </c>
      <c r="AL26" s="35">
        <f t="shared" si="19"/>
        <v>0</v>
      </c>
      <c r="AM26" s="36">
        <f t="shared" si="20"/>
        <v>0</v>
      </c>
      <c r="AN26" s="35">
        <f t="shared" si="21"/>
        <v>0</v>
      </c>
      <c r="AO26" s="36">
        <f t="shared" si="22"/>
        <v>0</v>
      </c>
    </row>
    <row r="27" spans="3:41" x14ac:dyDescent="0.3">
      <c r="C27" s="1">
        <v>0.93869000000000002</v>
      </c>
      <c r="D27" s="21"/>
      <c r="E27" s="1">
        <v>0.92501199999999995</v>
      </c>
      <c r="F27" s="22">
        <f t="shared" si="1"/>
        <v>29.827011939999995</v>
      </c>
      <c r="G27" s="1"/>
      <c r="H27" s="1">
        <v>1.0015529999999999</v>
      </c>
      <c r="I27" s="22">
        <f t="shared" si="2"/>
        <v>9414.8986658999984</v>
      </c>
      <c r="J27" s="23">
        <f t="shared" si="3"/>
        <v>0.38237267630281657</v>
      </c>
      <c r="K27" s="1"/>
      <c r="L27" s="1">
        <v>0.92597799999999997</v>
      </c>
      <c r="M27" s="21">
        <f t="shared" si="4"/>
        <v>83.250978068000009</v>
      </c>
      <c r="N27" s="1"/>
      <c r="O27" s="1">
        <v>0.34</v>
      </c>
      <c r="P27" s="21">
        <f t="shared" si="5"/>
        <v>529.85</v>
      </c>
      <c r="U27">
        <f t="shared" si="6"/>
        <v>0</v>
      </c>
      <c r="V27">
        <f t="shared" si="0"/>
        <v>0</v>
      </c>
      <c r="W27" s="35">
        <f t="shared" si="7"/>
        <v>0</v>
      </c>
      <c r="X27" s="36">
        <f t="shared" si="8"/>
        <v>0</v>
      </c>
      <c r="Y27" s="35">
        <f t="shared" si="9"/>
        <v>0</v>
      </c>
      <c r="Z27" s="36">
        <f t="shared" si="10"/>
        <v>0</v>
      </c>
      <c r="AB27" s="35">
        <f t="shared" si="11"/>
        <v>0</v>
      </c>
      <c r="AC27" s="36">
        <f t="shared" si="12"/>
        <v>0</v>
      </c>
      <c r="AD27" s="35">
        <f t="shared" si="13"/>
        <v>0</v>
      </c>
      <c r="AE27" s="36">
        <f t="shared" si="14"/>
        <v>0</v>
      </c>
      <c r="AG27" s="35">
        <f t="shared" si="15"/>
        <v>0</v>
      </c>
      <c r="AH27" s="36">
        <f t="shared" si="16"/>
        <v>0</v>
      </c>
      <c r="AI27" s="35">
        <f t="shared" si="17"/>
        <v>0</v>
      </c>
      <c r="AJ27" s="36">
        <f t="shared" si="18"/>
        <v>0</v>
      </c>
      <c r="AL27" s="35">
        <f t="shared" si="19"/>
        <v>0</v>
      </c>
      <c r="AM27" s="36">
        <f t="shared" si="20"/>
        <v>0</v>
      </c>
      <c r="AN27" s="35">
        <f t="shared" si="21"/>
        <v>0</v>
      </c>
      <c r="AO27" s="36">
        <f t="shared" si="22"/>
        <v>0</v>
      </c>
    </row>
    <row r="28" spans="3:41" x14ac:dyDescent="0.3">
      <c r="C28" s="1">
        <v>0.94213000000000002</v>
      </c>
      <c r="D28" s="21"/>
      <c r="E28" s="1">
        <v>0.92854700000000001</v>
      </c>
      <c r="F28" s="22">
        <f t="shared" si="1"/>
        <v>29.940998014999998</v>
      </c>
      <c r="G28" s="1"/>
      <c r="H28" s="1">
        <v>1.001457</v>
      </c>
      <c r="I28" s="22">
        <f t="shared" si="2"/>
        <v>9413.9962371000001</v>
      </c>
      <c r="J28" s="23">
        <f t="shared" si="3"/>
        <v>0.38240933067432237</v>
      </c>
      <c r="K28" s="1"/>
      <c r="L28" s="1">
        <v>0.92943699999999996</v>
      </c>
      <c r="M28" s="21">
        <f t="shared" si="4"/>
        <v>83.561962922000006</v>
      </c>
      <c r="N28" s="1"/>
      <c r="O28" s="1">
        <v>0.33</v>
      </c>
      <c r="P28" s="21">
        <f t="shared" si="5"/>
        <v>529.84</v>
      </c>
      <c r="U28">
        <f t="shared" si="6"/>
        <v>0</v>
      </c>
      <c r="V28">
        <f t="shared" si="0"/>
        <v>0</v>
      </c>
      <c r="W28" s="35">
        <f t="shared" si="7"/>
        <v>0</v>
      </c>
      <c r="X28" s="36">
        <f t="shared" si="8"/>
        <v>0</v>
      </c>
      <c r="Y28" s="35">
        <f t="shared" si="9"/>
        <v>0</v>
      </c>
      <c r="Z28" s="36">
        <f t="shared" si="10"/>
        <v>0</v>
      </c>
      <c r="AB28" s="35">
        <f t="shared" si="11"/>
        <v>0</v>
      </c>
      <c r="AC28" s="36">
        <f t="shared" si="12"/>
        <v>0</v>
      </c>
      <c r="AD28" s="35">
        <f t="shared" si="13"/>
        <v>0</v>
      </c>
      <c r="AE28" s="36">
        <f t="shared" si="14"/>
        <v>0</v>
      </c>
      <c r="AG28" s="35">
        <f t="shared" si="15"/>
        <v>0</v>
      </c>
      <c r="AH28" s="36">
        <f t="shared" si="16"/>
        <v>0</v>
      </c>
      <c r="AI28" s="35">
        <f t="shared" si="17"/>
        <v>0</v>
      </c>
      <c r="AJ28" s="36">
        <f t="shared" si="18"/>
        <v>0</v>
      </c>
      <c r="AL28" s="35">
        <f t="shared" si="19"/>
        <v>0</v>
      </c>
      <c r="AM28" s="36">
        <f t="shared" si="20"/>
        <v>0</v>
      </c>
      <c r="AN28" s="35">
        <f t="shared" si="21"/>
        <v>0</v>
      </c>
      <c r="AO28" s="36">
        <f t="shared" si="22"/>
        <v>0</v>
      </c>
    </row>
    <row r="29" spans="3:41" x14ac:dyDescent="0.3">
      <c r="C29" s="1">
        <v>0.94559000000000004</v>
      </c>
      <c r="D29" s="21"/>
      <c r="E29" s="1">
        <v>0.93205099999999996</v>
      </c>
      <c r="F29" s="22">
        <f t="shared" si="1"/>
        <v>30.053984494999998</v>
      </c>
      <c r="G29" s="1"/>
      <c r="H29" s="1">
        <v>1.0013719999999999</v>
      </c>
      <c r="I29" s="22">
        <f t="shared" si="2"/>
        <v>9413.1972115999979</v>
      </c>
      <c r="J29" s="23">
        <f t="shared" si="3"/>
        <v>0.38244179093195624</v>
      </c>
      <c r="K29" s="1"/>
      <c r="L29" s="1">
        <v>0.93289699999999998</v>
      </c>
      <c r="M29" s="21">
        <f t="shared" si="4"/>
        <v>83.873037682000003</v>
      </c>
      <c r="N29" s="1"/>
      <c r="O29" s="1">
        <v>0.31</v>
      </c>
      <c r="P29" s="21">
        <f t="shared" si="5"/>
        <v>529.81999999999994</v>
      </c>
      <c r="U29">
        <f t="shared" si="6"/>
        <v>0</v>
      </c>
      <c r="V29">
        <f t="shared" si="0"/>
        <v>0</v>
      </c>
      <c r="W29" s="35">
        <f t="shared" si="7"/>
        <v>0</v>
      </c>
      <c r="X29" s="36">
        <f t="shared" si="8"/>
        <v>0</v>
      </c>
      <c r="Y29" s="35">
        <f t="shared" si="9"/>
        <v>0</v>
      </c>
      <c r="Z29" s="36">
        <f t="shared" si="10"/>
        <v>0</v>
      </c>
      <c r="AB29" s="35">
        <f t="shared" si="11"/>
        <v>0</v>
      </c>
      <c r="AC29" s="36">
        <f t="shared" si="12"/>
        <v>0</v>
      </c>
      <c r="AD29" s="35">
        <f t="shared" si="13"/>
        <v>0</v>
      </c>
      <c r="AE29" s="36">
        <f t="shared" si="14"/>
        <v>0</v>
      </c>
      <c r="AG29" s="35">
        <f t="shared" si="15"/>
        <v>0</v>
      </c>
      <c r="AH29" s="36">
        <f t="shared" si="16"/>
        <v>0</v>
      </c>
      <c r="AI29" s="35">
        <f t="shared" si="17"/>
        <v>0</v>
      </c>
      <c r="AJ29" s="36">
        <f t="shared" si="18"/>
        <v>0</v>
      </c>
      <c r="AL29" s="35">
        <f t="shared" si="19"/>
        <v>0</v>
      </c>
      <c r="AM29" s="36">
        <f t="shared" si="20"/>
        <v>0</v>
      </c>
      <c r="AN29" s="35">
        <f t="shared" si="21"/>
        <v>0</v>
      </c>
      <c r="AO29" s="36">
        <f t="shared" si="22"/>
        <v>0</v>
      </c>
    </row>
    <row r="30" spans="3:41" x14ac:dyDescent="0.3">
      <c r="C30" s="1">
        <v>0.94906000000000001</v>
      </c>
      <c r="D30" s="21"/>
      <c r="E30" s="1">
        <v>0.93546300000000004</v>
      </c>
      <c r="F30" s="22">
        <f t="shared" si="1"/>
        <v>30.164004434999999</v>
      </c>
      <c r="G30" s="1"/>
      <c r="H30" s="1">
        <v>1.0013080000000001</v>
      </c>
      <c r="I30" s="22">
        <f t="shared" si="2"/>
        <v>9412.5955924000009</v>
      </c>
      <c r="J30" s="23">
        <f t="shared" si="3"/>
        <v>0.38246623523342943</v>
      </c>
      <c r="K30" s="1"/>
      <c r="L30" s="1">
        <v>0.93628900000000004</v>
      </c>
      <c r="M30" s="21">
        <f t="shared" si="4"/>
        <v>84.177998834000007</v>
      </c>
      <c r="N30" s="1"/>
      <c r="O30" s="1">
        <v>0.3</v>
      </c>
      <c r="P30" s="21">
        <f t="shared" si="5"/>
        <v>529.80999999999995</v>
      </c>
      <c r="U30">
        <f t="shared" si="6"/>
        <v>0</v>
      </c>
      <c r="V30">
        <f t="shared" si="0"/>
        <v>0</v>
      </c>
      <c r="W30" s="35">
        <f t="shared" si="7"/>
        <v>0</v>
      </c>
      <c r="X30" s="36">
        <f t="shared" si="8"/>
        <v>0</v>
      </c>
      <c r="Y30" s="35">
        <f t="shared" si="9"/>
        <v>0</v>
      </c>
      <c r="Z30" s="36">
        <f t="shared" si="10"/>
        <v>0</v>
      </c>
      <c r="AB30" s="35">
        <f t="shared" si="11"/>
        <v>0</v>
      </c>
      <c r="AC30" s="36">
        <f t="shared" si="12"/>
        <v>0</v>
      </c>
      <c r="AD30" s="35">
        <f t="shared" si="13"/>
        <v>0</v>
      </c>
      <c r="AE30" s="36">
        <f t="shared" si="14"/>
        <v>0</v>
      </c>
      <c r="AG30" s="35">
        <f t="shared" si="15"/>
        <v>0</v>
      </c>
      <c r="AH30" s="36">
        <f t="shared" si="16"/>
        <v>0</v>
      </c>
      <c r="AI30" s="35">
        <f t="shared" si="17"/>
        <v>0</v>
      </c>
      <c r="AJ30" s="36">
        <f t="shared" si="18"/>
        <v>0</v>
      </c>
      <c r="AL30" s="35">
        <f t="shared" si="19"/>
        <v>0</v>
      </c>
      <c r="AM30" s="36">
        <f t="shared" si="20"/>
        <v>0</v>
      </c>
      <c r="AN30" s="35">
        <f t="shared" si="21"/>
        <v>0</v>
      </c>
      <c r="AO30" s="36">
        <f t="shared" si="22"/>
        <v>0</v>
      </c>
    </row>
    <row r="31" spans="3:41" x14ac:dyDescent="0.3">
      <c r="C31" s="1">
        <v>0.95252999999999999</v>
      </c>
      <c r="D31" s="21"/>
      <c r="E31" s="1">
        <v>0.938967</v>
      </c>
      <c r="F31" s="22">
        <f t="shared" si="1"/>
        <v>30.276990914999999</v>
      </c>
      <c r="G31" s="1"/>
      <c r="H31" s="1">
        <v>1.001223</v>
      </c>
      <c r="I31" s="22">
        <f t="shared" si="2"/>
        <v>9411.7965668999987</v>
      </c>
      <c r="J31" s="23">
        <f t="shared" si="3"/>
        <v>0.38249870515271311</v>
      </c>
      <c r="K31" s="1"/>
      <c r="L31" s="1">
        <v>0.93974800000000003</v>
      </c>
      <c r="M31" s="21">
        <f t="shared" si="4"/>
        <v>84.488983688000005</v>
      </c>
      <c r="N31" s="1"/>
      <c r="O31" s="1">
        <v>0.28000000000000003</v>
      </c>
      <c r="P31" s="21">
        <f t="shared" si="5"/>
        <v>529.79</v>
      </c>
      <c r="U31">
        <f t="shared" si="6"/>
        <v>0</v>
      </c>
      <c r="V31">
        <f t="shared" si="0"/>
        <v>0</v>
      </c>
      <c r="W31" s="35">
        <f t="shared" si="7"/>
        <v>0</v>
      </c>
      <c r="X31" s="36">
        <f t="shared" si="8"/>
        <v>0</v>
      </c>
      <c r="Y31" s="35">
        <f t="shared" si="9"/>
        <v>0</v>
      </c>
      <c r="Z31" s="36">
        <f t="shared" si="10"/>
        <v>0</v>
      </c>
      <c r="AB31" s="35">
        <f t="shared" si="11"/>
        <v>0</v>
      </c>
      <c r="AC31" s="36">
        <f t="shared" si="12"/>
        <v>0</v>
      </c>
      <c r="AD31" s="35">
        <f t="shared" si="13"/>
        <v>0</v>
      </c>
      <c r="AE31" s="36">
        <f t="shared" si="14"/>
        <v>0</v>
      </c>
      <c r="AG31" s="35">
        <f t="shared" si="15"/>
        <v>0</v>
      </c>
      <c r="AH31" s="36">
        <f t="shared" si="16"/>
        <v>0</v>
      </c>
      <c r="AI31" s="35">
        <f t="shared" si="17"/>
        <v>0</v>
      </c>
      <c r="AJ31" s="36">
        <f t="shared" si="18"/>
        <v>0</v>
      </c>
      <c r="AL31" s="35">
        <f t="shared" si="19"/>
        <v>0</v>
      </c>
      <c r="AM31" s="36">
        <f t="shared" si="20"/>
        <v>0</v>
      </c>
      <c r="AN31" s="35">
        <f t="shared" si="21"/>
        <v>0</v>
      </c>
      <c r="AO31" s="36">
        <f t="shared" si="22"/>
        <v>0</v>
      </c>
    </row>
    <row r="32" spans="3:41" x14ac:dyDescent="0.3">
      <c r="C32" s="1">
        <v>0.95601999999999998</v>
      </c>
      <c r="D32" s="21"/>
      <c r="E32" s="1">
        <v>0.94244099999999997</v>
      </c>
      <c r="F32" s="22">
        <f t="shared" si="1"/>
        <v>30.389010044999996</v>
      </c>
      <c r="G32" s="1"/>
      <c r="H32" s="1">
        <v>1.00116</v>
      </c>
      <c r="I32" s="22">
        <f t="shared" si="2"/>
        <v>9411.2043479999993</v>
      </c>
      <c r="J32" s="23">
        <f t="shared" si="3"/>
        <v>0.3825227746505202</v>
      </c>
      <c r="K32" s="1"/>
      <c r="L32" s="1">
        <v>0.94319600000000003</v>
      </c>
      <c r="M32" s="21">
        <f t="shared" si="4"/>
        <v>84.798979576000008</v>
      </c>
      <c r="N32" s="1"/>
      <c r="O32" s="1">
        <v>0.26</v>
      </c>
      <c r="P32" s="21">
        <f t="shared" si="5"/>
        <v>529.77</v>
      </c>
      <c r="U32">
        <f t="shared" si="6"/>
        <v>0</v>
      </c>
      <c r="V32">
        <f t="shared" si="0"/>
        <v>0</v>
      </c>
      <c r="W32" s="35">
        <f t="shared" si="7"/>
        <v>0</v>
      </c>
      <c r="X32" s="36">
        <f t="shared" si="8"/>
        <v>0</v>
      </c>
      <c r="Y32" s="35">
        <f t="shared" si="9"/>
        <v>0</v>
      </c>
      <c r="Z32" s="36">
        <f t="shared" si="10"/>
        <v>0</v>
      </c>
      <c r="AB32" s="35">
        <f t="shared" si="11"/>
        <v>0</v>
      </c>
      <c r="AC32" s="36">
        <f t="shared" si="12"/>
        <v>0</v>
      </c>
      <c r="AD32" s="35">
        <f t="shared" si="13"/>
        <v>0</v>
      </c>
      <c r="AE32" s="36">
        <f t="shared" si="14"/>
        <v>0</v>
      </c>
      <c r="AG32" s="35">
        <f t="shared" si="15"/>
        <v>0</v>
      </c>
      <c r="AH32" s="36">
        <f t="shared" si="16"/>
        <v>0</v>
      </c>
      <c r="AI32" s="35">
        <f t="shared" si="17"/>
        <v>0</v>
      </c>
      <c r="AJ32" s="36">
        <f t="shared" si="18"/>
        <v>0</v>
      </c>
      <c r="AL32" s="35">
        <f t="shared" si="19"/>
        <v>0</v>
      </c>
      <c r="AM32" s="36">
        <f t="shared" si="20"/>
        <v>0</v>
      </c>
      <c r="AN32" s="35">
        <f t="shared" si="21"/>
        <v>0</v>
      </c>
      <c r="AO32" s="36">
        <f t="shared" si="22"/>
        <v>0</v>
      </c>
    </row>
    <row r="33" spans="2:41" x14ac:dyDescent="0.3">
      <c r="C33" s="1">
        <v>0.95952000000000004</v>
      </c>
      <c r="D33" s="21"/>
      <c r="E33" s="1">
        <v>0.94594500000000004</v>
      </c>
      <c r="F33" s="22">
        <f t="shared" si="1"/>
        <v>30.501996524999999</v>
      </c>
      <c r="G33" s="1"/>
      <c r="H33" s="1">
        <v>1.001085</v>
      </c>
      <c r="I33" s="22">
        <f t="shared" si="2"/>
        <v>9410.499325499999</v>
      </c>
      <c r="J33" s="23">
        <f t="shared" si="3"/>
        <v>0.38255143276456532</v>
      </c>
      <c r="K33" s="1"/>
      <c r="L33" s="1">
        <v>0.94665500000000002</v>
      </c>
      <c r="M33" s="21">
        <f t="shared" si="4"/>
        <v>85.109964430000005</v>
      </c>
      <c r="N33" s="1"/>
      <c r="O33" s="1">
        <v>0.24</v>
      </c>
      <c r="P33" s="21">
        <f t="shared" si="5"/>
        <v>529.75</v>
      </c>
      <c r="U33">
        <f t="shared" si="6"/>
        <v>0</v>
      </c>
      <c r="V33">
        <f t="shared" si="0"/>
        <v>0</v>
      </c>
      <c r="W33" s="35">
        <f t="shared" si="7"/>
        <v>0</v>
      </c>
      <c r="X33" s="36">
        <f t="shared" si="8"/>
        <v>0</v>
      </c>
      <c r="Y33" s="35">
        <f t="shared" si="9"/>
        <v>0</v>
      </c>
      <c r="Z33" s="36">
        <f t="shared" si="10"/>
        <v>0</v>
      </c>
      <c r="AB33" s="35">
        <f t="shared" si="11"/>
        <v>0</v>
      </c>
      <c r="AC33" s="36">
        <f t="shared" si="12"/>
        <v>0</v>
      </c>
      <c r="AD33" s="35">
        <f t="shared" si="13"/>
        <v>0</v>
      </c>
      <c r="AE33" s="36">
        <f t="shared" si="14"/>
        <v>0</v>
      </c>
      <c r="AG33" s="35">
        <f t="shared" si="15"/>
        <v>0</v>
      </c>
      <c r="AH33" s="36">
        <f t="shared" si="16"/>
        <v>0</v>
      </c>
      <c r="AI33" s="35">
        <f t="shared" si="17"/>
        <v>0</v>
      </c>
      <c r="AJ33" s="36">
        <f t="shared" si="18"/>
        <v>0</v>
      </c>
      <c r="AL33" s="35">
        <f t="shared" si="19"/>
        <v>0</v>
      </c>
      <c r="AM33" s="36">
        <f t="shared" si="20"/>
        <v>0</v>
      </c>
      <c r="AN33" s="35">
        <f t="shared" si="21"/>
        <v>0</v>
      </c>
      <c r="AO33" s="36">
        <f t="shared" si="22"/>
        <v>0</v>
      </c>
    </row>
    <row r="34" spans="2:41" x14ac:dyDescent="0.3">
      <c r="C34" s="1">
        <v>0.96303000000000005</v>
      </c>
      <c r="D34" s="21"/>
      <c r="E34" s="1">
        <v>0.94948100000000002</v>
      </c>
      <c r="F34" s="22">
        <f t="shared" si="1"/>
        <v>30.616014844999999</v>
      </c>
      <c r="G34" s="1"/>
      <c r="H34" s="1">
        <v>1.0010110000000001</v>
      </c>
      <c r="I34" s="22">
        <f t="shared" si="2"/>
        <v>9409.8037033000001</v>
      </c>
      <c r="J34" s="23">
        <f t="shared" si="3"/>
        <v>0.38257971297929277</v>
      </c>
      <c r="K34" s="1"/>
      <c r="L34" s="1">
        <v>0.95013700000000001</v>
      </c>
      <c r="M34" s="21">
        <f t="shared" si="4"/>
        <v>85.423017122000005</v>
      </c>
      <c r="N34" s="1"/>
      <c r="O34" s="1">
        <v>0.23</v>
      </c>
      <c r="P34" s="21">
        <f t="shared" si="5"/>
        <v>529.74</v>
      </c>
      <c r="U34">
        <f t="shared" si="6"/>
        <v>0</v>
      </c>
      <c r="V34">
        <f t="shared" si="0"/>
        <v>0</v>
      </c>
      <c r="W34" s="35">
        <f t="shared" si="7"/>
        <v>0</v>
      </c>
      <c r="X34" s="36">
        <f t="shared" si="8"/>
        <v>0</v>
      </c>
      <c r="Y34" s="35">
        <f t="shared" si="9"/>
        <v>0</v>
      </c>
      <c r="Z34" s="36">
        <f t="shared" si="10"/>
        <v>0</v>
      </c>
      <c r="AB34" s="35">
        <f t="shared" si="11"/>
        <v>0</v>
      </c>
      <c r="AC34" s="36">
        <f t="shared" si="12"/>
        <v>0</v>
      </c>
      <c r="AD34" s="35">
        <f t="shared" si="13"/>
        <v>0</v>
      </c>
      <c r="AE34" s="36">
        <f t="shared" si="14"/>
        <v>0</v>
      </c>
      <c r="AG34" s="35">
        <f t="shared" si="15"/>
        <v>0</v>
      </c>
      <c r="AH34" s="36">
        <f t="shared" si="16"/>
        <v>0</v>
      </c>
      <c r="AI34" s="35">
        <f t="shared" si="17"/>
        <v>0</v>
      </c>
      <c r="AJ34" s="36">
        <f t="shared" si="18"/>
        <v>0</v>
      </c>
      <c r="AL34" s="35">
        <f t="shared" si="19"/>
        <v>0</v>
      </c>
      <c r="AM34" s="36">
        <f t="shared" si="20"/>
        <v>0</v>
      </c>
      <c r="AN34" s="35">
        <f t="shared" si="21"/>
        <v>0</v>
      </c>
      <c r="AO34" s="36">
        <f t="shared" si="22"/>
        <v>0</v>
      </c>
    </row>
    <row r="35" spans="2:41" x14ac:dyDescent="0.3">
      <c r="C35" s="1">
        <v>0.96655000000000002</v>
      </c>
      <c r="D35" s="21"/>
      <c r="E35" s="1">
        <v>0.95295399999999997</v>
      </c>
      <c r="F35" s="22">
        <f t="shared" si="1"/>
        <v>30.728001729999995</v>
      </c>
      <c r="G35" s="1"/>
      <c r="H35" s="1">
        <v>1.0009680000000001</v>
      </c>
      <c r="I35" s="22">
        <f t="shared" si="2"/>
        <v>9409.3994903999992</v>
      </c>
      <c r="J35" s="23">
        <f t="shared" si="3"/>
        <v>0.38259614799785296</v>
      </c>
      <c r="K35" s="1"/>
      <c r="L35" s="1">
        <v>0.953596</v>
      </c>
      <c r="M35" s="21">
        <f t="shared" si="4"/>
        <v>85.734001976000002</v>
      </c>
      <c r="N35" s="1"/>
      <c r="O35" s="1">
        <v>0.23</v>
      </c>
      <c r="P35" s="21">
        <f t="shared" si="5"/>
        <v>529.74</v>
      </c>
      <c r="U35">
        <f t="shared" si="6"/>
        <v>0</v>
      </c>
      <c r="V35">
        <f t="shared" si="0"/>
        <v>0</v>
      </c>
      <c r="W35" s="35">
        <f t="shared" si="7"/>
        <v>0</v>
      </c>
      <c r="X35" s="36">
        <f t="shared" si="8"/>
        <v>0</v>
      </c>
      <c r="Y35" s="35">
        <f t="shared" si="9"/>
        <v>0</v>
      </c>
      <c r="Z35" s="36">
        <f t="shared" si="10"/>
        <v>0</v>
      </c>
      <c r="AB35" s="35">
        <f t="shared" si="11"/>
        <v>0</v>
      </c>
      <c r="AC35" s="36">
        <f t="shared" si="12"/>
        <v>0</v>
      </c>
      <c r="AD35" s="35">
        <f t="shared" si="13"/>
        <v>0</v>
      </c>
      <c r="AE35" s="36">
        <f t="shared" si="14"/>
        <v>0</v>
      </c>
      <c r="AG35" s="35">
        <f t="shared" si="15"/>
        <v>0</v>
      </c>
      <c r="AH35" s="36">
        <f t="shared" si="16"/>
        <v>0</v>
      </c>
      <c r="AI35" s="35">
        <f t="shared" si="17"/>
        <v>0</v>
      </c>
      <c r="AJ35" s="36">
        <f t="shared" si="18"/>
        <v>0</v>
      </c>
      <c r="AL35" s="35">
        <f t="shared" si="19"/>
        <v>0</v>
      </c>
      <c r="AM35" s="36">
        <f t="shared" si="20"/>
        <v>0</v>
      </c>
      <c r="AN35" s="35">
        <f t="shared" si="21"/>
        <v>0</v>
      </c>
      <c r="AO35" s="36">
        <f t="shared" si="22"/>
        <v>0</v>
      </c>
    </row>
    <row r="36" spans="2:41" x14ac:dyDescent="0.3">
      <c r="C36" s="1">
        <v>0.97008000000000005</v>
      </c>
      <c r="D36" s="21"/>
      <c r="E36" s="1">
        <v>0.95655100000000004</v>
      </c>
      <c r="F36" s="22">
        <f t="shared" si="1"/>
        <v>30.843986994999998</v>
      </c>
      <c r="G36" s="1"/>
      <c r="H36" s="1">
        <v>1.000904</v>
      </c>
      <c r="I36" s="22">
        <f t="shared" si="2"/>
        <v>9408.7978711999986</v>
      </c>
      <c r="J36" s="23">
        <f t="shared" si="3"/>
        <v>0.38262061203583447</v>
      </c>
      <c r="K36" s="1"/>
      <c r="L36" s="1">
        <v>0.95711100000000005</v>
      </c>
      <c r="M36" s="21">
        <f t="shared" si="4"/>
        <v>86.050021566000012</v>
      </c>
      <c r="N36" s="1"/>
      <c r="O36" s="1">
        <v>0.22</v>
      </c>
      <c r="P36" s="21">
        <f t="shared" si="5"/>
        <v>529.73</v>
      </c>
      <c r="U36">
        <f t="shared" si="6"/>
        <v>0</v>
      </c>
      <c r="V36">
        <f t="shared" si="0"/>
        <v>0</v>
      </c>
      <c r="W36" s="35">
        <f t="shared" si="7"/>
        <v>0</v>
      </c>
      <c r="X36" s="36">
        <f t="shared" si="8"/>
        <v>0</v>
      </c>
      <c r="Y36" s="35">
        <f t="shared" si="9"/>
        <v>0</v>
      </c>
      <c r="Z36" s="36">
        <f t="shared" si="10"/>
        <v>0</v>
      </c>
      <c r="AB36" s="35">
        <f t="shared" si="11"/>
        <v>0</v>
      </c>
      <c r="AC36" s="36">
        <f t="shared" si="12"/>
        <v>0</v>
      </c>
      <c r="AD36" s="35">
        <f t="shared" si="13"/>
        <v>0</v>
      </c>
      <c r="AE36" s="36">
        <f t="shared" si="14"/>
        <v>0</v>
      </c>
      <c r="AG36" s="35">
        <f t="shared" si="15"/>
        <v>0</v>
      </c>
      <c r="AH36" s="36">
        <f t="shared" si="16"/>
        <v>0</v>
      </c>
      <c r="AI36" s="35">
        <f t="shared" si="17"/>
        <v>0</v>
      </c>
      <c r="AJ36" s="36">
        <f t="shared" si="18"/>
        <v>0</v>
      </c>
      <c r="AL36" s="35">
        <f t="shared" si="19"/>
        <v>0</v>
      </c>
      <c r="AM36" s="36">
        <f t="shared" si="20"/>
        <v>0</v>
      </c>
      <c r="AN36" s="35">
        <f t="shared" si="21"/>
        <v>0</v>
      </c>
      <c r="AO36" s="36">
        <f t="shared" si="22"/>
        <v>0</v>
      </c>
    </row>
    <row r="37" spans="2:41" x14ac:dyDescent="0.3">
      <c r="C37" s="1">
        <v>0.97362000000000004</v>
      </c>
      <c r="D37" s="21"/>
      <c r="E37" s="1">
        <v>0.96005600000000002</v>
      </c>
      <c r="F37" s="22">
        <f t="shared" si="1"/>
        <v>30.957005719999998</v>
      </c>
      <c r="G37" s="1"/>
      <c r="H37" s="1">
        <v>1.0008189999999999</v>
      </c>
      <c r="I37" s="22">
        <f t="shared" si="2"/>
        <v>9407.9988456999981</v>
      </c>
      <c r="J37" s="23">
        <f t="shared" si="3"/>
        <v>0.38265310817352077</v>
      </c>
      <c r="K37" s="1"/>
      <c r="L37" s="1">
        <v>0.96060299999999998</v>
      </c>
      <c r="M37" s="21">
        <f t="shared" si="4"/>
        <v>86.363973318000006</v>
      </c>
      <c r="N37" s="1"/>
      <c r="O37" s="1">
        <v>0.2</v>
      </c>
      <c r="P37" s="21">
        <f t="shared" si="5"/>
        <v>529.71</v>
      </c>
      <c r="U37">
        <f t="shared" si="6"/>
        <v>0</v>
      </c>
      <c r="V37">
        <f t="shared" si="0"/>
        <v>0</v>
      </c>
      <c r="W37" s="35">
        <f t="shared" si="7"/>
        <v>0</v>
      </c>
      <c r="X37" s="36">
        <f t="shared" si="8"/>
        <v>0</v>
      </c>
      <c r="Y37" s="35">
        <f t="shared" si="9"/>
        <v>0</v>
      </c>
      <c r="Z37" s="36">
        <f t="shared" si="10"/>
        <v>0</v>
      </c>
      <c r="AB37" s="35">
        <f t="shared" si="11"/>
        <v>0</v>
      </c>
      <c r="AC37" s="36">
        <f t="shared" si="12"/>
        <v>0</v>
      </c>
      <c r="AD37" s="35">
        <f t="shared" si="13"/>
        <v>0</v>
      </c>
      <c r="AE37" s="36">
        <f t="shared" si="14"/>
        <v>0</v>
      </c>
      <c r="AG37" s="35">
        <f t="shared" si="15"/>
        <v>0</v>
      </c>
      <c r="AH37" s="36">
        <f t="shared" si="16"/>
        <v>0</v>
      </c>
      <c r="AI37" s="35">
        <f t="shared" si="17"/>
        <v>0</v>
      </c>
      <c r="AJ37" s="36">
        <f t="shared" si="18"/>
        <v>0</v>
      </c>
      <c r="AL37" s="35">
        <f t="shared" si="19"/>
        <v>0</v>
      </c>
      <c r="AM37" s="36">
        <f t="shared" si="20"/>
        <v>0</v>
      </c>
      <c r="AN37" s="35">
        <f t="shared" si="21"/>
        <v>0</v>
      </c>
      <c r="AO37" s="36">
        <f t="shared" si="22"/>
        <v>0</v>
      </c>
    </row>
    <row r="38" spans="2:41" x14ac:dyDescent="0.3">
      <c r="C38" s="1">
        <v>0.97716999999999998</v>
      </c>
      <c r="D38" s="21"/>
      <c r="E38" s="1">
        <v>0.96371499999999999</v>
      </c>
      <c r="F38" s="22">
        <f t="shared" si="1"/>
        <v>31.074990174999996</v>
      </c>
      <c r="G38" s="1"/>
      <c r="H38" s="1">
        <v>1.000691</v>
      </c>
      <c r="I38" s="22">
        <f t="shared" si="2"/>
        <v>9406.7956072999987</v>
      </c>
      <c r="J38" s="23">
        <f t="shared" si="3"/>
        <v>0.38270205394983553</v>
      </c>
      <c r="K38" s="1"/>
      <c r="L38" s="1">
        <v>0.96417399999999998</v>
      </c>
      <c r="M38" s="21">
        <f t="shared" si="4"/>
        <v>86.685027644000002</v>
      </c>
      <c r="N38" s="1"/>
      <c r="O38" s="1">
        <v>0.15</v>
      </c>
      <c r="P38" s="21">
        <f t="shared" si="5"/>
        <v>529.66</v>
      </c>
      <c r="U38">
        <f t="shared" si="6"/>
        <v>0</v>
      </c>
      <c r="V38">
        <f t="shared" si="0"/>
        <v>0</v>
      </c>
      <c r="W38" s="35">
        <f t="shared" si="7"/>
        <v>0</v>
      </c>
      <c r="X38" s="36">
        <f t="shared" si="8"/>
        <v>0</v>
      </c>
      <c r="Y38" s="35">
        <f t="shared" si="9"/>
        <v>0</v>
      </c>
      <c r="Z38" s="36">
        <f t="shared" si="10"/>
        <v>0</v>
      </c>
      <c r="AB38" s="35">
        <f t="shared" si="11"/>
        <v>0</v>
      </c>
      <c r="AC38" s="36">
        <f t="shared" si="12"/>
        <v>0</v>
      </c>
      <c r="AD38" s="35">
        <f t="shared" si="13"/>
        <v>0</v>
      </c>
      <c r="AE38" s="36">
        <f t="shared" si="14"/>
        <v>0</v>
      </c>
      <c r="AG38" s="35">
        <f t="shared" si="15"/>
        <v>0</v>
      </c>
      <c r="AH38" s="36">
        <f t="shared" si="16"/>
        <v>0</v>
      </c>
      <c r="AI38" s="35">
        <f t="shared" si="17"/>
        <v>0</v>
      </c>
      <c r="AJ38" s="36">
        <f t="shared" si="18"/>
        <v>0</v>
      </c>
      <c r="AL38" s="35">
        <f t="shared" si="19"/>
        <v>0</v>
      </c>
      <c r="AM38" s="36">
        <f t="shared" si="20"/>
        <v>0</v>
      </c>
      <c r="AN38" s="35">
        <f t="shared" si="21"/>
        <v>0</v>
      </c>
      <c r="AO38" s="36">
        <f t="shared" si="22"/>
        <v>0</v>
      </c>
    </row>
    <row r="39" spans="2:41" x14ac:dyDescent="0.3">
      <c r="C39" s="1">
        <v>0.98072999999999999</v>
      </c>
      <c r="D39" s="21"/>
      <c r="E39" s="1">
        <v>0.96728199999999998</v>
      </c>
      <c r="F39" s="22">
        <f t="shared" si="1"/>
        <v>31.190008089999996</v>
      </c>
      <c r="G39" s="1"/>
      <c r="H39" s="1">
        <v>1.0006170000000001</v>
      </c>
      <c r="I39" s="22">
        <f t="shared" si="2"/>
        <v>9406.0999850999997</v>
      </c>
      <c r="J39" s="23">
        <f t="shared" si="3"/>
        <v>0.3827303564391919</v>
      </c>
      <c r="K39" s="1"/>
      <c r="L39" s="1">
        <v>0.96771099999999999</v>
      </c>
      <c r="M39" s="21">
        <f t="shared" si="4"/>
        <v>87.003025166</v>
      </c>
      <c r="N39" s="1"/>
      <c r="O39" s="1">
        <v>0.13</v>
      </c>
      <c r="P39" s="21">
        <f t="shared" si="5"/>
        <v>529.64</v>
      </c>
      <c r="U39">
        <f t="shared" si="6"/>
        <v>0</v>
      </c>
      <c r="V39">
        <f t="shared" si="0"/>
        <v>0</v>
      </c>
      <c r="W39" s="35">
        <f t="shared" si="7"/>
        <v>0</v>
      </c>
      <c r="X39" s="36">
        <f t="shared" si="8"/>
        <v>0</v>
      </c>
      <c r="Y39" s="35">
        <f t="shared" si="9"/>
        <v>0</v>
      </c>
      <c r="Z39" s="36">
        <f t="shared" si="10"/>
        <v>0</v>
      </c>
      <c r="AB39" s="35">
        <f t="shared" si="11"/>
        <v>0</v>
      </c>
      <c r="AC39" s="36">
        <f t="shared" si="12"/>
        <v>0</v>
      </c>
      <c r="AD39" s="35">
        <f t="shared" si="13"/>
        <v>0</v>
      </c>
      <c r="AE39" s="36">
        <f t="shared" si="14"/>
        <v>0</v>
      </c>
      <c r="AG39" s="35">
        <f t="shared" si="15"/>
        <v>0</v>
      </c>
      <c r="AH39" s="36">
        <f t="shared" si="16"/>
        <v>0</v>
      </c>
      <c r="AI39" s="35">
        <f t="shared" si="17"/>
        <v>0</v>
      </c>
      <c r="AJ39" s="36">
        <f t="shared" si="18"/>
        <v>0</v>
      </c>
      <c r="AL39" s="35">
        <f t="shared" si="19"/>
        <v>0</v>
      </c>
      <c r="AM39" s="36">
        <f t="shared" si="20"/>
        <v>0</v>
      </c>
      <c r="AN39" s="35">
        <f t="shared" si="21"/>
        <v>0</v>
      </c>
      <c r="AO39" s="36">
        <f t="shared" si="22"/>
        <v>0</v>
      </c>
    </row>
    <row r="40" spans="2:41" x14ac:dyDescent="0.3">
      <c r="C40" s="1">
        <v>0.98429999999999995</v>
      </c>
      <c r="D40" s="21"/>
      <c r="E40" s="1">
        <v>0.97087900000000005</v>
      </c>
      <c r="F40" s="22">
        <f t="shared" si="1"/>
        <v>31.305993354999998</v>
      </c>
      <c r="G40" s="1"/>
      <c r="H40" s="1">
        <v>1.000553</v>
      </c>
      <c r="I40" s="22">
        <f t="shared" si="2"/>
        <v>9405.498365899999</v>
      </c>
      <c r="J40" s="23">
        <f t="shared" si="3"/>
        <v>0.38275483764389778</v>
      </c>
      <c r="K40" s="1"/>
      <c r="L40" s="1">
        <v>0.97125899999999998</v>
      </c>
      <c r="M40" s="21">
        <f t="shared" si="4"/>
        <v>87.322011654000008</v>
      </c>
      <c r="N40" s="1"/>
      <c r="O40" s="1">
        <v>0.12</v>
      </c>
      <c r="P40" s="21">
        <f t="shared" si="5"/>
        <v>529.63</v>
      </c>
      <c r="U40">
        <f t="shared" si="6"/>
        <v>0</v>
      </c>
      <c r="V40">
        <f t="shared" si="0"/>
        <v>0</v>
      </c>
      <c r="W40" s="35">
        <f t="shared" si="7"/>
        <v>0</v>
      </c>
      <c r="X40" s="36">
        <f t="shared" si="8"/>
        <v>0</v>
      </c>
      <c r="Y40" s="35">
        <f t="shared" si="9"/>
        <v>0</v>
      </c>
      <c r="Z40" s="36">
        <f t="shared" si="10"/>
        <v>0</v>
      </c>
      <c r="AB40" s="35">
        <f t="shared" si="11"/>
        <v>0</v>
      </c>
      <c r="AC40" s="36">
        <f t="shared" si="12"/>
        <v>0</v>
      </c>
      <c r="AD40" s="35">
        <f t="shared" si="13"/>
        <v>0</v>
      </c>
      <c r="AE40" s="36">
        <f t="shared" si="14"/>
        <v>0</v>
      </c>
      <c r="AG40" s="35">
        <f t="shared" si="15"/>
        <v>0</v>
      </c>
      <c r="AH40" s="36">
        <f t="shared" si="16"/>
        <v>0</v>
      </c>
      <c r="AI40" s="35">
        <f t="shared" si="17"/>
        <v>0</v>
      </c>
      <c r="AJ40" s="36">
        <f t="shared" si="18"/>
        <v>0</v>
      </c>
      <c r="AL40" s="35">
        <f t="shared" si="19"/>
        <v>0</v>
      </c>
      <c r="AM40" s="36">
        <f t="shared" si="20"/>
        <v>0</v>
      </c>
      <c r="AN40" s="35">
        <f t="shared" si="21"/>
        <v>0</v>
      </c>
      <c r="AO40" s="36">
        <f t="shared" si="22"/>
        <v>0</v>
      </c>
    </row>
    <row r="41" spans="2:41" x14ac:dyDescent="0.3">
      <c r="C41" s="1">
        <v>0.98787999999999998</v>
      </c>
      <c r="D41" s="21"/>
      <c r="E41" s="1">
        <v>0.97447700000000004</v>
      </c>
      <c r="F41" s="22">
        <f t="shared" si="1"/>
        <v>31.422010864999997</v>
      </c>
      <c r="G41" s="1"/>
      <c r="H41" s="1">
        <v>1.0004789999999999</v>
      </c>
      <c r="I41" s="22">
        <f t="shared" si="2"/>
        <v>9404.8027436999982</v>
      </c>
      <c r="J41" s="23">
        <f t="shared" si="3"/>
        <v>0.38278314794125101</v>
      </c>
      <c r="K41" s="1"/>
      <c r="L41" s="1">
        <v>0.97480699999999998</v>
      </c>
      <c r="M41" s="21">
        <f t="shared" si="4"/>
        <v>87.640998142000001</v>
      </c>
      <c r="N41" s="1"/>
      <c r="O41" s="1">
        <v>0.1</v>
      </c>
      <c r="P41" s="21">
        <f t="shared" si="5"/>
        <v>529.61</v>
      </c>
      <c r="U41">
        <f t="shared" si="6"/>
        <v>0</v>
      </c>
      <c r="V41">
        <f t="shared" si="0"/>
        <v>0</v>
      </c>
      <c r="W41" s="35">
        <f t="shared" si="7"/>
        <v>0</v>
      </c>
      <c r="X41" s="36">
        <f t="shared" si="8"/>
        <v>0</v>
      </c>
      <c r="Y41" s="35">
        <f t="shared" si="9"/>
        <v>0</v>
      </c>
      <c r="Z41" s="36">
        <f t="shared" si="10"/>
        <v>0</v>
      </c>
      <c r="AB41" s="35">
        <f t="shared" si="11"/>
        <v>0</v>
      </c>
      <c r="AC41" s="36">
        <f t="shared" si="12"/>
        <v>0</v>
      </c>
      <c r="AD41" s="35">
        <f t="shared" si="13"/>
        <v>0</v>
      </c>
      <c r="AE41" s="36">
        <f t="shared" si="14"/>
        <v>0</v>
      </c>
      <c r="AG41" s="35">
        <f t="shared" si="15"/>
        <v>0</v>
      </c>
      <c r="AH41" s="36">
        <f t="shared" si="16"/>
        <v>0</v>
      </c>
      <c r="AI41" s="35">
        <f t="shared" si="17"/>
        <v>0</v>
      </c>
      <c r="AJ41" s="36">
        <f t="shared" si="18"/>
        <v>0</v>
      </c>
      <c r="AL41" s="35">
        <f t="shared" si="19"/>
        <v>0</v>
      </c>
      <c r="AM41" s="36">
        <f t="shared" si="20"/>
        <v>0</v>
      </c>
      <c r="AN41" s="35">
        <f t="shared" si="21"/>
        <v>0</v>
      </c>
      <c r="AO41" s="36">
        <f t="shared" si="22"/>
        <v>0</v>
      </c>
    </row>
    <row r="42" spans="2:41" x14ac:dyDescent="0.3">
      <c r="C42" s="1">
        <v>0.99146999999999996</v>
      </c>
      <c r="D42" s="21"/>
      <c r="E42" s="1">
        <v>0.978105</v>
      </c>
      <c r="F42" s="22">
        <f t="shared" si="1"/>
        <v>31.538995724999996</v>
      </c>
      <c r="G42" s="1"/>
      <c r="H42" s="1">
        <v>1.0004040000000001</v>
      </c>
      <c r="I42" s="22">
        <f t="shared" si="2"/>
        <v>9404.0977211999998</v>
      </c>
      <c r="J42" s="23">
        <f t="shared" si="3"/>
        <v>0.38281184508370097</v>
      </c>
      <c r="K42" s="1"/>
      <c r="L42" s="1">
        <v>0.97837700000000005</v>
      </c>
      <c r="M42" s="21">
        <f t="shared" si="4"/>
        <v>87.961962562000011</v>
      </c>
      <c r="N42" s="1"/>
      <c r="O42" s="1">
        <v>0.09</v>
      </c>
      <c r="P42" s="21">
        <f t="shared" si="5"/>
        <v>529.6</v>
      </c>
      <c r="U42">
        <f t="shared" si="6"/>
        <v>0</v>
      </c>
      <c r="V42">
        <f t="shared" si="0"/>
        <v>0</v>
      </c>
      <c r="W42" s="35">
        <f t="shared" si="7"/>
        <v>0</v>
      </c>
      <c r="X42" s="36">
        <f t="shared" si="8"/>
        <v>0</v>
      </c>
      <c r="Y42" s="35">
        <f t="shared" si="9"/>
        <v>0</v>
      </c>
      <c r="Z42" s="36">
        <f t="shared" si="10"/>
        <v>0</v>
      </c>
      <c r="AB42" s="35">
        <f t="shared" si="11"/>
        <v>0</v>
      </c>
      <c r="AC42" s="36">
        <f t="shared" si="12"/>
        <v>0</v>
      </c>
      <c r="AD42" s="35">
        <f t="shared" si="13"/>
        <v>0</v>
      </c>
      <c r="AE42" s="36">
        <f t="shared" si="14"/>
        <v>0</v>
      </c>
      <c r="AG42" s="35">
        <f t="shared" si="15"/>
        <v>0</v>
      </c>
      <c r="AH42" s="36">
        <f t="shared" si="16"/>
        <v>0</v>
      </c>
      <c r="AI42" s="35">
        <f t="shared" si="17"/>
        <v>0</v>
      </c>
      <c r="AJ42" s="36">
        <f t="shared" si="18"/>
        <v>0</v>
      </c>
      <c r="AL42" s="35">
        <f t="shared" si="19"/>
        <v>0</v>
      </c>
      <c r="AM42" s="36">
        <f t="shared" si="20"/>
        <v>0</v>
      </c>
      <c r="AN42" s="35">
        <f t="shared" si="21"/>
        <v>0</v>
      </c>
      <c r="AO42" s="36">
        <f t="shared" si="22"/>
        <v>0</v>
      </c>
    </row>
    <row r="43" spans="2:41" x14ac:dyDescent="0.3">
      <c r="C43" s="1">
        <v>0.99507999999999996</v>
      </c>
      <c r="D43" s="21"/>
      <c r="E43" s="1">
        <v>0.981734</v>
      </c>
      <c r="F43" s="22">
        <f t="shared" si="1"/>
        <v>31.656012829999998</v>
      </c>
      <c r="G43" s="1"/>
      <c r="H43" s="1">
        <v>1.00034</v>
      </c>
      <c r="I43" s="22">
        <f t="shared" si="2"/>
        <v>9403.4961019999992</v>
      </c>
      <c r="J43" s="23">
        <f t="shared" si="3"/>
        <v>0.38283633671463185</v>
      </c>
      <c r="K43" s="1"/>
      <c r="L43" s="1">
        <v>0.98195900000000003</v>
      </c>
      <c r="M43" s="21">
        <f t="shared" si="4"/>
        <v>88.284005854000014</v>
      </c>
      <c r="N43" s="1"/>
      <c r="O43" s="1">
        <v>7.0000000000000007E-2</v>
      </c>
      <c r="P43" s="21">
        <f t="shared" si="5"/>
        <v>529.58000000000004</v>
      </c>
      <c r="U43">
        <f t="shared" si="6"/>
        <v>0</v>
      </c>
      <c r="V43">
        <f t="shared" si="0"/>
        <v>0</v>
      </c>
      <c r="W43" s="35">
        <f t="shared" si="7"/>
        <v>0</v>
      </c>
      <c r="X43" s="36">
        <f t="shared" si="8"/>
        <v>0</v>
      </c>
      <c r="Y43" s="35">
        <f t="shared" si="9"/>
        <v>0</v>
      </c>
      <c r="Z43" s="36">
        <f t="shared" si="10"/>
        <v>0</v>
      </c>
      <c r="AB43" s="35">
        <f t="shared" si="11"/>
        <v>0</v>
      </c>
      <c r="AC43" s="36">
        <f t="shared" si="12"/>
        <v>0</v>
      </c>
      <c r="AD43" s="35">
        <f t="shared" si="13"/>
        <v>0</v>
      </c>
      <c r="AE43" s="36">
        <f t="shared" si="14"/>
        <v>0</v>
      </c>
      <c r="AG43" s="35">
        <f t="shared" si="15"/>
        <v>0</v>
      </c>
      <c r="AH43" s="36">
        <f t="shared" si="16"/>
        <v>0</v>
      </c>
      <c r="AI43" s="35">
        <f t="shared" si="17"/>
        <v>0</v>
      </c>
      <c r="AJ43" s="36">
        <f t="shared" si="18"/>
        <v>0</v>
      </c>
      <c r="AL43" s="35">
        <f t="shared" si="19"/>
        <v>0</v>
      </c>
      <c r="AM43" s="36">
        <f t="shared" si="20"/>
        <v>0</v>
      </c>
      <c r="AN43" s="35">
        <f t="shared" si="21"/>
        <v>0</v>
      </c>
      <c r="AO43" s="36">
        <f t="shared" si="22"/>
        <v>0</v>
      </c>
    </row>
    <row r="44" spans="2:41" x14ac:dyDescent="0.3">
      <c r="C44" s="1">
        <v>0.99868999999999997</v>
      </c>
      <c r="D44" s="21"/>
      <c r="E44" s="1">
        <v>0.98536199999999996</v>
      </c>
      <c r="F44" s="22">
        <f t="shared" si="1"/>
        <v>31.772997689999997</v>
      </c>
      <c r="G44" s="1"/>
      <c r="H44" s="1">
        <v>1.0002660000000001</v>
      </c>
      <c r="I44" s="22">
        <f t="shared" si="2"/>
        <v>9402.8004798000002</v>
      </c>
      <c r="J44" s="23">
        <f t="shared" si="3"/>
        <v>0.38286465906980222</v>
      </c>
      <c r="K44" s="1"/>
      <c r="L44" s="1">
        <v>0.98555199999999998</v>
      </c>
      <c r="M44" s="21">
        <f t="shared" si="4"/>
        <v>88.607038111999998</v>
      </c>
      <c r="N44" s="1"/>
      <c r="O44" s="1">
        <v>0.06</v>
      </c>
      <c r="P44" s="21">
        <f t="shared" si="5"/>
        <v>529.56999999999994</v>
      </c>
      <c r="U44">
        <f t="shared" si="6"/>
        <v>0</v>
      </c>
      <c r="V44">
        <f t="shared" si="0"/>
        <v>0</v>
      </c>
      <c r="W44" s="35">
        <f t="shared" si="7"/>
        <v>0</v>
      </c>
      <c r="X44" s="36">
        <f t="shared" si="8"/>
        <v>0</v>
      </c>
      <c r="Y44" s="35">
        <f t="shared" si="9"/>
        <v>0</v>
      </c>
      <c r="Z44" s="36">
        <f t="shared" si="10"/>
        <v>0</v>
      </c>
      <c r="AB44" s="35">
        <f t="shared" si="11"/>
        <v>0</v>
      </c>
      <c r="AC44" s="36">
        <f t="shared" si="12"/>
        <v>0</v>
      </c>
      <c r="AD44" s="35">
        <f t="shared" si="13"/>
        <v>0</v>
      </c>
      <c r="AE44" s="36">
        <f t="shared" si="14"/>
        <v>0</v>
      </c>
      <c r="AG44" s="35">
        <f t="shared" si="15"/>
        <v>0</v>
      </c>
      <c r="AH44" s="36">
        <f t="shared" si="16"/>
        <v>0</v>
      </c>
      <c r="AI44" s="35">
        <f t="shared" si="17"/>
        <v>0</v>
      </c>
      <c r="AJ44" s="36">
        <f t="shared" si="18"/>
        <v>0</v>
      </c>
      <c r="AL44" s="35">
        <f t="shared" si="19"/>
        <v>0</v>
      </c>
      <c r="AM44" s="36">
        <f t="shared" si="20"/>
        <v>0</v>
      </c>
      <c r="AN44" s="35">
        <f t="shared" si="21"/>
        <v>0</v>
      </c>
      <c r="AO44" s="36">
        <f t="shared" si="22"/>
        <v>0</v>
      </c>
    </row>
    <row r="45" spans="2:41" x14ac:dyDescent="0.3">
      <c r="C45" s="1">
        <v>1.0023200000000001</v>
      </c>
      <c r="D45" s="21"/>
      <c r="E45" s="1">
        <v>0.98899099999999995</v>
      </c>
      <c r="F45" s="22">
        <f t="shared" si="1"/>
        <v>31.890014794999995</v>
      </c>
      <c r="G45" s="1"/>
      <c r="H45" s="1">
        <v>1.000202</v>
      </c>
      <c r="I45" s="22">
        <f t="shared" si="2"/>
        <v>9402.1988605999995</v>
      </c>
      <c r="J45" s="23">
        <f t="shared" si="3"/>
        <v>0.38288915745930802</v>
      </c>
      <c r="K45" s="1"/>
      <c r="L45" s="1">
        <v>0.98913300000000004</v>
      </c>
      <c r="M45" s="21">
        <f t="shared" si="4"/>
        <v>88.928991498000016</v>
      </c>
      <c r="N45" s="1"/>
      <c r="O45" s="1">
        <v>0.05</v>
      </c>
      <c r="P45" s="21">
        <f t="shared" si="5"/>
        <v>529.55999999999995</v>
      </c>
      <c r="U45">
        <f t="shared" si="6"/>
        <v>0</v>
      </c>
      <c r="V45">
        <f t="shared" si="0"/>
        <v>0</v>
      </c>
      <c r="W45" s="35">
        <f t="shared" si="7"/>
        <v>0</v>
      </c>
      <c r="X45" s="36">
        <f t="shared" si="8"/>
        <v>0</v>
      </c>
      <c r="Y45" s="35">
        <f t="shared" si="9"/>
        <v>0</v>
      </c>
      <c r="Z45" s="36">
        <f t="shared" si="10"/>
        <v>0</v>
      </c>
      <c r="AB45" s="35">
        <f t="shared" si="11"/>
        <v>0</v>
      </c>
      <c r="AC45" s="36">
        <f t="shared" si="12"/>
        <v>0</v>
      </c>
      <c r="AD45" s="35">
        <f t="shared" si="13"/>
        <v>0</v>
      </c>
      <c r="AE45" s="36">
        <f t="shared" si="14"/>
        <v>0</v>
      </c>
      <c r="AG45" s="35">
        <f t="shared" si="15"/>
        <v>0</v>
      </c>
      <c r="AH45" s="36">
        <f t="shared" si="16"/>
        <v>0</v>
      </c>
      <c r="AI45" s="35">
        <f t="shared" si="17"/>
        <v>0</v>
      </c>
      <c r="AJ45" s="36">
        <f t="shared" si="18"/>
        <v>0</v>
      </c>
      <c r="AL45" s="35">
        <f t="shared" si="19"/>
        <v>0</v>
      </c>
      <c r="AM45" s="36">
        <f t="shared" si="20"/>
        <v>0</v>
      </c>
      <c r="AN45" s="35">
        <f t="shared" si="21"/>
        <v>0</v>
      </c>
      <c r="AO45" s="36">
        <f t="shared" si="22"/>
        <v>0</v>
      </c>
    </row>
    <row r="46" spans="2:41" x14ac:dyDescent="0.3">
      <c r="C46" s="1">
        <v>1.0059499999999999</v>
      </c>
      <c r="D46" s="21"/>
      <c r="E46" s="1">
        <v>0.99268100000000004</v>
      </c>
      <c r="F46" s="22">
        <f t="shared" si="1"/>
        <v>32.008998845000001</v>
      </c>
      <c r="G46" s="1"/>
      <c r="H46" s="1">
        <v>1.0001279999999999</v>
      </c>
      <c r="I46" s="22">
        <f t="shared" si="2"/>
        <v>9401.5032383999987</v>
      </c>
      <c r="J46" s="23">
        <f t="shared" si="3"/>
        <v>0.38291748763069816</v>
      </c>
      <c r="K46" s="1"/>
      <c r="L46" s="1">
        <v>0.99275899999999995</v>
      </c>
      <c r="M46" s="21">
        <f t="shared" si="4"/>
        <v>89.254990653999997</v>
      </c>
      <c r="N46" s="1"/>
      <c r="O46" s="1">
        <v>0.03</v>
      </c>
      <c r="P46" s="21">
        <f t="shared" si="5"/>
        <v>529.54</v>
      </c>
      <c r="U46">
        <f t="shared" si="6"/>
        <v>0</v>
      </c>
      <c r="V46">
        <f t="shared" si="0"/>
        <v>0</v>
      </c>
      <c r="W46" s="35">
        <f t="shared" si="7"/>
        <v>0</v>
      </c>
      <c r="X46" s="36">
        <f t="shared" si="8"/>
        <v>0</v>
      </c>
      <c r="Y46" s="35">
        <f t="shared" si="9"/>
        <v>0</v>
      </c>
      <c r="Z46" s="36">
        <f t="shared" si="10"/>
        <v>0</v>
      </c>
      <c r="AB46" s="35">
        <f t="shared" si="11"/>
        <v>0</v>
      </c>
      <c r="AC46" s="36">
        <f t="shared" si="12"/>
        <v>0</v>
      </c>
      <c r="AD46" s="35">
        <f t="shared" si="13"/>
        <v>0</v>
      </c>
      <c r="AE46" s="36">
        <f t="shared" si="14"/>
        <v>0</v>
      </c>
      <c r="AG46" s="35">
        <f t="shared" si="15"/>
        <v>0</v>
      </c>
      <c r="AH46" s="36">
        <f t="shared" si="16"/>
        <v>0</v>
      </c>
      <c r="AI46" s="35">
        <f t="shared" si="17"/>
        <v>0</v>
      </c>
      <c r="AJ46" s="36">
        <f t="shared" si="18"/>
        <v>0</v>
      </c>
      <c r="AL46" s="35">
        <f t="shared" si="19"/>
        <v>0</v>
      </c>
      <c r="AM46" s="36">
        <f t="shared" si="20"/>
        <v>0</v>
      </c>
      <c r="AN46" s="35">
        <f t="shared" si="21"/>
        <v>0</v>
      </c>
      <c r="AO46" s="36">
        <f t="shared" si="22"/>
        <v>0</v>
      </c>
    </row>
    <row r="47" spans="2:41" x14ac:dyDescent="0.3">
      <c r="C47" s="1">
        <v>1.0096000000000001</v>
      </c>
      <c r="D47" s="21"/>
      <c r="E47" s="1">
        <v>0.99631000000000003</v>
      </c>
      <c r="F47" s="22">
        <f t="shared" si="1"/>
        <v>32.126015949999996</v>
      </c>
      <c r="G47" s="1"/>
      <c r="H47" s="1">
        <v>1.0000530000000001</v>
      </c>
      <c r="I47" s="22">
        <f t="shared" si="2"/>
        <v>9400.7982159000003</v>
      </c>
      <c r="J47" s="23">
        <f t="shared" si="3"/>
        <v>0.38294620492025405</v>
      </c>
      <c r="K47" s="1"/>
      <c r="L47" s="1">
        <v>0.996363</v>
      </c>
      <c r="M47" s="21">
        <f t="shared" si="4"/>
        <v>89.579011878000003</v>
      </c>
      <c r="N47" s="1"/>
      <c r="O47" s="1">
        <v>0.01</v>
      </c>
      <c r="P47" s="21">
        <f t="shared" si="5"/>
        <v>529.52</v>
      </c>
      <c r="S47" s="15"/>
      <c r="T47" s="15"/>
      <c r="U47" s="15">
        <f t="shared" si="6"/>
        <v>0</v>
      </c>
      <c r="V47" s="15" t="str">
        <f t="shared" si="0"/>
        <v>min</v>
      </c>
      <c r="W47" s="35">
        <f t="shared" si="7"/>
        <v>32.126015949999996</v>
      </c>
      <c r="X47" s="36">
        <f t="shared" si="8"/>
        <v>1.0096000000000001</v>
      </c>
      <c r="Y47" s="35">
        <f t="shared" si="9"/>
        <v>0</v>
      </c>
      <c r="Z47" s="36">
        <f t="shared" si="10"/>
        <v>0</v>
      </c>
      <c r="AB47" s="35">
        <f t="shared" si="11"/>
        <v>9400.7982159000003</v>
      </c>
      <c r="AC47" s="36">
        <f t="shared" si="12"/>
        <v>1.0096000000000001</v>
      </c>
      <c r="AD47" s="35">
        <f t="shared" si="13"/>
        <v>0</v>
      </c>
      <c r="AE47" s="36">
        <f t="shared" si="14"/>
        <v>0</v>
      </c>
      <c r="AG47" s="35">
        <f t="shared" si="15"/>
        <v>89.579011878000003</v>
      </c>
      <c r="AH47" s="36">
        <f t="shared" si="16"/>
        <v>1.0096000000000001</v>
      </c>
      <c r="AI47" s="35">
        <f t="shared" si="17"/>
        <v>0</v>
      </c>
      <c r="AJ47" s="36">
        <f t="shared" si="18"/>
        <v>0</v>
      </c>
      <c r="AL47" s="35">
        <f t="shared" si="19"/>
        <v>529.52</v>
      </c>
      <c r="AM47" s="36">
        <f t="shared" si="20"/>
        <v>1.0096000000000001</v>
      </c>
      <c r="AN47" s="35">
        <f t="shared" si="21"/>
        <v>0</v>
      </c>
      <c r="AO47" s="36">
        <f t="shared" si="22"/>
        <v>0</v>
      </c>
    </row>
    <row r="48" spans="2:41" x14ac:dyDescent="0.3">
      <c r="B48" s="3" t="s">
        <v>16</v>
      </c>
      <c r="C48" s="10">
        <v>1.01325</v>
      </c>
      <c r="D48" s="25"/>
      <c r="E48" s="10">
        <v>1</v>
      </c>
      <c r="F48" s="25">
        <f t="shared" si="1"/>
        <v>32.244999999999997</v>
      </c>
      <c r="G48" s="10"/>
      <c r="H48" s="10">
        <v>1</v>
      </c>
      <c r="I48" s="25">
        <f t="shared" si="2"/>
        <v>9400.2999999999993</v>
      </c>
      <c r="J48" s="26">
        <f t="shared" si="3"/>
        <v>0.38296650106911484</v>
      </c>
      <c r="K48" s="10"/>
      <c r="L48" s="10">
        <v>1</v>
      </c>
      <c r="M48" s="25">
        <f t="shared" si="4"/>
        <v>89.906000000000006</v>
      </c>
      <c r="N48" s="10"/>
      <c r="O48" s="10">
        <v>0</v>
      </c>
      <c r="P48" s="25">
        <f t="shared" si="5"/>
        <v>529.51</v>
      </c>
      <c r="Q48" s="11"/>
      <c r="R48" s="11"/>
      <c r="S48" s="15"/>
      <c r="T48" s="15"/>
      <c r="U48" s="15">
        <f>IF($T$3&gt;C48,0,1)</f>
        <v>1</v>
      </c>
      <c r="V48" s="15" t="str">
        <f t="shared" si="0"/>
        <v>min</v>
      </c>
      <c r="W48" s="35">
        <f t="shared" si="7"/>
        <v>0</v>
      </c>
      <c r="X48" s="36">
        <f t="shared" si="8"/>
        <v>0</v>
      </c>
      <c r="Y48" s="35">
        <f t="shared" si="9"/>
        <v>32.244999999999997</v>
      </c>
      <c r="Z48" s="36">
        <f t="shared" si="10"/>
        <v>1.01325</v>
      </c>
      <c r="AB48" s="35">
        <f t="shared" si="11"/>
        <v>0</v>
      </c>
      <c r="AC48" s="36">
        <f t="shared" si="12"/>
        <v>0</v>
      </c>
      <c r="AD48" s="35">
        <f t="shared" si="13"/>
        <v>9400.2999999999993</v>
      </c>
      <c r="AE48" s="36">
        <f t="shared" si="14"/>
        <v>1.01325</v>
      </c>
      <c r="AG48" s="35">
        <f t="shared" si="15"/>
        <v>0</v>
      </c>
      <c r="AH48" s="36">
        <f t="shared" si="16"/>
        <v>0</v>
      </c>
      <c r="AI48" s="35">
        <f t="shared" si="17"/>
        <v>89.906000000000006</v>
      </c>
      <c r="AJ48" s="36">
        <f t="shared" si="18"/>
        <v>1.01325</v>
      </c>
      <c r="AL48" s="35">
        <f t="shared" si="19"/>
        <v>0</v>
      </c>
      <c r="AM48" s="36">
        <f t="shared" si="20"/>
        <v>0</v>
      </c>
      <c r="AN48" s="35">
        <f t="shared" si="21"/>
        <v>529.51</v>
      </c>
      <c r="AO48" s="36">
        <f t="shared" si="22"/>
        <v>1.01325</v>
      </c>
    </row>
    <row r="49" spans="3:41" x14ac:dyDescent="0.3">
      <c r="C49" s="1">
        <v>1.01692</v>
      </c>
      <c r="D49" s="21"/>
      <c r="E49" s="1">
        <v>1.00369</v>
      </c>
      <c r="F49" s="22">
        <f t="shared" si="1"/>
        <v>32.363984049999999</v>
      </c>
      <c r="G49" s="1"/>
      <c r="H49" s="1">
        <v>0.99992599999999998</v>
      </c>
      <c r="I49" s="22">
        <f t="shared" si="2"/>
        <v>9399.6043777999985</v>
      </c>
      <c r="J49" s="23">
        <f t="shared" si="3"/>
        <v>0.38299484268747375</v>
      </c>
      <c r="K49" s="1"/>
      <c r="L49" s="1">
        <v>1.0036369999999999</v>
      </c>
      <c r="M49" s="21">
        <f t="shared" si="4"/>
        <v>90.232988121999995</v>
      </c>
      <c r="N49" s="1"/>
      <c r="O49" s="1">
        <v>-0.01</v>
      </c>
      <c r="P49" s="21">
        <f t="shared" si="5"/>
        <v>529.5</v>
      </c>
      <c r="U49">
        <f t="shared" si="6"/>
        <v>1</v>
      </c>
      <c r="V49" t="str">
        <f t="shared" si="0"/>
        <v>min</v>
      </c>
      <c r="W49" s="35">
        <f t="shared" si="7"/>
        <v>0</v>
      </c>
      <c r="X49" s="36">
        <f t="shared" si="8"/>
        <v>0</v>
      </c>
      <c r="Y49" s="35">
        <f t="shared" si="9"/>
        <v>0</v>
      </c>
      <c r="Z49" s="36">
        <f t="shared" si="10"/>
        <v>0</v>
      </c>
      <c r="AB49" s="35">
        <f t="shared" si="11"/>
        <v>0</v>
      </c>
      <c r="AC49" s="36">
        <f t="shared" si="12"/>
        <v>0</v>
      </c>
      <c r="AD49" s="35">
        <f t="shared" si="13"/>
        <v>0</v>
      </c>
      <c r="AE49" s="36">
        <f t="shared" si="14"/>
        <v>0</v>
      </c>
      <c r="AG49" s="35">
        <f t="shared" si="15"/>
        <v>0</v>
      </c>
      <c r="AH49" s="36">
        <f t="shared" si="16"/>
        <v>0</v>
      </c>
      <c r="AI49" s="35">
        <f t="shared" si="17"/>
        <v>0</v>
      </c>
      <c r="AJ49" s="36">
        <f t="shared" si="18"/>
        <v>0</v>
      </c>
      <c r="AL49" s="35">
        <f t="shared" si="19"/>
        <v>0</v>
      </c>
      <c r="AM49" s="36">
        <f t="shared" si="20"/>
        <v>0</v>
      </c>
      <c r="AN49" s="35">
        <f t="shared" si="21"/>
        <v>0</v>
      </c>
      <c r="AO49" s="36">
        <f t="shared" si="22"/>
        <v>0</v>
      </c>
    </row>
    <row r="50" spans="3:41" x14ac:dyDescent="0.3">
      <c r="C50" s="1">
        <v>1.0206</v>
      </c>
      <c r="D50" s="21"/>
      <c r="E50" s="1">
        <v>1.0073810000000001</v>
      </c>
      <c r="F50" s="22">
        <f t="shared" si="1"/>
        <v>32.483000345000001</v>
      </c>
      <c r="G50" s="1"/>
      <c r="H50" s="1">
        <v>0.99986200000000003</v>
      </c>
      <c r="I50" s="22">
        <f t="shared" si="2"/>
        <v>9399.0027585999997</v>
      </c>
      <c r="J50" s="23">
        <f t="shared" si="3"/>
        <v>0.38301935774048301</v>
      </c>
      <c r="K50" s="1"/>
      <c r="L50" s="1">
        <v>1.007274</v>
      </c>
      <c r="M50" s="21">
        <f t="shared" si="4"/>
        <v>90.559976244000012</v>
      </c>
      <c r="N50" s="1"/>
      <c r="O50" s="1">
        <v>-0.03</v>
      </c>
      <c r="P50" s="21">
        <f t="shared" si="5"/>
        <v>529.48</v>
      </c>
      <c r="U50">
        <f t="shared" si="6"/>
        <v>1</v>
      </c>
      <c r="V50" t="str">
        <f>IF(U51=1, "min",0)</f>
        <v>min</v>
      </c>
      <c r="W50" s="35">
        <f t="shared" si="7"/>
        <v>0</v>
      </c>
      <c r="X50" s="36">
        <f t="shared" si="8"/>
        <v>0</v>
      </c>
      <c r="Y50" s="35">
        <f t="shared" si="9"/>
        <v>0</v>
      </c>
      <c r="Z50" s="36">
        <f t="shared" si="10"/>
        <v>0</v>
      </c>
      <c r="AB50" s="35">
        <f t="shared" si="11"/>
        <v>0</v>
      </c>
      <c r="AC50" s="36">
        <f t="shared" si="12"/>
        <v>0</v>
      </c>
      <c r="AD50" s="35">
        <f t="shared" si="13"/>
        <v>0</v>
      </c>
      <c r="AE50" s="36">
        <f t="shared" si="14"/>
        <v>0</v>
      </c>
      <c r="AG50" s="35">
        <f t="shared" si="15"/>
        <v>0</v>
      </c>
      <c r="AH50" s="36">
        <f t="shared" si="16"/>
        <v>0</v>
      </c>
      <c r="AI50" s="35">
        <f t="shared" si="17"/>
        <v>0</v>
      </c>
      <c r="AJ50" s="36">
        <f t="shared" si="18"/>
        <v>0</v>
      </c>
      <c r="AL50" s="35">
        <f t="shared" si="19"/>
        <v>0</v>
      </c>
      <c r="AM50" s="36">
        <f t="shared" si="20"/>
        <v>0</v>
      </c>
      <c r="AN50" s="35">
        <f t="shared" si="21"/>
        <v>0</v>
      </c>
      <c r="AO50" s="36">
        <f t="shared" si="22"/>
        <v>0</v>
      </c>
    </row>
    <row r="51" spans="3:41" x14ac:dyDescent="0.3">
      <c r="C51" s="1">
        <v>1.0242899999999999</v>
      </c>
      <c r="D51" s="21"/>
      <c r="E51" s="1">
        <v>1.0110710000000001</v>
      </c>
      <c r="F51" s="22">
        <f t="shared" si="1"/>
        <v>32.601984395000002</v>
      </c>
      <c r="G51" s="1"/>
      <c r="H51" s="1">
        <v>0.99978699999999998</v>
      </c>
      <c r="I51" s="22">
        <f t="shared" si="2"/>
        <v>9398.2977360999994</v>
      </c>
      <c r="J51" s="23">
        <f t="shared" si="3"/>
        <v>0.38304809031235137</v>
      </c>
      <c r="K51" s="1"/>
      <c r="L51" s="1">
        <v>1.010934</v>
      </c>
      <c r="M51" s="21">
        <f t="shared" si="4"/>
        <v>90.889032204000003</v>
      </c>
      <c r="N51" s="1"/>
      <c r="O51" s="1">
        <v>-0.04</v>
      </c>
      <c r="P51" s="21">
        <f t="shared" si="5"/>
        <v>529.47</v>
      </c>
      <c r="U51">
        <f t="shared" si="6"/>
        <v>1</v>
      </c>
      <c r="V51" t="str">
        <f t="shared" ref="V51:V53" si="23">IF(U52=1, "min",0)</f>
        <v>min</v>
      </c>
      <c r="W51" s="35">
        <f t="shared" si="7"/>
        <v>0</v>
      </c>
      <c r="X51" s="36">
        <f t="shared" si="8"/>
        <v>0</v>
      </c>
      <c r="Y51" s="35">
        <f t="shared" si="9"/>
        <v>0</v>
      </c>
      <c r="Z51" s="36">
        <f t="shared" si="10"/>
        <v>0</v>
      </c>
      <c r="AB51" s="35">
        <f t="shared" si="11"/>
        <v>0</v>
      </c>
      <c r="AC51" s="36">
        <f t="shared" si="12"/>
        <v>0</v>
      </c>
      <c r="AD51" s="35">
        <f t="shared" si="13"/>
        <v>0</v>
      </c>
      <c r="AE51" s="36">
        <f t="shared" si="14"/>
        <v>0</v>
      </c>
      <c r="AG51" s="35">
        <f t="shared" si="15"/>
        <v>0</v>
      </c>
      <c r="AH51" s="36">
        <f t="shared" si="16"/>
        <v>0</v>
      </c>
      <c r="AI51" s="35">
        <f t="shared" si="17"/>
        <v>0</v>
      </c>
      <c r="AJ51" s="36">
        <f t="shared" si="18"/>
        <v>0</v>
      </c>
      <c r="AL51" s="35">
        <f t="shared" si="19"/>
        <v>0</v>
      </c>
      <c r="AM51" s="36">
        <f t="shared" si="20"/>
        <v>0</v>
      </c>
      <c r="AN51" s="35">
        <f t="shared" si="21"/>
        <v>0</v>
      </c>
      <c r="AO51" s="36">
        <f t="shared" si="22"/>
        <v>0</v>
      </c>
    </row>
    <row r="52" spans="3:41" x14ac:dyDescent="0.3">
      <c r="C52" s="1">
        <v>1.02799</v>
      </c>
      <c r="D52" s="21"/>
      <c r="E52" s="1">
        <v>1.014731</v>
      </c>
      <c r="F52" s="22">
        <f t="shared" si="1"/>
        <v>32.720001095000001</v>
      </c>
      <c r="G52" s="1"/>
      <c r="H52" s="1">
        <v>0.99972300000000003</v>
      </c>
      <c r="I52" s="22">
        <f t="shared" si="2"/>
        <v>9397.6961168999987</v>
      </c>
      <c r="J52" s="23">
        <f t="shared" si="3"/>
        <v>0.38307261218268951</v>
      </c>
      <c r="K52" s="1"/>
      <c r="L52" s="1">
        <v>1.0145709999999999</v>
      </c>
      <c r="M52" s="21">
        <f t="shared" si="4"/>
        <v>91.216020325999992</v>
      </c>
      <c r="N52" s="1"/>
      <c r="O52" s="1">
        <v>-7.0000000000000007E-2</v>
      </c>
      <c r="P52" s="21">
        <f t="shared" si="5"/>
        <v>529.43999999999994</v>
      </c>
      <c r="U52">
        <f t="shared" si="6"/>
        <v>1</v>
      </c>
      <c r="V52" t="str">
        <f t="shared" si="23"/>
        <v>min</v>
      </c>
      <c r="W52" s="35">
        <f t="shared" si="7"/>
        <v>0</v>
      </c>
      <c r="X52" s="36">
        <f t="shared" si="8"/>
        <v>0</v>
      </c>
      <c r="Y52" s="35">
        <f t="shared" si="9"/>
        <v>0</v>
      </c>
      <c r="Z52" s="36">
        <f t="shared" si="10"/>
        <v>0</v>
      </c>
      <c r="AB52" s="35">
        <f t="shared" si="11"/>
        <v>0</v>
      </c>
      <c r="AC52" s="36">
        <f t="shared" ref="AC52" si="24">IF($AB52=0,0,$C52)</f>
        <v>0</v>
      </c>
      <c r="AD52" s="35">
        <f t="shared" si="13"/>
        <v>0</v>
      </c>
      <c r="AE52" s="36">
        <f t="shared" si="14"/>
        <v>0</v>
      </c>
      <c r="AG52" s="35">
        <f t="shared" si="15"/>
        <v>0</v>
      </c>
      <c r="AH52" s="36">
        <f t="shared" si="16"/>
        <v>0</v>
      </c>
      <c r="AI52" s="35">
        <f t="shared" si="17"/>
        <v>0</v>
      </c>
      <c r="AJ52" s="36">
        <f t="shared" si="18"/>
        <v>0</v>
      </c>
      <c r="AL52" s="35">
        <f t="shared" si="19"/>
        <v>0</v>
      </c>
      <c r="AM52" s="36">
        <f t="shared" si="20"/>
        <v>0</v>
      </c>
      <c r="AN52" s="35">
        <f t="shared" si="21"/>
        <v>0</v>
      </c>
      <c r="AO52" s="36">
        <f t="shared" si="22"/>
        <v>0</v>
      </c>
    </row>
    <row r="53" spans="3:41" x14ac:dyDescent="0.3">
      <c r="C53" s="1">
        <v>1.0317000000000001</v>
      </c>
      <c r="D53" s="21"/>
      <c r="E53" s="1">
        <v>1.0184519999999999</v>
      </c>
      <c r="F53" s="22">
        <f t="shared" si="1"/>
        <v>32.839984739999991</v>
      </c>
      <c r="G53" s="1"/>
      <c r="H53" s="1">
        <v>0.99965999999999999</v>
      </c>
      <c r="I53" s="22">
        <f t="shared" si="2"/>
        <v>9397.1038979999994</v>
      </c>
      <c r="J53" s="23">
        <f t="shared" si="3"/>
        <v>0.38309675396546305</v>
      </c>
      <c r="K53" s="1"/>
      <c r="L53" s="1">
        <v>1.01823</v>
      </c>
      <c r="M53" s="21">
        <f t="shared" si="4"/>
        <v>91.544986379999997</v>
      </c>
      <c r="N53" s="1"/>
      <c r="O53" s="1">
        <v>-0.08</v>
      </c>
      <c r="P53" s="21">
        <f t="shared" si="5"/>
        <v>529.42999999999995</v>
      </c>
      <c r="U53">
        <f t="shared" si="6"/>
        <v>1</v>
      </c>
      <c r="V53">
        <f t="shared" si="23"/>
        <v>0</v>
      </c>
      <c r="W53" s="37">
        <f t="shared" si="7"/>
        <v>0</v>
      </c>
      <c r="X53" s="38">
        <f t="shared" si="8"/>
        <v>0</v>
      </c>
      <c r="Y53" s="37">
        <f t="shared" si="9"/>
        <v>0</v>
      </c>
      <c r="Z53" s="38">
        <f t="shared" si="10"/>
        <v>0</v>
      </c>
      <c r="AB53" s="37">
        <f t="shared" si="11"/>
        <v>0</v>
      </c>
      <c r="AC53" s="38">
        <f>IF($AB53=0,0,$C53)</f>
        <v>0</v>
      </c>
      <c r="AD53" s="37">
        <f t="shared" si="13"/>
        <v>0</v>
      </c>
      <c r="AE53" s="38">
        <f>IF($AD53=0,0,$C53)</f>
        <v>0</v>
      </c>
      <c r="AG53" s="37">
        <f t="shared" si="15"/>
        <v>0</v>
      </c>
      <c r="AH53" s="38">
        <f>IF($AG53=0,0,$C53)</f>
        <v>0</v>
      </c>
      <c r="AI53" s="37">
        <f t="shared" si="17"/>
        <v>0</v>
      </c>
      <c r="AJ53" s="38">
        <f>IF($AI53=0,0,$C53)</f>
        <v>0</v>
      </c>
      <c r="AL53" s="37">
        <f t="shared" si="19"/>
        <v>0</v>
      </c>
      <c r="AM53" s="38">
        <f>IF($AL53=0,0,$C53)</f>
        <v>0</v>
      </c>
      <c r="AN53" s="37">
        <f t="shared" si="21"/>
        <v>0</v>
      </c>
      <c r="AO53" s="38">
        <f>IF($AN53=0,0,$C53)</f>
        <v>0</v>
      </c>
    </row>
    <row r="54" spans="3:41" x14ac:dyDescent="0.3">
      <c r="C54" s="1"/>
      <c r="E54" s="1"/>
      <c r="F54" s="15"/>
      <c r="G54" s="1"/>
      <c r="H54" s="1"/>
      <c r="I54" s="15"/>
      <c r="J54" s="4"/>
      <c r="K54" s="1"/>
      <c r="L54" s="1"/>
      <c r="N54" s="1"/>
      <c r="O54" s="1"/>
      <c r="W54">
        <f>SUM(W3:W53)</f>
        <v>32.126015949999996</v>
      </c>
      <c r="X54">
        <f>SUM(X3:X53)</f>
        <v>1.0096000000000001</v>
      </c>
      <c r="Y54">
        <f>SUM(Y3:Y53)</f>
        <v>32.244999999999997</v>
      </c>
      <c r="Z54">
        <f>SUM(Z3:Z53)</f>
        <v>1.01325</v>
      </c>
      <c r="AB54">
        <f>SUM(AB3:AB53)</f>
        <v>9400.7982159000003</v>
      </c>
      <c r="AC54">
        <f>SUM(AC3:AC53)</f>
        <v>1.0096000000000001</v>
      </c>
      <c r="AD54">
        <f>SUM(AD3:AD53)</f>
        <v>9400.2999999999993</v>
      </c>
      <c r="AE54">
        <f>SUM(AE3:AE53)</f>
        <v>1.01325</v>
      </c>
      <c r="AG54">
        <f>SUM(AG3:AG53)</f>
        <v>89.579011878000003</v>
      </c>
      <c r="AH54">
        <f>SUM(AH3:AH53)</f>
        <v>1.0096000000000001</v>
      </c>
      <c r="AI54">
        <f>SUM(AI3:AI53)</f>
        <v>89.906000000000006</v>
      </c>
      <c r="AJ54">
        <f>SUM(AJ3:AJ53)</f>
        <v>1.01325</v>
      </c>
      <c r="AL54">
        <f>SUM(AL3:AL53)</f>
        <v>529.52</v>
      </c>
      <c r="AM54">
        <f>SUM(AM3:AM53)</f>
        <v>1.0096000000000001</v>
      </c>
      <c r="AN54" s="30">
        <f>SUM(AN3:AN53)</f>
        <v>529.51</v>
      </c>
      <c r="AO54">
        <f>SUM(AO3:AO53)</f>
        <v>1.01325</v>
      </c>
    </row>
    <row r="55" spans="3:41" x14ac:dyDescent="0.3">
      <c r="C55" s="14"/>
      <c r="D55" s="14"/>
      <c r="E55" s="14"/>
      <c r="F55" s="15"/>
      <c r="G55" s="15"/>
      <c r="H55" s="14"/>
      <c r="I55" s="15"/>
      <c r="J55" s="16"/>
      <c r="K55" s="15"/>
      <c r="L55" s="14"/>
      <c r="N55" s="15"/>
      <c r="O55" s="20"/>
      <c r="P55" s="15"/>
    </row>
    <row r="56" spans="3:41" x14ac:dyDescent="0.3">
      <c r="C56" s="14"/>
      <c r="D56" s="14"/>
      <c r="E56" s="14"/>
      <c r="F56" s="15"/>
      <c r="G56" s="15"/>
      <c r="H56" s="14"/>
      <c r="I56" s="15"/>
      <c r="J56" s="16"/>
      <c r="K56" s="15"/>
      <c r="L56" s="14"/>
      <c r="N56" s="15"/>
      <c r="O56" s="20"/>
      <c r="P56" s="15"/>
    </row>
    <row r="57" spans="3:41" x14ac:dyDescent="0.3">
      <c r="C57" s="14"/>
      <c r="D57" s="14"/>
      <c r="E57" s="14"/>
      <c r="F57" s="15"/>
      <c r="G57" s="15"/>
      <c r="H57" s="14"/>
      <c r="I57" s="15"/>
      <c r="J57" s="16"/>
      <c r="K57" s="15"/>
      <c r="L57" s="14"/>
      <c r="N57" s="15"/>
      <c r="O57" s="20"/>
      <c r="P57" s="15"/>
    </row>
    <row r="58" spans="3:41" x14ac:dyDescent="0.3">
      <c r="C58" s="14"/>
      <c r="D58" s="14"/>
      <c r="E58" s="14"/>
      <c r="F58" s="15"/>
      <c r="G58" s="15"/>
      <c r="H58" s="14"/>
      <c r="I58" s="15"/>
      <c r="J58" s="16"/>
      <c r="K58" s="15"/>
      <c r="L58" s="14"/>
      <c r="N58" s="15"/>
      <c r="O58" s="20"/>
      <c r="P58" s="15"/>
    </row>
    <row r="59" spans="3:41" x14ac:dyDescent="0.3">
      <c r="C59" s="14"/>
      <c r="D59" s="14"/>
      <c r="E59" s="14"/>
      <c r="F59" s="15"/>
      <c r="G59" s="15"/>
      <c r="H59" s="14"/>
      <c r="I59" s="15"/>
      <c r="J59" s="16"/>
      <c r="K59" s="15"/>
      <c r="L59" s="14"/>
      <c r="M59" s="15"/>
      <c r="N59" s="15"/>
      <c r="O59" s="20"/>
      <c r="P59" s="15"/>
    </row>
    <row r="60" spans="3:41" x14ac:dyDescent="0.3">
      <c r="C60" s="14"/>
      <c r="D60" s="14"/>
      <c r="E60" s="14"/>
      <c r="F60" s="15"/>
      <c r="G60" s="15"/>
      <c r="H60" s="14"/>
      <c r="I60" s="15"/>
      <c r="J60" s="16"/>
      <c r="K60" s="15"/>
      <c r="L60" s="14"/>
      <c r="M60" s="15"/>
      <c r="N60" s="15"/>
      <c r="O60" s="20"/>
      <c r="P60" s="15"/>
    </row>
    <row r="61" spans="3:41" x14ac:dyDescent="0.3">
      <c r="C61" s="14"/>
      <c r="D61" s="14"/>
      <c r="E61" s="14"/>
      <c r="F61" s="15"/>
      <c r="G61" s="15"/>
      <c r="H61" s="14"/>
      <c r="I61" s="15"/>
      <c r="J61" s="16"/>
      <c r="K61" s="15"/>
      <c r="L61" s="14"/>
      <c r="M61" s="15"/>
      <c r="N61" s="15"/>
      <c r="O61" s="20"/>
      <c r="P61" s="15"/>
    </row>
    <row r="62" spans="3:41" x14ac:dyDescent="0.3">
      <c r="C62" s="14"/>
      <c r="D62" s="14"/>
      <c r="E62" s="14"/>
      <c r="F62" s="15"/>
      <c r="G62" s="15"/>
      <c r="H62" s="14"/>
      <c r="I62" s="15"/>
      <c r="J62" s="16"/>
      <c r="K62" s="15"/>
      <c r="L62" s="14"/>
      <c r="M62" s="15"/>
      <c r="N62" s="15"/>
      <c r="O62" s="14"/>
      <c r="P62" s="15"/>
    </row>
    <row r="63" spans="3:41" x14ac:dyDescent="0.3">
      <c r="C63" s="14"/>
      <c r="D63" s="14"/>
      <c r="E63" s="14"/>
      <c r="F63" s="15"/>
      <c r="G63" s="15"/>
      <c r="H63" s="14"/>
      <c r="I63" s="15"/>
      <c r="J63" s="16"/>
      <c r="K63" s="15"/>
      <c r="L63" s="14"/>
      <c r="M63" s="15"/>
      <c r="N63" s="15"/>
      <c r="O63" s="14"/>
      <c r="P63" s="15"/>
    </row>
    <row r="64" spans="3:41" x14ac:dyDescent="0.3">
      <c r="C64" s="14"/>
      <c r="D64" s="14"/>
      <c r="E64" s="14"/>
      <c r="F64" s="15"/>
      <c r="G64" s="15"/>
      <c r="H64" s="14"/>
      <c r="I64" s="15"/>
      <c r="J64" s="16"/>
      <c r="K64" s="15"/>
      <c r="L64" s="14"/>
      <c r="M64" s="15"/>
      <c r="N64" s="15"/>
      <c r="O64" s="14"/>
      <c r="P64" s="15"/>
    </row>
    <row r="65" spans="3:16" x14ac:dyDescent="0.3">
      <c r="C65" s="14"/>
      <c r="D65" s="14"/>
      <c r="E65" s="14"/>
      <c r="F65" s="15"/>
      <c r="G65" s="15"/>
      <c r="H65" s="14"/>
      <c r="I65" s="15"/>
      <c r="J65" s="16"/>
      <c r="K65" s="15"/>
      <c r="L65" s="14"/>
      <c r="M65" s="15"/>
      <c r="N65" s="15"/>
      <c r="O65" s="14"/>
      <c r="P65" s="15"/>
    </row>
    <row r="66" spans="3:16" x14ac:dyDescent="0.3">
      <c r="C66" s="14"/>
      <c r="D66" s="14"/>
      <c r="E66" s="14"/>
      <c r="F66" s="15"/>
      <c r="G66" s="15"/>
      <c r="H66" s="14"/>
      <c r="I66" s="15"/>
      <c r="J66" s="16"/>
      <c r="K66" s="15"/>
      <c r="L66" s="14"/>
      <c r="M66" s="15"/>
      <c r="N66" s="15"/>
      <c r="O66" s="14"/>
      <c r="P66" s="15"/>
    </row>
    <row r="67" spans="3:16" x14ac:dyDescent="0.3">
      <c r="C67" s="14"/>
      <c r="D67" s="14"/>
      <c r="E67" s="14"/>
      <c r="F67" s="15"/>
      <c r="G67" s="15"/>
      <c r="H67" s="14"/>
      <c r="I67" s="15"/>
      <c r="J67" s="16"/>
      <c r="K67" s="15"/>
      <c r="L67" s="14"/>
      <c r="M67" s="15"/>
      <c r="N67" s="15"/>
      <c r="O67" s="20"/>
      <c r="P67" s="15"/>
    </row>
    <row r="68" spans="3:16" x14ac:dyDescent="0.3">
      <c r="C68" s="14"/>
      <c r="D68" s="14"/>
      <c r="E68" s="14"/>
      <c r="F68" s="15"/>
      <c r="G68" s="15"/>
      <c r="H68" s="14"/>
      <c r="I68" s="15"/>
      <c r="J68" s="16"/>
      <c r="K68" s="15"/>
      <c r="L68" s="14"/>
      <c r="M68" s="15"/>
      <c r="N68" s="15"/>
      <c r="O68" s="20"/>
      <c r="P68" s="15"/>
    </row>
    <row r="69" spans="3:16" x14ac:dyDescent="0.3">
      <c r="C69" s="14"/>
      <c r="D69" s="14"/>
      <c r="E69" s="14"/>
      <c r="F69" s="15"/>
      <c r="G69" s="15"/>
      <c r="H69" s="14"/>
      <c r="I69" s="15"/>
      <c r="J69" s="16"/>
      <c r="K69" s="15"/>
      <c r="L69" s="14"/>
      <c r="M69" s="15"/>
      <c r="N69" s="15"/>
      <c r="O69" s="20"/>
      <c r="P69" s="15"/>
    </row>
    <row r="70" spans="3:16" x14ac:dyDescent="0.3">
      <c r="C70" s="14"/>
      <c r="D70" s="14"/>
      <c r="E70" s="14"/>
      <c r="F70" s="15"/>
      <c r="G70" s="15"/>
      <c r="H70" s="14"/>
      <c r="I70" s="15"/>
      <c r="J70" s="16"/>
      <c r="K70" s="15"/>
      <c r="L70" s="14"/>
      <c r="M70" s="15"/>
      <c r="N70" s="15"/>
      <c r="O70" s="20"/>
      <c r="P70" s="15"/>
    </row>
    <row r="71" spans="3:16" x14ac:dyDescent="0.3">
      <c r="C71" s="14"/>
      <c r="D71" s="14"/>
      <c r="E71" s="14"/>
      <c r="F71" s="15"/>
      <c r="G71" s="15"/>
      <c r="H71" s="14"/>
      <c r="I71" s="15"/>
      <c r="J71" s="16"/>
      <c r="K71" s="15"/>
      <c r="L71" s="14"/>
      <c r="M71" s="15"/>
      <c r="N71" s="15"/>
      <c r="O71" s="20"/>
      <c r="P71" s="15"/>
    </row>
    <row r="72" spans="3:16" x14ac:dyDescent="0.3">
      <c r="C72" s="14"/>
      <c r="D72" s="14"/>
      <c r="E72" s="14"/>
      <c r="F72" s="15"/>
      <c r="G72" s="15"/>
      <c r="H72" s="14"/>
      <c r="I72" s="15"/>
      <c r="J72" s="16"/>
      <c r="K72" s="15"/>
      <c r="L72" s="14"/>
      <c r="M72" s="15"/>
      <c r="N72" s="15"/>
      <c r="O72" s="20"/>
      <c r="P72" s="15"/>
    </row>
    <row r="73" spans="3:16" x14ac:dyDescent="0.3">
      <c r="C73" s="14"/>
      <c r="D73" s="14"/>
      <c r="E73" s="14"/>
      <c r="F73" s="15"/>
      <c r="G73" s="15"/>
      <c r="H73" s="14"/>
      <c r="I73" s="15"/>
      <c r="J73" s="16"/>
      <c r="K73" s="15"/>
      <c r="L73" s="14"/>
      <c r="M73" s="15"/>
      <c r="N73" s="15"/>
      <c r="O73" s="20"/>
      <c r="P73" s="15"/>
    </row>
    <row r="74" spans="3:16" x14ac:dyDescent="0.3">
      <c r="C74" s="14"/>
      <c r="D74" s="14"/>
      <c r="E74" s="14"/>
      <c r="F74" s="15"/>
      <c r="G74" s="15"/>
      <c r="H74" s="14"/>
      <c r="I74" s="15"/>
      <c r="J74" s="16"/>
      <c r="K74" s="15"/>
      <c r="L74" s="14"/>
      <c r="M74" s="15"/>
      <c r="N74" s="15"/>
      <c r="O74" s="20"/>
      <c r="P74" s="15"/>
    </row>
    <row r="75" spans="3:16" x14ac:dyDescent="0.3">
      <c r="C75" s="14"/>
      <c r="D75" s="14"/>
      <c r="E75" s="14"/>
      <c r="F75" s="15"/>
      <c r="G75" s="15"/>
      <c r="H75" s="14"/>
      <c r="I75" s="15"/>
      <c r="J75" s="16"/>
      <c r="K75" s="15"/>
      <c r="L75" s="14"/>
      <c r="M75" s="15"/>
      <c r="N75" s="15"/>
      <c r="O75" s="14"/>
      <c r="P75" s="15"/>
    </row>
    <row r="76" spans="3:16" x14ac:dyDescent="0.3">
      <c r="C76" s="14"/>
      <c r="D76" s="14"/>
      <c r="E76" s="14"/>
      <c r="F76" s="15"/>
      <c r="G76" s="15"/>
      <c r="H76" s="14"/>
      <c r="I76" s="15"/>
      <c r="J76" s="16"/>
      <c r="K76" s="15"/>
      <c r="L76" s="14"/>
      <c r="M76" s="15"/>
      <c r="N76" s="15"/>
      <c r="O76" s="14"/>
      <c r="P76" s="15"/>
    </row>
    <row r="77" spans="3:16" x14ac:dyDescent="0.3">
      <c r="C77" s="14"/>
      <c r="D77" s="14"/>
      <c r="E77" s="14"/>
      <c r="F77" s="15"/>
      <c r="G77" s="15"/>
      <c r="H77" s="14"/>
      <c r="I77" s="15"/>
      <c r="J77" s="16"/>
      <c r="K77" s="15"/>
      <c r="L77" s="14"/>
      <c r="M77" s="15"/>
      <c r="N77" s="15"/>
      <c r="O77" s="14"/>
      <c r="P77" s="15"/>
    </row>
    <row r="78" spans="3:16" x14ac:dyDescent="0.3">
      <c r="C78" s="14"/>
      <c r="D78" s="14"/>
      <c r="E78" s="14"/>
      <c r="F78" s="15"/>
      <c r="G78" s="15"/>
      <c r="H78" s="14"/>
      <c r="I78" s="15"/>
      <c r="J78" s="16"/>
      <c r="K78" s="15"/>
      <c r="L78" s="14"/>
      <c r="M78" s="15"/>
      <c r="N78" s="15"/>
      <c r="O78" s="14"/>
      <c r="P78" s="15"/>
    </row>
    <row r="79" spans="3:16" x14ac:dyDescent="0.3">
      <c r="C79" s="14"/>
      <c r="D79" s="14"/>
      <c r="E79" s="14"/>
      <c r="F79" s="15"/>
      <c r="G79" s="15"/>
      <c r="H79" s="14"/>
      <c r="I79" s="15"/>
      <c r="J79" s="16"/>
      <c r="K79" s="15"/>
      <c r="L79" s="14"/>
      <c r="M79" s="15"/>
      <c r="N79" s="15"/>
      <c r="O79" s="14"/>
      <c r="P79" s="15"/>
    </row>
    <row r="80" spans="3:16" x14ac:dyDescent="0.3">
      <c r="C80" s="14"/>
      <c r="D80" s="14"/>
      <c r="E80" s="14"/>
      <c r="F80" s="15"/>
      <c r="G80" s="15"/>
      <c r="H80" s="14"/>
      <c r="I80" s="15"/>
      <c r="J80" s="16"/>
      <c r="K80" s="15"/>
      <c r="L80" s="14"/>
      <c r="M80" s="15"/>
      <c r="N80" s="15"/>
      <c r="O80" s="14"/>
      <c r="P80" s="15"/>
    </row>
    <row r="81" spans="3:16" x14ac:dyDescent="0.3">
      <c r="C81" s="14"/>
      <c r="D81" s="14"/>
      <c r="E81" s="14"/>
      <c r="F81" s="15"/>
      <c r="G81" s="15"/>
      <c r="H81" s="14"/>
      <c r="I81" s="15"/>
      <c r="J81" s="16"/>
      <c r="K81" s="15"/>
      <c r="L81" s="14"/>
      <c r="M81" s="15"/>
      <c r="N81" s="15"/>
      <c r="O81" s="14"/>
      <c r="P81" s="15"/>
    </row>
    <row r="82" spans="3:16" x14ac:dyDescent="0.3">
      <c r="C82" s="14"/>
      <c r="D82" s="14"/>
      <c r="E82" s="14"/>
      <c r="F82" s="15"/>
      <c r="G82" s="15"/>
      <c r="H82" s="14"/>
      <c r="I82" s="15"/>
      <c r="J82" s="16"/>
      <c r="K82" s="15"/>
      <c r="L82" s="14"/>
      <c r="M82" s="15"/>
      <c r="N82" s="15"/>
      <c r="O82" s="14"/>
      <c r="P82" s="15"/>
    </row>
    <row r="83" spans="3:16" x14ac:dyDescent="0.3">
      <c r="C83" s="14"/>
      <c r="D83" s="14"/>
      <c r="E83" s="14"/>
      <c r="F83" s="15"/>
      <c r="G83" s="15"/>
      <c r="H83" s="14"/>
      <c r="I83" s="15"/>
      <c r="J83" s="16"/>
      <c r="K83" s="15"/>
      <c r="L83" s="14"/>
      <c r="M83" s="15"/>
      <c r="N83" s="15"/>
      <c r="O83" s="14"/>
      <c r="P83" s="15"/>
    </row>
    <row r="84" spans="3:16" x14ac:dyDescent="0.3">
      <c r="C84" s="1"/>
      <c r="D84" s="1"/>
      <c r="E84" s="1"/>
      <c r="H84" s="1"/>
      <c r="L84" s="1"/>
      <c r="O84" s="1"/>
    </row>
  </sheetData>
  <mergeCells count="9">
    <mergeCell ref="AI1:AJ1"/>
    <mergeCell ref="AL1:AM1"/>
    <mergeCell ref="AN1:AO1"/>
    <mergeCell ref="S6:T6"/>
    <mergeCell ref="W1:X1"/>
    <mergeCell ref="Y1:Z1"/>
    <mergeCell ref="AB1:AC1"/>
    <mergeCell ref="AD1:AE1"/>
    <mergeCell ref="AG1:AH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74"/>
  <sheetViews>
    <sheetView zoomScale="55" zoomScaleNormal="55" workbookViewId="0">
      <selection activeCell="T18" sqref="T18"/>
    </sheetView>
  </sheetViews>
  <sheetFormatPr defaultRowHeight="14.4" x14ac:dyDescent="0.3"/>
  <cols>
    <col min="1" max="1" width="9.88671875" bestFit="1" customWidth="1"/>
    <col min="6" max="6" width="12.44140625" bestFit="1" customWidth="1"/>
    <col min="9" max="9" width="12" bestFit="1" customWidth="1"/>
    <col min="20" max="20" width="9.5546875" bestFit="1" customWidth="1"/>
  </cols>
  <sheetData>
    <row r="1" spans="1:41" ht="15" thickBot="1" x14ac:dyDescent="0.35">
      <c r="A1" s="3" t="s">
        <v>12</v>
      </c>
      <c r="W1" s="148" t="s">
        <v>34</v>
      </c>
      <c r="X1" s="149"/>
      <c r="Y1" s="148" t="s">
        <v>35</v>
      </c>
      <c r="Z1" s="149"/>
      <c r="AB1" s="148" t="s">
        <v>36</v>
      </c>
      <c r="AC1" s="149"/>
      <c r="AD1" s="148" t="s">
        <v>37</v>
      </c>
      <c r="AE1" s="149"/>
      <c r="AG1" s="148" t="s">
        <v>38</v>
      </c>
      <c r="AH1" s="149"/>
      <c r="AI1" s="148" t="s">
        <v>39</v>
      </c>
      <c r="AJ1" s="149"/>
      <c r="AL1" s="148" t="s">
        <v>40</v>
      </c>
      <c r="AM1" s="149"/>
      <c r="AN1" s="148" t="s">
        <v>41</v>
      </c>
      <c r="AO1" s="149"/>
    </row>
    <row r="2" spans="1:41" x14ac:dyDescent="0.3">
      <c r="A2">
        <v>32.244999999999997</v>
      </c>
      <c r="C2" s="5" t="s">
        <v>20</v>
      </c>
      <c r="D2" s="5"/>
      <c r="E2" s="5"/>
      <c r="F2" s="5" t="s">
        <v>14</v>
      </c>
      <c r="I2" s="5" t="s">
        <v>5</v>
      </c>
      <c r="J2" s="5" t="s">
        <v>6</v>
      </c>
      <c r="M2" s="5" t="s">
        <v>10</v>
      </c>
      <c r="P2" s="5" t="s">
        <v>11</v>
      </c>
      <c r="R2" s="5"/>
      <c r="S2" s="5"/>
      <c r="T2" s="32" t="s">
        <v>22</v>
      </c>
      <c r="U2" s="24"/>
      <c r="V2" s="24"/>
      <c r="W2" s="39">
        <v>0</v>
      </c>
      <c r="X2" s="42"/>
      <c r="Y2" s="39"/>
      <c r="Z2" s="40"/>
      <c r="AB2" s="39">
        <v>0</v>
      </c>
      <c r="AC2" s="42"/>
      <c r="AD2" s="39"/>
      <c r="AE2" s="40"/>
      <c r="AG2" s="39">
        <v>0</v>
      </c>
      <c r="AH2" s="42"/>
      <c r="AI2" s="39"/>
      <c r="AJ2" s="40"/>
      <c r="AL2" s="39">
        <v>0</v>
      </c>
      <c r="AM2" s="42"/>
      <c r="AN2" s="39"/>
      <c r="AO2" s="40"/>
    </row>
    <row r="3" spans="1:41" x14ac:dyDescent="0.3">
      <c r="A3" t="s">
        <v>13</v>
      </c>
      <c r="C3" s="1">
        <v>0</v>
      </c>
      <c r="D3" s="1"/>
      <c r="E3" s="1">
        <v>1.015568</v>
      </c>
      <c r="F3">
        <f t="shared" ref="F3:F43" si="0">E3*$A$2</f>
        <v>32.746990159999996</v>
      </c>
      <c r="G3" s="1"/>
      <c r="H3" s="1">
        <v>0.99475499999999994</v>
      </c>
      <c r="I3">
        <f>H3*$A$6</f>
        <v>9350.9954264999978</v>
      </c>
      <c r="J3" s="4">
        <f>1/(I3/3600)</f>
        <v>0.38498575133486629</v>
      </c>
      <c r="K3" s="1"/>
      <c r="L3" s="1">
        <v>1.0102329999999999</v>
      </c>
      <c r="M3">
        <f>L3*$A$10</f>
        <v>90.826008098000003</v>
      </c>
      <c r="N3" s="1"/>
      <c r="O3" s="1">
        <v>-1.65</v>
      </c>
      <c r="P3">
        <f>O3+$A$14</f>
        <v>527.86</v>
      </c>
      <c r="T3" s="33">
        <f>'GT maps'!G6</f>
        <v>10</v>
      </c>
      <c r="U3">
        <f>IF($T$3&gt;C3,0,1)</f>
        <v>0</v>
      </c>
      <c r="V3">
        <f t="shared" ref="V3:V43" si="1">IF(U4=1, "min",0)</f>
        <v>0</v>
      </c>
      <c r="W3" s="35">
        <f>IF($U3=0,IF($V3="min",$F3,0),0)</f>
        <v>0</v>
      </c>
      <c r="X3" s="36">
        <f>IF($W3=0,0,$C3)</f>
        <v>0</v>
      </c>
      <c r="Y3" s="35">
        <f>IF($W2=0,0,$F3)</f>
        <v>0</v>
      </c>
      <c r="Z3" s="36">
        <f>IF($Y3=0,0,$C3)</f>
        <v>0</v>
      </c>
      <c r="AB3" s="35">
        <f>IF($U3=0,IF($V3="min",$I3,0),0)</f>
        <v>0</v>
      </c>
      <c r="AC3" s="36">
        <f>IF($AB3=0,0,$C3)</f>
        <v>0</v>
      </c>
      <c r="AD3" s="35">
        <f>IF($AB2=0,0,$I3)</f>
        <v>0</v>
      </c>
      <c r="AE3" s="36">
        <f>IF($AD3=0,0,$C3)</f>
        <v>0</v>
      </c>
      <c r="AG3" s="35">
        <f>IF($U3=0,IF($V3="min",$M3,0),0)</f>
        <v>0</v>
      </c>
      <c r="AH3" s="36">
        <f>IF($AG3=0,0,$C3)</f>
        <v>0</v>
      </c>
      <c r="AI3" s="35">
        <f>IF($AG2=0,0,$M3)</f>
        <v>0</v>
      </c>
      <c r="AJ3" s="36">
        <f>IF($AI3=0,0,$C3)</f>
        <v>0</v>
      </c>
      <c r="AL3" s="35">
        <f>IF($U3=0,IF($V3="min",$P3,0),0)</f>
        <v>0</v>
      </c>
      <c r="AM3" s="36">
        <f>IF($AL3=0,0,$C3)</f>
        <v>0</v>
      </c>
      <c r="AN3" s="35">
        <f>IF($AL2=0,0,$P3)</f>
        <v>0</v>
      </c>
      <c r="AO3" s="36">
        <f>IF($AN3=0,0,$C3)</f>
        <v>0</v>
      </c>
    </row>
    <row r="4" spans="1:41" ht="15" thickBot="1" x14ac:dyDescent="0.35">
      <c r="C4" s="8">
        <v>1.25</v>
      </c>
      <c r="D4" s="1"/>
      <c r="E4" s="1">
        <v>1.0136149999999999</v>
      </c>
      <c r="F4">
        <f t="shared" si="0"/>
        <v>32.684015674999998</v>
      </c>
      <c r="G4" s="2"/>
      <c r="H4" s="1">
        <v>0.99538300000000002</v>
      </c>
      <c r="I4">
        <f t="shared" ref="I4:I43" si="2">H4*$A$6</f>
        <v>9356.8988148999997</v>
      </c>
      <c r="J4" s="4">
        <f t="shared" ref="J4:J43" si="3">1/(I4/3600)</f>
        <v>0.38474285884841797</v>
      </c>
      <c r="K4" s="2"/>
      <c r="L4" s="1">
        <v>1.0089539999999999</v>
      </c>
      <c r="M4">
        <f t="shared" ref="M4:M43" si="4">L4*$A$10</f>
        <v>90.711018323999994</v>
      </c>
      <c r="N4" s="2"/>
      <c r="O4" s="1">
        <v>-1.46</v>
      </c>
      <c r="P4">
        <f t="shared" ref="P4:P43" si="5">O4+$A$14</f>
        <v>528.04999999999995</v>
      </c>
      <c r="T4" s="34" t="s">
        <v>47</v>
      </c>
      <c r="U4">
        <f t="shared" ref="U4:U43" si="6">IF($T$3&gt;C4,0,1)</f>
        <v>0</v>
      </c>
      <c r="V4">
        <f t="shared" si="1"/>
        <v>0</v>
      </c>
      <c r="W4" s="35">
        <f t="shared" ref="W4:W43" si="7">IF($U4=0,IF($V4="min",$F4,0),0)</f>
        <v>0</v>
      </c>
      <c r="X4" s="36">
        <f t="shared" ref="X4:X43" si="8">IF($W4=0,0,$C4)</f>
        <v>0</v>
      </c>
      <c r="Y4" s="35">
        <f t="shared" ref="Y4:Y43" si="9">IF($W3=0,0,$F4)</f>
        <v>0</v>
      </c>
      <c r="Z4" s="36">
        <f t="shared" ref="Z4:Z43" si="10">IF($Y4=0,0,$C4)</f>
        <v>0</v>
      </c>
      <c r="AB4" s="35">
        <f t="shared" ref="AB4:AB43" si="11">IF($U4=0,IF($V4="min",$I4,0),0)</f>
        <v>0</v>
      </c>
      <c r="AC4" s="36">
        <f t="shared" ref="AC4:AC43" si="12">IF($AB4=0,0,$C4)</f>
        <v>0</v>
      </c>
      <c r="AD4" s="35">
        <f t="shared" ref="AD4:AD43" si="13">IF($AB3=0,0,$I4)</f>
        <v>0</v>
      </c>
      <c r="AE4" s="36">
        <f t="shared" ref="AE4:AE43" si="14">IF($AD4=0,0,$C4)</f>
        <v>0</v>
      </c>
      <c r="AG4" s="35">
        <f t="shared" ref="AG4:AG43" si="15">IF($U4=0,IF($V4="min",$M4,0),0)</f>
        <v>0</v>
      </c>
      <c r="AH4" s="36">
        <f t="shared" ref="AH4:AH43" si="16">IF($AG4=0,0,$C4)</f>
        <v>0</v>
      </c>
      <c r="AI4" s="35">
        <f t="shared" ref="AI4:AI43" si="17">IF($AG3=0,0,$M4)</f>
        <v>0</v>
      </c>
      <c r="AJ4" s="36">
        <f t="shared" ref="AJ4:AJ43" si="18">IF($AI4=0,0,$C4)</f>
        <v>0</v>
      </c>
      <c r="AL4" s="35">
        <f t="shared" ref="AL4:AL43" si="19">IF($U4=0,IF($V4="min",$P4,0),0)</f>
        <v>0</v>
      </c>
      <c r="AM4" s="36">
        <f t="shared" ref="AM4:AM43" si="20">IF($AL4=0,0,$C4)</f>
        <v>0</v>
      </c>
      <c r="AN4" s="35">
        <f t="shared" ref="AN4:AN43" si="21">IF($AL3=0,0,$P4)</f>
        <v>0</v>
      </c>
      <c r="AO4" s="36">
        <f t="shared" ref="AO4:AO43" si="22">IF($AN4=0,0,$C4)</f>
        <v>0</v>
      </c>
    </row>
    <row r="5" spans="1:41" ht="15" thickBot="1" x14ac:dyDescent="0.35">
      <c r="A5" s="3" t="s">
        <v>1</v>
      </c>
      <c r="C5" s="8">
        <v>2.4900000000000002</v>
      </c>
      <c r="D5" s="1"/>
      <c r="E5" s="1">
        <v>1.0116609999999999</v>
      </c>
      <c r="F5">
        <f t="shared" si="0"/>
        <v>32.621008944999993</v>
      </c>
      <c r="G5" s="2"/>
      <c r="H5" s="1">
        <v>0.99605299999999997</v>
      </c>
      <c r="I5">
        <f t="shared" si="2"/>
        <v>9363.1970158999993</v>
      </c>
      <c r="J5" s="4">
        <f t="shared" si="3"/>
        <v>0.38448405965256349</v>
      </c>
      <c r="K5" s="2"/>
      <c r="L5" s="1">
        <v>1.0076639999999999</v>
      </c>
      <c r="M5">
        <f t="shared" si="4"/>
        <v>90.595039583999991</v>
      </c>
      <c r="N5" s="2"/>
      <c r="O5" s="1">
        <v>-1.24</v>
      </c>
      <c r="P5">
        <f t="shared" si="5"/>
        <v>528.27</v>
      </c>
      <c r="U5">
        <f t="shared" si="6"/>
        <v>0</v>
      </c>
      <c r="V5">
        <f t="shared" si="1"/>
        <v>0</v>
      </c>
      <c r="W5" s="35">
        <f t="shared" si="7"/>
        <v>0</v>
      </c>
      <c r="X5" s="36">
        <f t="shared" si="8"/>
        <v>0</v>
      </c>
      <c r="Y5" s="35">
        <f t="shared" si="9"/>
        <v>0</v>
      </c>
      <c r="Z5" s="36">
        <f t="shared" si="10"/>
        <v>0</v>
      </c>
      <c r="AB5" s="35">
        <f t="shared" si="11"/>
        <v>0</v>
      </c>
      <c r="AC5" s="36">
        <f t="shared" si="12"/>
        <v>0</v>
      </c>
      <c r="AD5" s="35">
        <f t="shared" si="13"/>
        <v>0</v>
      </c>
      <c r="AE5" s="36">
        <f t="shared" si="14"/>
        <v>0</v>
      </c>
      <c r="AG5" s="35">
        <f t="shared" si="15"/>
        <v>0</v>
      </c>
      <c r="AH5" s="36">
        <f t="shared" si="16"/>
        <v>0</v>
      </c>
      <c r="AI5" s="35">
        <f t="shared" si="17"/>
        <v>0</v>
      </c>
      <c r="AJ5" s="36">
        <f t="shared" si="18"/>
        <v>0</v>
      </c>
      <c r="AL5" s="35">
        <f t="shared" si="19"/>
        <v>0</v>
      </c>
      <c r="AM5" s="36">
        <f t="shared" si="20"/>
        <v>0</v>
      </c>
      <c r="AN5" s="35">
        <f t="shared" si="21"/>
        <v>0</v>
      </c>
      <c r="AO5" s="36">
        <f t="shared" si="22"/>
        <v>0</v>
      </c>
    </row>
    <row r="6" spans="1:41" x14ac:dyDescent="0.3">
      <c r="A6">
        <v>9400.2999999999993</v>
      </c>
      <c r="C6" s="8">
        <v>3.74</v>
      </c>
      <c r="D6" s="1"/>
      <c r="E6" s="1">
        <v>1.009676</v>
      </c>
      <c r="F6">
        <f t="shared" si="0"/>
        <v>32.557002619999999</v>
      </c>
      <c r="G6" s="2"/>
      <c r="H6" s="1">
        <v>0.99673400000000001</v>
      </c>
      <c r="I6">
        <f t="shared" si="2"/>
        <v>9369.5986201999985</v>
      </c>
      <c r="J6" s="4">
        <f t="shared" si="3"/>
        <v>0.38422136805718965</v>
      </c>
      <c r="K6" s="2"/>
      <c r="L6" s="1">
        <v>1.006362</v>
      </c>
      <c r="M6">
        <f t="shared" si="4"/>
        <v>90.477981972000009</v>
      </c>
      <c r="N6" s="2"/>
      <c r="O6" s="1">
        <v>-1.01</v>
      </c>
      <c r="P6">
        <f t="shared" si="5"/>
        <v>528.5</v>
      </c>
      <c r="S6" s="150" t="s">
        <v>42</v>
      </c>
      <c r="T6" s="151"/>
      <c r="U6">
        <f t="shared" si="6"/>
        <v>0</v>
      </c>
      <c r="V6">
        <f t="shared" si="1"/>
        <v>0</v>
      </c>
      <c r="W6" s="35">
        <f t="shared" si="7"/>
        <v>0</v>
      </c>
      <c r="X6" s="36">
        <f t="shared" si="8"/>
        <v>0</v>
      </c>
      <c r="Y6" s="35">
        <f t="shared" si="9"/>
        <v>0</v>
      </c>
      <c r="Z6" s="36">
        <f t="shared" si="10"/>
        <v>0</v>
      </c>
      <c r="AB6" s="35">
        <f t="shared" si="11"/>
        <v>0</v>
      </c>
      <c r="AC6" s="36">
        <f t="shared" si="12"/>
        <v>0</v>
      </c>
      <c r="AD6" s="35">
        <f t="shared" si="13"/>
        <v>0</v>
      </c>
      <c r="AE6" s="36">
        <f t="shared" si="14"/>
        <v>0</v>
      </c>
      <c r="AG6" s="35">
        <f t="shared" si="15"/>
        <v>0</v>
      </c>
      <c r="AH6" s="36">
        <f t="shared" si="16"/>
        <v>0</v>
      </c>
      <c r="AI6" s="35">
        <f t="shared" si="17"/>
        <v>0</v>
      </c>
      <c r="AJ6" s="36">
        <f t="shared" si="18"/>
        <v>0</v>
      </c>
      <c r="AL6" s="35">
        <f t="shared" si="19"/>
        <v>0</v>
      </c>
      <c r="AM6" s="36">
        <f t="shared" si="20"/>
        <v>0</v>
      </c>
      <c r="AN6" s="35">
        <f t="shared" si="21"/>
        <v>0</v>
      </c>
      <c r="AO6" s="36">
        <f t="shared" si="22"/>
        <v>0</v>
      </c>
    </row>
    <row r="7" spans="1:41" x14ac:dyDescent="0.3">
      <c r="A7" t="s">
        <v>2</v>
      </c>
      <c r="C7" s="8">
        <v>4.9800000000000004</v>
      </c>
      <c r="D7" s="1"/>
      <c r="E7" s="1">
        <v>1.007846</v>
      </c>
      <c r="F7">
        <f t="shared" si="0"/>
        <v>32.49799427</v>
      </c>
      <c r="G7" s="2"/>
      <c r="H7" s="1">
        <v>0.99733000000000005</v>
      </c>
      <c r="I7">
        <f t="shared" si="2"/>
        <v>9375.2011989999992</v>
      </c>
      <c r="J7" s="4">
        <f t="shared" si="3"/>
        <v>0.38399175906582056</v>
      </c>
      <c r="K7" s="2"/>
      <c r="L7" s="1">
        <v>1.005139</v>
      </c>
      <c r="M7">
        <f t="shared" si="4"/>
        <v>90.368026934</v>
      </c>
      <c r="N7" s="2"/>
      <c r="O7" s="1">
        <v>-0.82</v>
      </c>
      <c r="P7">
        <f t="shared" si="5"/>
        <v>528.68999999999994</v>
      </c>
      <c r="S7" s="45"/>
      <c r="T7" s="46">
        <f>Y44+(W44-Y44)/(X44-Z44)*($T$3-Z44)</f>
        <v>32.242983784639996</v>
      </c>
      <c r="U7">
        <f t="shared" si="6"/>
        <v>0</v>
      </c>
      <c r="V7">
        <f t="shared" si="1"/>
        <v>0</v>
      </c>
      <c r="W7" s="35">
        <f t="shared" si="7"/>
        <v>0</v>
      </c>
      <c r="X7" s="36">
        <f t="shared" si="8"/>
        <v>0</v>
      </c>
      <c r="Y7" s="35">
        <f t="shared" si="9"/>
        <v>0</v>
      </c>
      <c r="Z7" s="36">
        <f t="shared" si="10"/>
        <v>0</v>
      </c>
      <c r="AB7" s="35">
        <f t="shared" si="11"/>
        <v>0</v>
      </c>
      <c r="AC7" s="36">
        <f t="shared" si="12"/>
        <v>0</v>
      </c>
      <c r="AD7" s="35">
        <f t="shared" si="13"/>
        <v>0</v>
      </c>
      <c r="AE7" s="36">
        <f t="shared" si="14"/>
        <v>0</v>
      </c>
      <c r="AG7" s="35">
        <f t="shared" si="15"/>
        <v>0</v>
      </c>
      <c r="AH7" s="36">
        <f t="shared" si="16"/>
        <v>0</v>
      </c>
      <c r="AI7" s="35">
        <f t="shared" si="17"/>
        <v>0</v>
      </c>
      <c r="AJ7" s="36">
        <f t="shared" si="18"/>
        <v>0</v>
      </c>
      <c r="AL7" s="35">
        <f t="shared" si="19"/>
        <v>0</v>
      </c>
      <c r="AM7" s="36">
        <f t="shared" si="20"/>
        <v>0</v>
      </c>
      <c r="AN7" s="35">
        <f t="shared" si="21"/>
        <v>0</v>
      </c>
      <c r="AO7" s="36">
        <f t="shared" si="22"/>
        <v>0</v>
      </c>
    </row>
    <row r="8" spans="1:41" x14ac:dyDescent="0.3">
      <c r="C8" s="8">
        <v>6.23</v>
      </c>
      <c r="D8" s="1"/>
      <c r="E8" s="1">
        <v>1.00583</v>
      </c>
      <c r="F8">
        <f t="shared" si="0"/>
        <v>32.432988349999995</v>
      </c>
      <c r="G8" s="2"/>
      <c r="H8" s="1">
        <v>0.998</v>
      </c>
      <c r="I8">
        <f t="shared" si="2"/>
        <v>9381.4993999999988</v>
      </c>
      <c r="J8" s="4">
        <f t="shared" si="3"/>
        <v>0.38373396900712914</v>
      </c>
      <c r="K8" s="2"/>
      <c r="L8" s="1">
        <v>1.0038370000000001</v>
      </c>
      <c r="M8">
        <f t="shared" si="4"/>
        <v>90.250969322000017</v>
      </c>
      <c r="N8" s="2"/>
      <c r="O8" s="1">
        <v>-0.63</v>
      </c>
      <c r="P8">
        <f t="shared" si="5"/>
        <v>528.88</v>
      </c>
      <c r="S8" s="45" t="s">
        <v>12</v>
      </c>
      <c r="T8" s="47">
        <f>T7/F11</f>
        <v>0.99993747199999994</v>
      </c>
      <c r="U8">
        <f t="shared" si="6"/>
        <v>0</v>
      </c>
      <c r="V8">
        <f t="shared" si="1"/>
        <v>0</v>
      </c>
      <c r="W8" s="35">
        <f t="shared" si="7"/>
        <v>0</v>
      </c>
      <c r="X8" s="36">
        <f t="shared" si="8"/>
        <v>0</v>
      </c>
      <c r="Y8" s="35">
        <f t="shared" si="9"/>
        <v>0</v>
      </c>
      <c r="Z8" s="36">
        <f t="shared" si="10"/>
        <v>0</v>
      </c>
      <c r="AB8" s="35">
        <f t="shared" si="11"/>
        <v>0</v>
      </c>
      <c r="AC8" s="36">
        <f t="shared" si="12"/>
        <v>0</v>
      </c>
      <c r="AD8" s="35">
        <f t="shared" si="13"/>
        <v>0</v>
      </c>
      <c r="AE8" s="36">
        <f t="shared" si="14"/>
        <v>0</v>
      </c>
      <c r="AG8" s="35">
        <f t="shared" si="15"/>
        <v>0</v>
      </c>
      <c r="AH8" s="36">
        <f t="shared" si="16"/>
        <v>0</v>
      </c>
      <c r="AI8" s="35">
        <f t="shared" si="17"/>
        <v>0</v>
      </c>
      <c r="AJ8" s="36">
        <f t="shared" si="18"/>
        <v>0</v>
      </c>
      <c r="AL8" s="35">
        <f t="shared" si="19"/>
        <v>0</v>
      </c>
      <c r="AM8" s="36">
        <f t="shared" si="20"/>
        <v>0</v>
      </c>
      <c r="AN8" s="35">
        <f t="shared" si="21"/>
        <v>0</v>
      </c>
      <c r="AO8" s="36">
        <f t="shared" si="22"/>
        <v>0</v>
      </c>
    </row>
    <row r="9" spans="1:41" x14ac:dyDescent="0.3">
      <c r="A9" s="3" t="s">
        <v>8</v>
      </c>
      <c r="C9" s="8">
        <v>7.47</v>
      </c>
      <c r="D9" s="1"/>
      <c r="E9" s="1">
        <v>1.0038769999999999</v>
      </c>
      <c r="F9" s="15">
        <f t="shared" si="0"/>
        <v>32.370013864999997</v>
      </c>
      <c r="G9" s="2"/>
      <c r="H9" s="1">
        <v>0.99865999999999999</v>
      </c>
      <c r="I9" s="15">
        <f t="shared" si="2"/>
        <v>9387.7035980000001</v>
      </c>
      <c r="J9" s="16">
        <f t="shared" si="3"/>
        <v>0.38348036475789038</v>
      </c>
      <c r="K9" s="2"/>
      <c r="L9" s="1">
        <v>1.0025580000000001</v>
      </c>
      <c r="M9" s="15">
        <f t="shared" si="4"/>
        <v>90.135979548000009</v>
      </c>
      <c r="N9" s="2"/>
      <c r="O9" s="1">
        <v>-0.43</v>
      </c>
      <c r="P9" s="15">
        <f t="shared" si="5"/>
        <v>529.08000000000004</v>
      </c>
      <c r="Q9" s="15"/>
      <c r="S9" s="45"/>
      <c r="T9" s="48"/>
      <c r="U9">
        <f t="shared" si="6"/>
        <v>0</v>
      </c>
      <c r="V9">
        <f t="shared" si="1"/>
        <v>0</v>
      </c>
      <c r="W9" s="35">
        <f t="shared" si="7"/>
        <v>0</v>
      </c>
      <c r="X9" s="36">
        <f t="shared" si="8"/>
        <v>0</v>
      </c>
      <c r="Y9" s="35">
        <f t="shared" si="9"/>
        <v>0</v>
      </c>
      <c r="Z9" s="36">
        <f t="shared" si="10"/>
        <v>0</v>
      </c>
      <c r="AB9" s="35">
        <f t="shared" si="11"/>
        <v>0</v>
      </c>
      <c r="AC9" s="36">
        <f t="shared" si="12"/>
        <v>0</v>
      </c>
      <c r="AD9" s="35">
        <f t="shared" si="13"/>
        <v>0</v>
      </c>
      <c r="AE9" s="36">
        <f t="shared" si="14"/>
        <v>0</v>
      </c>
      <c r="AG9" s="35">
        <f t="shared" si="15"/>
        <v>0</v>
      </c>
      <c r="AH9" s="36">
        <f t="shared" si="16"/>
        <v>0</v>
      </c>
      <c r="AI9" s="35">
        <f t="shared" si="17"/>
        <v>0</v>
      </c>
      <c r="AJ9" s="36">
        <f t="shared" si="18"/>
        <v>0</v>
      </c>
      <c r="AL9" s="35">
        <f t="shared" si="19"/>
        <v>0</v>
      </c>
      <c r="AM9" s="36">
        <f t="shared" si="20"/>
        <v>0</v>
      </c>
      <c r="AN9" s="35">
        <f t="shared" si="21"/>
        <v>0</v>
      </c>
      <c r="AO9" s="36">
        <f t="shared" si="22"/>
        <v>0</v>
      </c>
    </row>
    <row r="10" spans="1:41" x14ac:dyDescent="0.3">
      <c r="A10">
        <v>89.906000000000006</v>
      </c>
      <c r="C10" s="8">
        <v>8.7200000000000006</v>
      </c>
      <c r="D10" s="1"/>
      <c r="E10" s="1">
        <v>1.0019229999999999</v>
      </c>
      <c r="F10" s="15">
        <f t="shared" si="0"/>
        <v>32.307007134999992</v>
      </c>
      <c r="G10" s="2"/>
      <c r="H10" s="1">
        <v>0.99933000000000005</v>
      </c>
      <c r="I10" s="15">
        <f t="shared" si="2"/>
        <v>9394.0017989999997</v>
      </c>
      <c r="J10" s="16">
        <f t="shared" si="3"/>
        <v>0.38322326065375284</v>
      </c>
      <c r="K10" s="2"/>
      <c r="L10" s="1">
        <v>1.0012570000000001</v>
      </c>
      <c r="M10" s="15">
        <f t="shared" si="4"/>
        <v>90.019011842000012</v>
      </c>
      <c r="N10" s="2"/>
      <c r="O10" s="1">
        <v>-0.22</v>
      </c>
      <c r="P10" s="15">
        <f t="shared" si="5"/>
        <v>529.29</v>
      </c>
      <c r="Q10" s="15"/>
      <c r="S10" s="45"/>
      <c r="T10" s="46">
        <f>AD44+(AB44-AD44)/(AC44-AE44)*($T$3-AE44)</f>
        <v>9400.4985343359986</v>
      </c>
      <c r="U10">
        <f t="shared" si="6"/>
        <v>0</v>
      </c>
      <c r="V10">
        <f t="shared" si="1"/>
        <v>0</v>
      </c>
      <c r="W10" s="35">
        <f t="shared" si="7"/>
        <v>0</v>
      </c>
      <c r="X10" s="36">
        <f t="shared" si="8"/>
        <v>0</v>
      </c>
      <c r="Y10" s="35">
        <f t="shared" si="9"/>
        <v>0</v>
      </c>
      <c r="Z10" s="36">
        <f t="shared" si="10"/>
        <v>0</v>
      </c>
      <c r="AB10" s="35">
        <f t="shared" si="11"/>
        <v>0</v>
      </c>
      <c r="AC10" s="36">
        <f t="shared" si="12"/>
        <v>0</v>
      </c>
      <c r="AD10" s="35">
        <f t="shared" si="13"/>
        <v>0</v>
      </c>
      <c r="AE10" s="36">
        <f t="shared" si="14"/>
        <v>0</v>
      </c>
      <c r="AG10" s="35">
        <f t="shared" si="15"/>
        <v>0</v>
      </c>
      <c r="AH10" s="36">
        <f t="shared" si="16"/>
        <v>0</v>
      </c>
      <c r="AI10" s="35">
        <f t="shared" si="17"/>
        <v>0</v>
      </c>
      <c r="AJ10" s="36">
        <f t="shared" si="18"/>
        <v>0</v>
      </c>
      <c r="AL10" s="35">
        <f t="shared" si="19"/>
        <v>0</v>
      </c>
      <c r="AM10" s="36">
        <f t="shared" si="20"/>
        <v>0</v>
      </c>
      <c r="AN10" s="35">
        <f t="shared" si="21"/>
        <v>0</v>
      </c>
      <c r="AO10" s="36">
        <f t="shared" si="22"/>
        <v>0</v>
      </c>
    </row>
    <row r="11" spans="1:41" x14ac:dyDescent="0.3">
      <c r="A11" t="s">
        <v>9</v>
      </c>
      <c r="C11" s="27">
        <v>9.9600000000000009</v>
      </c>
      <c r="D11" s="10"/>
      <c r="E11" s="10">
        <v>1</v>
      </c>
      <c r="F11" s="11">
        <f t="shared" si="0"/>
        <v>32.244999999999997</v>
      </c>
      <c r="G11" s="28"/>
      <c r="H11" s="10">
        <v>1</v>
      </c>
      <c r="I11" s="11">
        <f t="shared" si="2"/>
        <v>9400.2999999999993</v>
      </c>
      <c r="J11" s="12">
        <f t="shared" si="3"/>
        <v>0.38296650106911484</v>
      </c>
      <c r="K11" s="28"/>
      <c r="L11" s="10">
        <v>1</v>
      </c>
      <c r="M11" s="11">
        <f t="shared" si="4"/>
        <v>89.906000000000006</v>
      </c>
      <c r="N11" s="28"/>
      <c r="O11" s="10">
        <v>0</v>
      </c>
      <c r="P11" s="11">
        <f t="shared" si="5"/>
        <v>529.51</v>
      </c>
      <c r="Q11" s="15"/>
      <c r="S11" s="45" t="s">
        <v>17</v>
      </c>
      <c r="T11" s="47">
        <f>T10/I11</f>
        <v>1.00002112</v>
      </c>
      <c r="U11">
        <f t="shared" si="6"/>
        <v>0</v>
      </c>
      <c r="V11" t="str">
        <f t="shared" si="1"/>
        <v>min</v>
      </c>
      <c r="W11" s="35">
        <f t="shared" si="7"/>
        <v>32.244999999999997</v>
      </c>
      <c r="X11" s="36">
        <f t="shared" si="8"/>
        <v>9.9600000000000009</v>
      </c>
      <c r="Y11" s="35">
        <f t="shared" si="9"/>
        <v>0</v>
      </c>
      <c r="Z11" s="36">
        <f t="shared" si="10"/>
        <v>0</v>
      </c>
      <c r="AB11" s="35">
        <f t="shared" si="11"/>
        <v>9400.2999999999993</v>
      </c>
      <c r="AC11" s="36">
        <f t="shared" si="12"/>
        <v>9.9600000000000009</v>
      </c>
      <c r="AD11" s="35">
        <f t="shared" si="13"/>
        <v>0</v>
      </c>
      <c r="AE11" s="36">
        <f t="shared" si="14"/>
        <v>0</v>
      </c>
      <c r="AG11" s="35">
        <f t="shared" si="15"/>
        <v>89.906000000000006</v>
      </c>
      <c r="AH11" s="36">
        <f t="shared" si="16"/>
        <v>9.9600000000000009</v>
      </c>
      <c r="AI11" s="35">
        <f t="shared" si="17"/>
        <v>0</v>
      </c>
      <c r="AJ11" s="36">
        <f t="shared" si="18"/>
        <v>0</v>
      </c>
      <c r="AL11" s="35">
        <f t="shared" si="19"/>
        <v>529.51</v>
      </c>
      <c r="AM11" s="36">
        <f t="shared" si="20"/>
        <v>9.9600000000000009</v>
      </c>
      <c r="AN11" s="35">
        <f t="shared" si="21"/>
        <v>0</v>
      </c>
      <c r="AO11" s="36">
        <f t="shared" si="22"/>
        <v>0</v>
      </c>
    </row>
    <row r="12" spans="1:41" x14ac:dyDescent="0.3">
      <c r="C12" s="8">
        <v>11.21</v>
      </c>
      <c r="D12" s="1"/>
      <c r="E12" s="1">
        <v>0.99804599999999999</v>
      </c>
      <c r="F12" s="15">
        <f t="shared" si="0"/>
        <v>32.18199327</v>
      </c>
      <c r="G12" s="2"/>
      <c r="H12" s="1">
        <v>1.0006600000000001</v>
      </c>
      <c r="I12" s="15">
        <f t="shared" si="2"/>
        <v>9406.5041980000005</v>
      </c>
      <c r="J12" s="16">
        <f t="shared" si="3"/>
        <v>0.38271390988858833</v>
      </c>
      <c r="K12" s="2"/>
      <c r="L12" s="1">
        <v>0.99870999999999999</v>
      </c>
      <c r="M12" s="15">
        <f t="shared" si="4"/>
        <v>89.790021260000003</v>
      </c>
      <c r="N12" s="2"/>
      <c r="O12" s="1">
        <v>0.2</v>
      </c>
      <c r="P12" s="15">
        <f t="shared" si="5"/>
        <v>529.71</v>
      </c>
      <c r="Q12" s="15"/>
      <c r="S12" s="45"/>
      <c r="T12" s="48"/>
      <c r="U12">
        <f t="shared" si="6"/>
        <v>1</v>
      </c>
      <c r="V12" t="str">
        <f t="shared" si="1"/>
        <v>min</v>
      </c>
      <c r="W12" s="35">
        <f t="shared" si="7"/>
        <v>0</v>
      </c>
      <c r="X12" s="36">
        <f t="shared" si="8"/>
        <v>0</v>
      </c>
      <c r="Y12" s="35">
        <f t="shared" si="9"/>
        <v>32.18199327</v>
      </c>
      <c r="Z12" s="36">
        <f t="shared" si="10"/>
        <v>11.21</v>
      </c>
      <c r="AB12" s="35">
        <f t="shared" si="11"/>
        <v>0</v>
      </c>
      <c r="AC12" s="36">
        <f t="shared" si="12"/>
        <v>0</v>
      </c>
      <c r="AD12" s="35">
        <f t="shared" si="13"/>
        <v>9406.5041980000005</v>
      </c>
      <c r="AE12" s="36">
        <f t="shared" si="14"/>
        <v>11.21</v>
      </c>
      <c r="AG12" s="35">
        <f t="shared" si="15"/>
        <v>0</v>
      </c>
      <c r="AH12" s="36">
        <f t="shared" si="16"/>
        <v>0</v>
      </c>
      <c r="AI12" s="35">
        <f t="shared" si="17"/>
        <v>89.790021260000003</v>
      </c>
      <c r="AJ12" s="36">
        <f t="shared" si="18"/>
        <v>11.21</v>
      </c>
      <c r="AL12" s="35">
        <f t="shared" si="19"/>
        <v>0</v>
      </c>
      <c r="AM12" s="36">
        <f t="shared" si="20"/>
        <v>0</v>
      </c>
      <c r="AN12" s="35">
        <f t="shared" si="21"/>
        <v>529.71</v>
      </c>
      <c r="AO12" s="36">
        <f t="shared" si="22"/>
        <v>11.21</v>
      </c>
    </row>
    <row r="13" spans="1:41" x14ac:dyDescent="0.3">
      <c r="A13" s="3" t="s">
        <v>7</v>
      </c>
      <c r="C13" s="8">
        <v>12.45</v>
      </c>
      <c r="D13" s="1"/>
      <c r="E13" s="1">
        <v>0.99609199999999998</v>
      </c>
      <c r="F13" s="15">
        <f t="shared" si="0"/>
        <v>32.118986539999995</v>
      </c>
      <c r="G13" s="2"/>
      <c r="H13" s="1">
        <v>1.0013399999999999</v>
      </c>
      <c r="I13" s="15">
        <f t="shared" si="2"/>
        <v>9412.8964019999985</v>
      </c>
      <c r="J13" s="16">
        <f t="shared" si="3"/>
        <v>0.38245401269210749</v>
      </c>
      <c r="K13" s="2"/>
      <c r="L13" s="1">
        <v>0.99740799999999996</v>
      </c>
      <c r="M13" s="15">
        <f t="shared" si="4"/>
        <v>89.672963648000007</v>
      </c>
      <c r="N13" s="2"/>
      <c r="O13" s="1">
        <v>0.42</v>
      </c>
      <c r="P13" s="15">
        <f t="shared" si="5"/>
        <v>529.92999999999995</v>
      </c>
      <c r="Q13" s="15"/>
      <c r="S13" s="45"/>
      <c r="T13" s="46">
        <f>AI44+(AG44-AI44)/(AH44-AJ44)*($T$3-AJ44)</f>
        <v>89.902288680320012</v>
      </c>
      <c r="U13">
        <f t="shared" si="6"/>
        <v>1</v>
      </c>
      <c r="V13" t="str">
        <f t="shared" si="1"/>
        <v>min</v>
      </c>
      <c r="W13" s="35">
        <f t="shared" si="7"/>
        <v>0</v>
      </c>
      <c r="X13" s="36">
        <f t="shared" si="8"/>
        <v>0</v>
      </c>
      <c r="Y13" s="35">
        <f t="shared" si="9"/>
        <v>0</v>
      </c>
      <c r="Z13" s="36">
        <f t="shared" si="10"/>
        <v>0</v>
      </c>
      <c r="AB13" s="35">
        <f t="shared" si="11"/>
        <v>0</v>
      </c>
      <c r="AC13" s="36">
        <f t="shared" si="12"/>
        <v>0</v>
      </c>
      <c r="AD13" s="35">
        <f t="shared" si="13"/>
        <v>0</v>
      </c>
      <c r="AE13" s="36">
        <f t="shared" si="14"/>
        <v>0</v>
      </c>
      <c r="AG13" s="35">
        <f t="shared" si="15"/>
        <v>0</v>
      </c>
      <c r="AH13" s="36">
        <f t="shared" si="16"/>
        <v>0</v>
      </c>
      <c r="AI13" s="35">
        <f t="shared" si="17"/>
        <v>0</v>
      </c>
      <c r="AJ13" s="36">
        <f t="shared" si="18"/>
        <v>0</v>
      </c>
      <c r="AL13" s="35">
        <f t="shared" si="19"/>
        <v>0</v>
      </c>
      <c r="AM13" s="36">
        <f t="shared" si="20"/>
        <v>0</v>
      </c>
      <c r="AN13" s="35">
        <f t="shared" si="21"/>
        <v>0</v>
      </c>
      <c r="AO13" s="36">
        <f t="shared" si="22"/>
        <v>0</v>
      </c>
    </row>
    <row r="14" spans="1:41" x14ac:dyDescent="0.3">
      <c r="A14">
        <v>529.51</v>
      </c>
      <c r="C14" s="8">
        <v>13.7</v>
      </c>
      <c r="D14" s="1"/>
      <c r="E14" s="1">
        <v>0.99407699999999999</v>
      </c>
      <c r="F14" s="15">
        <f t="shared" si="0"/>
        <v>32.054012864999997</v>
      </c>
      <c r="G14" s="6"/>
      <c r="H14" s="1">
        <v>1.0020640000000001</v>
      </c>
      <c r="I14" s="15">
        <f t="shared" si="2"/>
        <v>9419.7022192000004</v>
      </c>
      <c r="J14" s="16">
        <f t="shared" si="3"/>
        <v>0.38217768632454091</v>
      </c>
      <c r="K14" s="6"/>
      <c r="L14" s="1">
        <v>0.996085</v>
      </c>
      <c r="M14" s="15">
        <f t="shared" si="4"/>
        <v>89.554018010000007</v>
      </c>
      <c r="N14" s="6"/>
      <c r="O14" s="1">
        <v>0.66</v>
      </c>
      <c r="P14" s="15">
        <f t="shared" si="5"/>
        <v>530.16999999999996</v>
      </c>
      <c r="Q14" s="15"/>
      <c r="S14" s="45" t="s">
        <v>43</v>
      </c>
      <c r="T14" s="47">
        <f>T13/M11</f>
        <v>0.99995872000000008</v>
      </c>
      <c r="U14">
        <f t="shared" si="6"/>
        <v>1</v>
      </c>
      <c r="V14" t="str">
        <f t="shared" si="1"/>
        <v>min</v>
      </c>
      <c r="W14" s="35">
        <f t="shared" si="7"/>
        <v>0</v>
      </c>
      <c r="X14" s="36">
        <f t="shared" si="8"/>
        <v>0</v>
      </c>
      <c r="Y14" s="35">
        <f t="shared" si="9"/>
        <v>0</v>
      </c>
      <c r="Z14" s="36">
        <f t="shared" si="10"/>
        <v>0</v>
      </c>
      <c r="AB14" s="35">
        <f t="shared" si="11"/>
        <v>0</v>
      </c>
      <c r="AC14" s="36">
        <f t="shared" si="12"/>
        <v>0</v>
      </c>
      <c r="AD14" s="35">
        <f t="shared" si="13"/>
        <v>0</v>
      </c>
      <c r="AE14" s="36">
        <f t="shared" si="14"/>
        <v>0</v>
      </c>
      <c r="AG14" s="35">
        <f t="shared" si="15"/>
        <v>0</v>
      </c>
      <c r="AH14" s="36">
        <f t="shared" si="16"/>
        <v>0</v>
      </c>
      <c r="AI14" s="35">
        <f t="shared" si="17"/>
        <v>0</v>
      </c>
      <c r="AJ14" s="36">
        <f t="shared" si="18"/>
        <v>0</v>
      </c>
      <c r="AL14" s="35">
        <f t="shared" si="19"/>
        <v>0</v>
      </c>
      <c r="AM14" s="36">
        <f t="shared" si="20"/>
        <v>0</v>
      </c>
      <c r="AN14" s="35">
        <f t="shared" si="21"/>
        <v>0</v>
      </c>
      <c r="AO14" s="36">
        <f t="shared" si="22"/>
        <v>0</v>
      </c>
    </row>
    <row r="15" spans="1:41" x14ac:dyDescent="0.3">
      <c r="A15" t="s">
        <v>4</v>
      </c>
      <c r="C15" s="8">
        <v>14.95</v>
      </c>
      <c r="D15" s="1"/>
      <c r="E15" s="1">
        <v>0.99206099999999997</v>
      </c>
      <c r="F15" s="15">
        <f t="shared" si="0"/>
        <v>31.989006944999996</v>
      </c>
      <c r="G15" s="1"/>
      <c r="H15" s="1">
        <v>1.002723</v>
      </c>
      <c r="I15" s="15">
        <f t="shared" si="2"/>
        <v>9425.8970169000004</v>
      </c>
      <c r="J15" s="16">
        <f t="shared" si="3"/>
        <v>0.3819265151683115</v>
      </c>
      <c r="K15" s="1"/>
      <c r="L15" s="1">
        <v>0.99475000000000002</v>
      </c>
      <c r="M15" s="15">
        <f t="shared" si="4"/>
        <v>89.433993500000014</v>
      </c>
      <c r="N15" s="1"/>
      <c r="O15" s="1">
        <v>0.85</v>
      </c>
      <c r="P15" s="15">
        <f t="shared" si="5"/>
        <v>530.36</v>
      </c>
      <c r="Q15" s="15"/>
      <c r="S15" s="45"/>
      <c r="T15" s="48"/>
      <c r="U15">
        <f t="shared" si="6"/>
        <v>1</v>
      </c>
      <c r="V15" t="str">
        <f t="shared" si="1"/>
        <v>min</v>
      </c>
      <c r="W15" s="35">
        <f t="shared" si="7"/>
        <v>0</v>
      </c>
      <c r="X15" s="36">
        <f t="shared" si="8"/>
        <v>0</v>
      </c>
      <c r="Y15" s="35">
        <f t="shared" si="9"/>
        <v>0</v>
      </c>
      <c r="Z15" s="36">
        <f t="shared" si="10"/>
        <v>0</v>
      </c>
      <c r="AB15" s="35">
        <f t="shared" si="11"/>
        <v>0</v>
      </c>
      <c r="AC15" s="36">
        <f t="shared" si="12"/>
        <v>0</v>
      </c>
      <c r="AD15" s="35">
        <f t="shared" si="13"/>
        <v>0</v>
      </c>
      <c r="AE15" s="36">
        <f t="shared" si="14"/>
        <v>0</v>
      </c>
      <c r="AG15" s="35">
        <f t="shared" si="15"/>
        <v>0</v>
      </c>
      <c r="AH15" s="36">
        <f t="shared" si="16"/>
        <v>0</v>
      </c>
      <c r="AI15" s="35">
        <f t="shared" si="17"/>
        <v>0</v>
      </c>
      <c r="AJ15" s="36">
        <f t="shared" si="18"/>
        <v>0</v>
      </c>
      <c r="AL15" s="35">
        <f t="shared" si="19"/>
        <v>0</v>
      </c>
      <c r="AM15" s="36">
        <f t="shared" si="20"/>
        <v>0</v>
      </c>
      <c r="AN15" s="35">
        <f t="shared" si="21"/>
        <v>0</v>
      </c>
      <c r="AO15" s="36">
        <f t="shared" si="22"/>
        <v>0</v>
      </c>
    </row>
    <row r="16" spans="1:41" x14ac:dyDescent="0.3">
      <c r="C16" s="8">
        <v>16.190000000000001</v>
      </c>
      <c r="D16" s="1"/>
      <c r="E16" s="1">
        <v>0.99023099999999997</v>
      </c>
      <c r="F16" s="15">
        <f t="shared" si="0"/>
        <v>31.929998594999997</v>
      </c>
      <c r="G16" s="1"/>
      <c r="H16" s="1">
        <v>1.0033620000000001</v>
      </c>
      <c r="I16" s="15">
        <f t="shared" si="2"/>
        <v>9431.9038086</v>
      </c>
      <c r="J16" s="16">
        <f t="shared" si="3"/>
        <v>0.38168328187544953</v>
      </c>
      <c r="K16" s="1"/>
      <c r="L16" s="1">
        <v>0.99352700000000005</v>
      </c>
      <c r="M16" s="15">
        <f t="shared" si="4"/>
        <v>89.324038462000004</v>
      </c>
      <c r="N16" s="1"/>
      <c r="O16" s="8">
        <v>1.06</v>
      </c>
      <c r="P16" s="15">
        <f t="shared" si="5"/>
        <v>530.56999999999994</v>
      </c>
      <c r="Q16" s="15"/>
      <c r="S16" s="45"/>
      <c r="T16" s="46">
        <f>AN44+(AL44-AN44)/(AM44-AO44)*($T$3-AO44)</f>
        <v>529.51639999999998</v>
      </c>
      <c r="U16">
        <f t="shared" si="6"/>
        <v>1</v>
      </c>
      <c r="V16" t="str">
        <f t="shared" si="1"/>
        <v>min</v>
      </c>
      <c r="W16" s="35">
        <f t="shared" si="7"/>
        <v>0</v>
      </c>
      <c r="X16" s="36">
        <f t="shared" si="8"/>
        <v>0</v>
      </c>
      <c r="Y16" s="35">
        <f t="shared" si="9"/>
        <v>0</v>
      </c>
      <c r="Z16" s="36">
        <f t="shared" si="10"/>
        <v>0</v>
      </c>
      <c r="AB16" s="35">
        <f t="shared" si="11"/>
        <v>0</v>
      </c>
      <c r="AC16" s="36">
        <f t="shared" si="12"/>
        <v>0</v>
      </c>
      <c r="AD16" s="35">
        <f t="shared" si="13"/>
        <v>0</v>
      </c>
      <c r="AE16" s="36">
        <f t="shared" si="14"/>
        <v>0</v>
      </c>
      <c r="AG16" s="35">
        <f t="shared" si="15"/>
        <v>0</v>
      </c>
      <c r="AH16" s="36">
        <f t="shared" si="16"/>
        <v>0</v>
      </c>
      <c r="AI16" s="35">
        <f t="shared" si="17"/>
        <v>0</v>
      </c>
      <c r="AJ16" s="36">
        <f t="shared" si="18"/>
        <v>0</v>
      </c>
      <c r="AL16" s="35">
        <f t="shared" si="19"/>
        <v>0</v>
      </c>
      <c r="AM16" s="36">
        <f t="shared" si="20"/>
        <v>0</v>
      </c>
      <c r="AN16" s="35">
        <f t="shared" si="21"/>
        <v>0</v>
      </c>
      <c r="AO16" s="36">
        <f t="shared" si="22"/>
        <v>0</v>
      </c>
    </row>
    <row r="17" spans="3:41" ht="15" thickBot="1" x14ac:dyDescent="0.35">
      <c r="C17" s="8">
        <v>17.440000000000001</v>
      </c>
      <c r="D17" s="1"/>
      <c r="E17" s="1">
        <v>0.98827699999999996</v>
      </c>
      <c r="F17" s="15">
        <f t="shared" si="0"/>
        <v>31.866991864999996</v>
      </c>
      <c r="G17" s="1"/>
      <c r="H17" s="1">
        <v>1.0040210000000001</v>
      </c>
      <c r="I17" s="15">
        <f t="shared" si="2"/>
        <v>9438.0986063</v>
      </c>
      <c r="J17" s="16">
        <f t="shared" si="3"/>
        <v>0.38143275994139048</v>
      </c>
      <c r="K17" s="1"/>
      <c r="L17" s="1">
        <v>0.99223600000000001</v>
      </c>
      <c r="M17" s="15">
        <f t="shared" si="4"/>
        <v>89.207969816000002</v>
      </c>
      <c r="N17" s="1"/>
      <c r="O17" s="8">
        <v>1.26</v>
      </c>
      <c r="P17" s="15">
        <f t="shared" si="5"/>
        <v>530.77</v>
      </c>
      <c r="Q17" s="15"/>
      <c r="S17" s="49" t="s">
        <v>44</v>
      </c>
      <c r="T17" s="50">
        <f>T16-P11</f>
        <v>6.3999999999850843E-3</v>
      </c>
      <c r="U17">
        <f t="shared" si="6"/>
        <v>1</v>
      </c>
      <c r="V17" t="str">
        <f t="shared" si="1"/>
        <v>min</v>
      </c>
      <c r="W17" s="35">
        <f t="shared" si="7"/>
        <v>0</v>
      </c>
      <c r="X17" s="36">
        <f t="shared" si="8"/>
        <v>0</v>
      </c>
      <c r="Y17" s="35">
        <f t="shared" si="9"/>
        <v>0</v>
      </c>
      <c r="Z17" s="36">
        <f t="shared" si="10"/>
        <v>0</v>
      </c>
      <c r="AB17" s="35">
        <f t="shared" si="11"/>
        <v>0</v>
      </c>
      <c r="AC17" s="36">
        <f t="shared" si="12"/>
        <v>0</v>
      </c>
      <c r="AD17" s="35">
        <f t="shared" si="13"/>
        <v>0</v>
      </c>
      <c r="AE17" s="36">
        <f t="shared" si="14"/>
        <v>0</v>
      </c>
      <c r="AG17" s="35">
        <f t="shared" si="15"/>
        <v>0</v>
      </c>
      <c r="AH17" s="36">
        <f t="shared" si="16"/>
        <v>0</v>
      </c>
      <c r="AI17" s="35">
        <f t="shared" si="17"/>
        <v>0</v>
      </c>
      <c r="AJ17" s="36">
        <f t="shared" si="18"/>
        <v>0</v>
      </c>
      <c r="AL17" s="35">
        <f t="shared" si="19"/>
        <v>0</v>
      </c>
      <c r="AM17" s="36">
        <f t="shared" si="20"/>
        <v>0</v>
      </c>
      <c r="AN17" s="35">
        <f t="shared" si="21"/>
        <v>0</v>
      </c>
      <c r="AO17" s="36">
        <f t="shared" si="22"/>
        <v>0</v>
      </c>
    </row>
    <row r="18" spans="3:41" x14ac:dyDescent="0.3">
      <c r="C18" s="8">
        <v>18.68</v>
      </c>
      <c r="D18" s="1"/>
      <c r="E18" s="1">
        <v>0.98623000000000005</v>
      </c>
      <c r="F18" s="15">
        <f t="shared" si="0"/>
        <v>31.800986349999999</v>
      </c>
      <c r="G18" s="1"/>
      <c r="H18" s="1">
        <v>1.004723</v>
      </c>
      <c r="I18" s="15">
        <f t="shared" si="2"/>
        <v>9444.697616899999</v>
      </c>
      <c r="J18" s="16">
        <f t="shared" si="3"/>
        <v>0.38116625285687189</v>
      </c>
      <c r="K18" s="1"/>
      <c r="L18" s="1">
        <v>0.99089000000000005</v>
      </c>
      <c r="M18" s="15">
        <f t="shared" si="4"/>
        <v>89.086956340000015</v>
      </c>
      <c r="N18" s="1"/>
      <c r="O18" s="8">
        <v>1.48</v>
      </c>
      <c r="P18" s="15">
        <f t="shared" si="5"/>
        <v>530.99</v>
      </c>
      <c r="Q18" s="15"/>
      <c r="T18" t="s">
        <v>88</v>
      </c>
      <c r="U18">
        <f t="shared" si="6"/>
        <v>1</v>
      </c>
      <c r="V18" t="str">
        <f t="shared" si="1"/>
        <v>min</v>
      </c>
      <c r="W18" s="35">
        <f t="shared" si="7"/>
        <v>0</v>
      </c>
      <c r="X18" s="36">
        <f t="shared" si="8"/>
        <v>0</v>
      </c>
      <c r="Y18" s="35">
        <f t="shared" si="9"/>
        <v>0</v>
      </c>
      <c r="Z18" s="36">
        <f t="shared" si="10"/>
        <v>0</v>
      </c>
      <c r="AB18" s="35">
        <f t="shared" si="11"/>
        <v>0</v>
      </c>
      <c r="AC18" s="36">
        <f t="shared" si="12"/>
        <v>0</v>
      </c>
      <c r="AD18" s="35">
        <f t="shared" si="13"/>
        <v>0</v>
      </c>
      <c r="AE18" s="36">
        <f t="shared" si="14"/>
        <v>0</v>
      </c>
      <c r="AG18" s="35">
        <f t="shared" si="15"/>
        <v>0</v>
      </c>
      <c r="AH18" s="36">
        <f t="shared" si="16"/>
        <v>0</v>
      </c>
      <c r="AI18" s="35">
        <f t="shared" si="17"/>
        <v>0</v>
      </c>
      <c r="AJ18" s="36">
        <f t="shared" si="18"/>
        <v>0</v>
      </c>
      <c r="AL18" s="35">
        <f t="shared" si="19"/>
        <v>0</v>
      </c>
      <c r="AM18" s="36">
        <f t="shared" si="20"/>
        <v>0</v>
      </c>
      <c r="AN18" s="35">
        <f t="shared" si="21"/>
        <v>0</v>
      </c>
      <c r="AO18" s="36">
        <f t="shared" si="22"/>
        <v>0</v>
      </c>
    </row>
    <row r="19" spans="3:41" x14ac:dyDescent="0.3">
      <c r="C19" s="8">
        <v>19.93</v>
      </c>
      <c r="D19" s="1"/>
      <c r="E19" s="1">
        <v>0.98430799999999996</v>
      </c>
      <c r="F19" s="15">
        <f t="shared" si="0"/>
        <v>31.739011459999997</v>
      </c>
      <c r="G19" s="1"/>
      <c r="H19" s="1">
        <v>1.005393</v>
      </c>
      <c r="I19" s="15">
        <f t="shared" si="2"/>
        <v>9450.9958178999987</v>
      </c>
      <c r="J19" s="16">
        <f t="shared" si="3"/>
        <v>0.38091224135150614</v>
      </c>
      <c r="K19" s="1"/>
      <c r="L19" s="1">
        <v>0.98958900000000005</v>
      </c>
      <c r="M19" s="15">
        <f t="shared" si="4"/>
        <v>88.969988634000003</v>
      </c>
      <c r="N19" s="1"/>
      <c r="O19" s="8">
        <v>1.68</v>
      </c>
      <c r="P19" s="15">
        <f t="shared" si="5"/>
        <v>531.18999999999994</v>
      </c>
      <c r="Q19" s="15"/>
      <c r="U19">
        <f t="shared" si="6"/>
        <v>1</v>
      </c>
      <c r="V19" t="str">
        <f t="shared" si="1"/>
        <v>min</v>
      </c>
      <c r="W19" s="35">
        <f t="shared" si="7"/>
        <v>0</v>
      </c>
      <c r="X19" s="36">
        <f t="shared" si="8"/>
        <v>0</v>
      </c>
      <c r="Y19" s="35">
        <f t="shared" si="9"/>
        <v>0</v>
      </c>
      <c r="Z19" s="36">
        <f t="shared" si="10"/>
        <v>0</v>
      </c>
      <c r="AB19" s="35">
        <f t="shared" si="11"/>
        <v>0</v>
      </c>
      <c r="AC19" s="36">
        <f t="shared" si="12"/>
        <v>0</v>
      </c>
      <c r="AD19" s="35">
        <f t="shared" si="13"/>
        <v>0</v>
      </c>
      <c r="AE19" s="36">
        <f t="shared" si="14"/>
        <v>0</v>
      </c>
      <c r="AG19" s="35">
        <f t="shared" si="15"/>
        <v>0</v>
      </c>
      <c r="AH19" s="36">
        <f t="shared" si="16"/>
        <v>0</v>
      </c>
      <c r="AI19" s="35">
        <f t="shared" si="17"/>
        <v>0</v>
      </c>
      <c r="AJ19" s="36">
        <f t="shared" si="18"/>
        <v>0</v>
      </c>
      <c r="AL19" s="35">
        <f t="shared" si="19"/>
        <v>0</v>
      </c>
      <c r="AM19" s="36">
        <f t="shared" si="20"/>
        <v>0</v>
      </c>
      <c r="AN19" s="35">
        <f t="shared" si="21"/>
        <v>0</v>
      </c>
      <c r="AO19" s="36">
        <f t="shared" si="22"/>
        <v>0</v>
      </c>
    </row>
    <row r="20" spans="3:41" x14ac:dyDescent="0.3">
      <c r="C20" s="8">
        <v>21.17</v>
      </c>
      <c r="D20" s="1"/>
      <c r="E20" s="1">
        <v>0.98235399999999995</v>
      </c>
      <c r="F20" s="15">
        <f t="shared" si="0"/>
        <v>31.676004729999995</v>
      </c>
      <c r="G20" s="1"/>
      <c r="H20" s="1">
        <v>1.0060640000000001</v>
      </c>
      <c r="I20" s="15">
        <f t="shared" si="2"/>
        <v>9457.3034191999996</v>
      </c>
      <c r="J20" s="16">
        <f t="shared" si="3"/>
        <v>0.38065818980613048</v>
      </c>
      <c r="K20" s="1"/>
      <c r="L20" s="1">
        <v>0.98829900000000004</v>
      </c>
      <c r="M20" s="15">
        <f t="shared" si="4"/>
        <v>88.854009894000015</v>
      </c>
      <c r="N20" s="1"/>
      <c r="O20" s="8">
        <v>1.89</v>
      </c>
      <c r="P20" s="15">
        <f t="shared" si="5"/>
        <v>531.4</v>
      </c>
      <c r="Q20" s="15"/>
      <c r="U20">
        <f t="shared" si="6"/>
        <v>1</v>
      </c>
      <c r="V20" t="str">
        <f t="shared" si="1"/>
        <v>min</v>
      </c>
      <c r="W20" s="35">
        <f t="shared" si="7"/>
        <v>0</v>
      </c>
      <c r="X20" s="36">
        <f t="shared" si="8"/>
        <v>0</v>
      </c>
      <c r="Y20" s="35">
        <f t="shared" si="9"/>
        <v>0</v>
      </c>
      <c r="Z20" s="36">
        <f t="shared" si="10"/>
        <v>0</v>
      </c>
      <c r="AB20" s="35">
        <f t="shared" si="11"/>
        <v>0</v>
      </c>
      <c r="AC20" s="36">
        <f t="shared" si="12"/>
        <v>0</v>
      </c>
      <c r="AD20" s="35">
        <f t="shared" si="13"/>
        <v>0</v>
      </c>
      <c r="AE20" s="36">
        <f t="shared" si="14"/>
        <v>0</v>
      </c>
      <c r="AG20" s="35">
        <f t="shared" si="15"/>
        <v>0</v>
      </c>
      <c r="AH20" s="36">
        <f t="shared" si="16"/>
        <v>0</v>
      </c>
      <c r="AI20" s="35">
        <f t="shared" si="17"/>
        <v>0</v>
      </c>
      <c r="AJ20" s="36">
        <f t="shared" si="18"/>
        <v>0</v>
      </c>
      <c r="AL20" s="35">
        <f t="shared" si="19"/>
        <v>0</v>
      </c>
      <c r="AM20" s="36">
        <f t="shared" si="20"/>
        <v>0</v>
      </c>
      <c r="AN20" s="35">
        <f t="shared" si="21"/>
        <v>0</v>
      </c>
      <c r="AO20" s="36">
        <f t="shared" si="22"/>
        <v>0</v>
      </c>
    </row>
    <row r="21" spans="3:41" x14ac:dyDescent="0.3">
      <c r="C21" s="8">
        <v>22.42</v>
      </c>
      <c r="D21" s="1"/>
      <c r="E21" s="1">
        <v>0.98040000000000005</v>
      </c>
      <c r="F21" s="15">
        <f t="shared" si="0"/>
        <v>31.612997999999997</v>
      </c>
      <c r="G21" s="1"/>
      <c r="H21" s="1">
        <v>1.0067440000000001</v>
      </c>
      <c r="I21" s="15">
        <f t="shared" si="2"/>
        <v>9463.6956231999993</v>
      </c>
      <c r="J21" s="16">
        <f t="shared" si="3"/>
        <v>0.38040107621114688</v>
      </c>
      <c r="K21" s="1"/>
      <c r="L21" s="1">
        <v>0.98700900000000003</v>
      </c>
      <c r="M21" s="15">
        <f t="shared" si="4"/>
        <v>88.738031154000012</v>
      </c>
      <c r="N21" s="1"/>
      <c r="O21" s="8">
        <v>2.1</v>
      </c>
      <c r="P21" s="15">
        <f t="shared" si="5"/>
        <v>531.61</v>
      </c>
      <c r="Q21" s="15"/>
      <c r="U21">
        <f t="shared" si="6"/>
        <v>1</v>
      </c>
      <c r="V21" t="str">
        <f t="shared" si="1"/>
        <v>min</v>
      </c>
      <c r="W21" s="35">
        <f t="shared" si="7"/>
        <v>0</v>
      </c>
      <c r="X21" s="36">
        <f t="shared" si="8"/>
        <v>0</v>
      </c>
      <c r="Y21" s="35">
        <f t="shared" si="9"/>
        <v>0</v>
      </c>
      <c r="Z21" s="36">
        <f t="shared" si="10"/>
        <v>0</v>
      </c>
      <c r="AB21" s="35">
        <f t="shared" si="11"/>
        <v>0</v>
      </c>
      <c r="AC21" s="36">
        <f t="shared" si="12"/>
        <v>0</v>
      </c>
      <c r="AD21" s="35">
        <f t="shared" si="13"/>
        <v>0</v>
      </c>
      <c r="AE21" s="36">
        <f t="shared" si="14"/>
        <v>0</v>
      </c>
      <c r="AG21" s="35">
        <f t="shared" si="15"/>
        <v>0</v>
      </c>
      <c r="AH21" s="36">
        <f t="shared" si="16"/>
        <v>0</v>
      </c>
      <c r="AI21" s="35">
        <f t="shared" si="17"/>
        <v>0</v>
      </c>
      <c r="AJ21" s="36">
        <f t="shared" si="18"/>
        <v>0</v>
      </c>
      <c r="AL21" s="35">
        <f t="shared" si="19"/>
        <v>0</v>
      </c>
      <c r="AM21" s="36">
        <f t="shared" si="20"/>
        <v>0</v>
      </c>
      <c r="AN21" s="35">
        <f t="shared" si="21"/>
        <v>0</v>
      </c>
      <c r="AO21" s="36">
        <f t="shared" si="22"/>
        <v>0</v>
      </c>
    </row>
    <row r="22" spans="3:41" x14ac:dyDescent="0.3">
      <c r="C22" s="8">
        <v>23.66</v>
      </c>
      <c r="D22" s="1"/>
      <c r="E22" s="1">
        <v>0.97844600000000004</v>
      </c>
      <c r="F22" s="15">
        <f t="shared" si="0"/>
        <v>31.54999127</v>
      </c>
      <c r="G22" s="1"/>
      <c r="H22" s="1">
        <v>1.007425</v>
      </c>
      <c r="I22" s="15">
        <f t="shared" si="2"/>
        <v>9470.0972274999986</v>
      </c>
      <c r="J22" s="16">
        <f t="shared" si="3"/>
        <v>0.38014393237125832</v>
      </c>
      <c r="K22" s="1"/>
      <c r="L22" s="1">
        <v>0.98569600000000002</v>
      </c>
      <c r="M22" s="15">
        <f t="shared" si="4"/>
        <v>88.619984576000007</v>
      </c>
      <c r="N22" s="1"/>
      <c r="O22" s="8">
        <v>2.2999999999999998</v>
      </c>
      <c r="P22" s="15">
        <f t="shared" si="5"/>
        <v>531.80999999999995</v>
      </c>
      <c r="Q22" s="15"/>
      <c r="U22">
        <f t="shared" si="6"/>
        <v>1</v>
      </c>
      <c r="V22" t="str">
        <f t="shared" si="1"/>
        <v>min</v>
      </c>
      <c r="W22" s="35">
        <f t="shared" si="7"/>
        <v>0</v>
      </c>
      <c r="X22" s="36">
        <f t="shared" si="8"/>
        <v>0</v>
      </c>
      <c r="Y22" s="35">
        <f t="shared" si="9"/>
        <v>0</v>
      </c>
      <c r="Z22" s="36">
        <f t="shared" si="10"/>
        <v>0</v>
      </c>
      <c r="AB22" s="35">
        <f t="shared" si="11"/>
        <v>0</v>
      </c>
      <c r="AC22" s="36">
        <f t="shared" si="12"/>
        <v>0</v>
      </c>
      <c r="AD22" s="35">
        <f t="shared" si="13"/>
        <v>0</v>
      </c>
      <c r="AE22" s="36">
        <f t="shared" si="14"/>
        <v>0</v>
      </c>
      <c r="AG22" s="35">
        <f t="shared" si="15"/>
        <v>0</v>
      </c>
      <c r="AH22" s="36">
        <f t="shared" si="16"/>
        <v>0</v>
      </c>
      <c r="AI22" s="35">
        <f t="shared" si="17"/>
        <v>0</v>
      </c>
      <c r="AJ22" s="36">
        <f t="shared" si="18"/>
        <v>0</v>
      </c>
      <c r="AL22" s="35">
        <f t="shared" si="19"/>
        <v>0</v>
      </c>
      <c r="AM22" s="36">
        <f t="shared" si="20"/>
        <v>0</v>
      </c>
      <c r="AN22" s="35">
        <f t="shared" si="21"/>
        <v>0</v>
      </c>
      <c r="AO22" s="36">
        <f t="shared" si="22"/>
        <v>0</v>
      </c>
    </row>
    <row r="23" spans="3:41" x14ac:dyDescent="0.3">
      <c r="C23" s="8">
        <v>24.91</v>
      </c>
      <c r="D23" s="1"/>
      <c r="E23" s="1">
        <v>0.97630600000000001</v>
      </c>
      <c r="F23" s="15">
        <f t="shared" si="0"/>
        <v>31.480986969999996</v>
      </c>
      <c r="G23" s="1"/>
      <c r="H23" s="1">
        <v>1.008127</v>
      </c>
      <c r="I23" s="15">
        <f t="shared" si="2"/>
        <v>9476.6962380999994</v>
      </c>
      <c r="J23" s="16">
        <f t="shared" si="3"/>
        <v>0.37987922262682661</v>
      </c>
      <c r="K23" s="1"/>
      <c r="L23" s="1">
        <v>0.98428400000000005</v>
      </c>
      <c r="M23" s="15">
        <f t="shared" si="4"/>
        <v>88.493037304000012</v>
      </c>
      <c r="N23" s="1"/>
      <c r="O23" s="8">
        <v>2.5</v>
      </c>
      <c r="P23" s="15">
        <f t="shared" si="5"/>
        <v>532.01</v>
      </c>
      <c r="Q23" s="15"/>
      <c r="U23">
        <f t="shared" si="6"/>
        <v>1</v>
      </c>
      <c r="V23" t="str">
        <f t="shared" si="1"/>
        <v>min</v>
      </c>
      <c r="W23" s="35">
        <f t="shared" si="7"/>
        <v>0</v>
      </c>
      <c r="X23" s="36">
        <f t="shared" si="8"/>
        <v>0</v>
      </c>
      <c r="Y23" s="35">
        <f t="shared" si="9"/>
        <v>0</v>
      </c>
      <c r="Z23" s="36">
        <f t="shared" si="10"/>
        <v>0</v>
      </c>
      <c r="AB23" s="35">
        <f t="shared" si="11"/>
        <v>0</v>
      </c>
      <c r="AC23" s="36">
        <f t="shared" si="12"/>
        <v>0</v>
      </c>
      <c r="AD23" s="35">
        <f t="shared" si="13"/>
        <v>0</v>
      </c>
      <c r="AE23" s="36">
        <f t="shared" si="14"/>
        <v>0</v>
      </c>
      <c r="AG23" s="35">
        <f t="shared" si="15"/>
        <v>0</v>
      </c>
      <c r="AH23" s="36">
        <f t="shared" si="16"/>
        <v>0</v>
      </c>
      <c r="AI23" s="35">
        <f t="shared" si="17"/>
        <v>0</v>
      </c>
      <c r="AJ23" s="36">
        <f t="shared" si="18"/>
        <v>0</v>
      </c>
      <c r="AL23" s="35">
        <f t="shared" si="19"/>
        <v>0</v>
      </c>
      <c r="AM23" s="36">
        <f t="shared" si="20"/>
        <v>0</v>
      </c>
      <c r="AN23" s="35">
        <f t="shared" si="21"/>
        <v>0</v>
      </c>
      <c r="AO23" s="36">
        <f t="shared" si="22"/>
        <v>0</v>
      </c>
    </row>
    <row r="24" spans="3:41" x14ac:dyDescent="0.3">
      <c r="C24" s="8">
        <v>26.15</v>
      </c>
      <c r="D24" s="1"/>
      <c r="E24" s="1">
        <v>0.97435300000000002</v>
      </c>
      <c r="F24" s="15">
        <f t="shared" si="0"/>
        <v>31.418012484999998</v>
      </c>
      <c r="G24" s="1"/>
      <c r="H24" s="1">
        <v>1.0088189999999999</v>
      </c>
      <c r="I24" s="15">
        <f t="shared" si="2"/>
        <v>9483.2012456999983</v>
      </c>
      <c r="J24" s="16">
        <f t="shared" si="3"/>
        <v>0.37961864424551373</v>
      </c>
      <c r="K24" s="1"/>
      <c r="L24" s="1">
        <v>0.98298200000000002</v>
      </c>
      <c r="M24" s="15">
        <f t="shared" si="4"/>
        <v>88.375979692000001</v>
      </c>
      <c r="N24" s="1"/>
      <c r="O24" s="8">
        <v>2.71</v>
      </c>
      <c r="P24" s="15">
        <f t="shared" si="5"/>
        <v>532.22</v>
      </c>
      <c r="Q24" s="15"/>
      <c r="U24">
        <f t="shared" si="6"/>
        <v>1</v>
      </c>
      <c r="V24" t="str">
        <f t="shared" si="1"/>
        <v>min</v>
      </c>
      <c r="W24" s="35">
        <f t="shared" si="7"/>
        <v>0</v>
      </c>
      <c r="X24" s="36">
        <f t="shared" si="8"/>
        <v>0</v>
      </c>
      <c r="Y24" s="35">
        <f t="shared" si="9"/>
        <v>0</v>
      </c>
      <c r="Z24" s="36">
        <f t="shared" si="10"/>
        <v>0</v>
      </c>
      <c r="AB24" s="35">
        <f t="shared" si="11"/>
        <v>0</v>
      </c>
      <c r="AC24" s="36">
        <f t="shared" si="12"/>
        <v>0</v>
      </c>
      <c r="AD24" s="35">
        <f t="shared" si="13"/>
        <v>0</v>
      </c>
      <c r="AE24" s="36">
        <f t="shared" si="14"/>
        <v>0</v>
      </c>
      <c r="AG24" s="35">
        <f t="shared" si="15"/>
        <v>0</v>
      </c>
      <c r="AH24" s="36">
        <f t="shared" si="16"/>
        <v>0</v>
      </c>
      <c r="AI24" s="35">
        <f t="shared" si="17"/>
        <v>0</v>
      </c>
      <c r="AJ24" s="36">
        <f t="shared" si="18"/>
        <v>0</v>
      </c>
      <c r="AL24" s="35">
        <f t="shared" si="19"/>
        <v>0</v>
      </c>
      <c r="AM24" s="36">
        <f t="shared" si="20"/>
        <v>0</v>
      </c>
      <c r="AN24" s="35">
        <f t="shared" si="21"/>
        <v>0</v>
      </c>
      <c r="AO24" s="36">
        <f t="shared" si="22"/>
        <v>0</v>
      </c>
    </row>
    <row r="25" spans="3:41" x14ac:dyDescent="0.3">
      <c r="C25" s="8">
        <v>27.4</v>
      </c>
      <c r="D25" s="1"/>
      <c r="E25" s="1">
        <v>0.97258500000000003</v>
      </c>
      <c r="F25" s="15">
        <f t="shared" si="0"/>
        <v>31.361003324999999</v>
      </c>
      <c r="G25" s="6"/>
      <c r="H25" s="1">
        <v>1.0094780000000001</v>
      </c>
      <c r="I25" s="15">
        <f t="shared" si="2"/>
        <v>9489.3960434000001</v>
      </c>
      <c r="J25" s="16">
        <f t="shared" si="3"/>
        <v>0.37937082439549435</v>
      </c>
      <c r="K25" s="6"/>
      <c r="L25" s="1">
        <v>0.98181399999999996</v>
      </c>
      <c r="M25" s="15">
        <f t="shared" si="4"/>
        <v>88.270969484000005</v>
      </c>
      <c r="N25" s="6"/>
      <c r="O25" s="8">
        <v>2.93</v>
      </c>
      <c r="P25" s="15">
        <f t="shared" si="5"/>
        <v>532.43999999999994</v>
      </c>
      <c r="Q25" s="15"/>
      <c r="U25">
        <f t="shared" si="6"/>
        <v>1</v>
      </c>
      <c r="V25" t="str">
        <f t="shared" si="1"/>
        <v>min</v>
      </c>
      <c r="W25" s="35">
        <f t="shared" si="7"/>
        <v>0</v>
      </c>
      <c r="X25" s="36">
        <f t="shared" si="8"/>
        <v>0</v>
      </c>
      <c r="Y25" s="35">
        <f t="shared" si="9"/>
        <v>0</v>
      </c>
      <c r="Z25" s="36">
        <f t="shared" si="10"/>
        <v>0</v>
      </c>
      <c r="AB25" s="35">
        <f t="shared" si="11"/>
        <v>0</v>
      </c>
      <c r="AC25" s="36">
        <f t="shared" si="12"/>
        <v>0</v>
      </c>
      <c r="AD25" s="35">
        <f t="shared" si="13"/>
        <v>0</v>
      </c>
      <c r="AE25" s="36">
        <f t="shared" si="14"/>
        <v>0</v>
      </c>
      <c r="AG25" s="35">
        <f t="shared" si="15"/>
        <v>0</v>
      </c>
      <c r="AH25" s="36">
        <f t="shared" si="16"/>
        <v>0</v>
      </c>
      <c r="AI25" s="35">
        <f t="shared" si="17"/>
        <v>0</v>
      </c>
      <c r="AJ25" s="36">
        <f t="shared" si="18"/>
        <v>0</v>
      </c>
      <c r="AL25" s="35">
        <f t="shared" si="19"/>
        <v>0</v>
      </c>
      <c r="AM25" s="36">
        <f t="shared" si="20"/>
        <v>0</v>
      </c>
      <c r="AN25" s="35">
        <f t="shared" si="21"/>
        <v>0</v>
      </c>
      <c r="AO25" s="36">
        <f t="shared" si="22"/>
        <v>0</v>
      </c>
    </row>
    <row r="26" spans="3:41" x14ac:dyDescent="0.3">
      <c r="C26" s="8">
        <v>28.65</v>
      </c>
      <c r="D26" s="1"/>
      <c r="E26" s="1">
        <v>0.97053800000000001</v>
      </c>
      <c r="F26" s="15">
        <f t="shared" si="0"/>
        <v>31.294997809999998</v>
      </c>
      <c r="G26" s="1"/>
      <c r="H26" s="1">
        <v>1.010181</v>
      </c>
      <c r="I26" s="15">
        <f t="shared" si="2"/>
        <v>9496.0044542999985</v>
      </c>
      <c r="J26" s="16">
        <f t="shared" si="3"/>
        <v>0.37910681458977635</v>
      </c>
      <c r="K26" s="1"/>
      <c r="L26" s="1">
        <v>0.98044600000000004</v>
      </c>
      <c r="M26" s="15">
        <f t="shared" si="4"/>
        <v>88.147978076000015</v>
      </c>
      <c r="N26" s="1"/>
      <c r="O26" s="8">
        <v>3.12</v>
      </c>
      <c r="P26" s="15">
        <f t="shared" si="5"/>
        <v>532.63</v>
      </c>
      <c r="Q26" s="15"/>
      <c r="U26">
        <f t="shared" si="6"/>
        <v>1</v>
      </c>
      <c r="V26" t="str">
        <f t="shared" si="1"/>
        <v>min</v>
      </c>
      <c r="W26" s="35">
        <f t="shared" si="7"/>
        <v>0</v>
      </c>
      <c r="X26" s="36">
        <f t="shared" si="8"/>
        <v>0</v>
      </c>
      <c r="Y26" s="35">
        <f t="shared" si="9"/>
        <v>0</v>
      </c>
      <c r="Z26" s="36">
        <f t="shared" si="10"/>
        <v>0</v>
      </c>
      <c r="AB26" s="35">
        <f t="shared" si="11"/>
        <v>0</v>
      </c>
      <c r="AC26" s="36">
        <f t="shared" si="12"/>
        <v>0</v>
      </c>
      <c r="AD26" s="35">
        <f t="shared" si="13"/>
        <v>0</v>
      </c>
      <c r="AE26" s="36">
        <f t="shared" si="14"/>
        <v>0</v>
      </c>
      <c r="AG26" s="35">
        <f t="shared" si="15"/>
        <v>0</v>
      </c>
      <c r="AH26" s="36">
        <f t="shared" si="16"/>
        <v>0</v>
      </c>
      <c r="AI26" s="35">
        <f t="shared" si="17"/>
        <v>0</v>
      </c>
      <c r="AJ26" s="36">
        <f t="shared" si="18"/>
        <v>0</v>
      </c>
      <c r="AL26" s="35">
        <f t="shared" si="19"/>
        <v>0</v>
      </c>
      <c r="AM26" s="36">
        <f t="shared" si="20"/>
        <v>0</v>
      </c>
      <c r="AN26" s="35">
        <f t="shared" si="21"/>
        <v>0</v>
      </c>
      <c r="AO26" s="36">
        <f t="shared" si="22"/>
        <v>0</v>
      </c>
    </row>
    <row r="27" spans="3:41" x14ac:dyDescent="0.3">
      <c r="C27" s="8">
        <v>29.89</v>
      </c>
      <c r="D27" s="1"/>
      <c r="E27" s="1">
        <v>0.96867700000000001</v>
      </c>
      <c r="F27" s="15">
        <f t="shared" si="0"/>
        <v>31.234989864999999</v>
      </c>
      <c r="G27" s="1"/>
      <c r="H27" s="1">
        <v>1.0108509999999999</v>
      </c>
      <c r="I27" s="15">
        <f t="shared" si="2"/>
        <v>9502.3026552999982</v>
      </c>
      <c r="J27" s="16">
        <f t="shared" si="3"/>
        <v>0.37885553960881957</v>
      </c>
      <c r="K27" s="1"/>
      <c r="L27" s="1">
        <v>0.97919999999999996</v>
      </c>
      <c r="M27" s="15">
        <f t="shared" si="4"/>
        <v>88.035955200000004</v>
      </c>
      <c r="N27" s="1"/>
      <c r="O27" s="8">
        <v>3.33</v>
      </c>
      <c r="P27" s="15">
        <f t="shared" si="5"/>
        <v>532.84</v>
      </c>
      <c r="Q27" s="15"/>
      <c r="U27">
        <f t="shared" si="6"/>
        <v>1</v>
      </c>
      <c r="V27" t="str">
        <f t="shared" si="1"/>
        <v>min</v>
      </c>
      <c r="W27" s="35">
        <f t="shared" si="7"/>
        <v>0</v>
      </c>
      <c r="X27" s="36">
        <f t="shared" si="8"/>
        <v>0</v>
      </c>
      <c r="Y27" s="35">
        <f t="shared" si="9"/>
        <v>0</v>
      </c>
      <c r="Z27" s="36">
        <f t="shared" si="10"/>
        <v>0</v>
      </c>
      <c r="AB27" s="35">
        <f t="shared" si="11"/>
        <v>0</v>
      </c>
      <c r="AC27" s="36">
        <f t="shared" si="12"/>
        <v>0</v>
      </c>
      <c r="AD27" s="35">
        <f t="shared" si="13"/>
        <v>0</v>
      </c>
      <c r="AE27" s="36">
        <f t="shared" si="14"/>
        <v>0</v>
      </c>
      <c r="AG27" s="35">
        <f t="shared" si="15"/>
        <v>0</v>
      </c>
      <c r="AH27" s="36">
        <f t="shared" si="16"/>
        <v>0</v>
      </c>
      <c r="AI27" s="35">
        <f t="shared" si="17"/>
        <v>0</v>
      </c>
      <c r="AJ27" s="36">
        <f t="shared" si="18"/>
        <v>0</v>
      </c>
      <c r="AL27" s="35">
        <f t="shared" si="19"/>
        <v>0</v>
      </c>
      <c r="AM27" s="36">
        <f t="shared" si="20"/>
        <v>0</v>
      </c>
      <c r="AN27" s="35">
        <f t="shared" si="21"/>
        <v>0</v>
      </c>
      <c r="AO27" s="36">
        <f t="shared" si="22"/>
        <v>0</v>
      </c>
    </row>
    <row r="28" spans="3:41" x14ac:dyDescent="0.3">
      <c r="C28" s="8">
        <v>31.14</v>
      </c>
      <c r="D28" s="1"/>
      <c r="E28" s="1">
        <v>0.96669300000000002</v>
      </c>
      <c r="F28" s="15">
        <f t="shared" si="0"/>
        <v>31.171015784999998</v>
      </c>
      <c r="G28" s="1"/>
      <c r="H28" s="1">
        <v>1.0115209999999999</v>
      </c>
      <c r="I28" s="15">
        <f t="shared" si="2"/>
        <v>9508.6008562999978</v>
      </c>
      <c r="J28" s="16">
        <f t="shared" si="3"/>
        <v>0.37860459750130243</v>
      </c>
      <c r="K28" s="1"/>
      <c r="L28" s="1">
        <v>0.977877</v>
      </c>
      <c r="M28" s="15">
        <f t="shared" si="4"/>
        <v>87.917009562000004</v>
      </c>
      <c r="N28" s="1"/>
      <c r="O28" s="8">
        <v>3.52</v>
      </c>
      <c r="P28" s="15">
        <f t="shared" si="5"/>
        <v>533.03</v>
      </c>
      <c r="Q28" s="15"/>
      <c r="U28">
        <f t="shared" si="6"/>
        <v>1</v>
      </c>
      <c r="V28" t="str">
        <f t="shared" si="1"/>
        <v>min</v>
      </c>
      <c r="W28" s="35">
        <f t="shared" si="7"/>
        <v>0</v>
      </c>
      <c r="X28" s="36">
        <f t="shared" si="8"/>
        <v>0</v>
      </c>
      <c r="Y28" s="35">
        <f t="shared" si="9"/>
        <v>0</v>
      </c>
      <c r="Z28" s="36">
        <f t="shared" si="10"/>
        <v>0</v>
      </c>
      <c r="AB28" s="35">
        <f t="shared" si="11"/>
        <v>0</v>
      </c>
      <c r="AC28" s="36">
        <f t="shared" si="12"/>
        <v>0</v>
      </c>
      <c r="AD28" s="35">
        <f t="shared" si="13"/>
        <v>0</v>
      </c>
      <c r="AE28" s="36">
        <f t="shared" si="14"/>
        <v>0</v>
      </c>
      <c r="AG28" s="35">
        <f t="shared" si="15"/>
        <v>0</v>
      </c>
      <c r="AH28" s="36">
        <f t="shared" si="16"/>
        <v>0</v>
      </c>
      <c r="AI28" s="35">
        <f t="shared" si="17"/>
        <v>0</v>
      </c>
      <c r="AJ28" s="36">
        <f t="shared" si="18"/>
        <v>0</v>
      </c>
      <c r="AL28" s="35">
        <f t="shared" si="19"/>
        <v>0</v>
      </c>
      <c r="AM28" s="36">
        <f t="shared" si="20"/>
        <v>0</v>
      </c>
      <c r="AN28" s="35">
        <f t="shared" si="21"/>
        <v>0</v>
      </c>
      <c r="AO28" s="36">
        <f t="shared" si="22"/>
        <v>0</v>
      </c>
    </row>
    <row r="29" spans="3:41" x14ac:dyDescent="0.3">
      <c r="C29" s="8">
        <v>32.380000000000003</v>
      </c>
      <c r="D29" s="1"/>
      <c r="E29" s="1">
        <v>0.96480100000000002</v>
      </c>
      <c r="F29" s="15">
        <f t="shared" si="0"/>
        <v>31.110008245</v>
      </c>
      <c r="G29" s="1"/>
      <c r="H29" s="1">
        <v>1.0122869999999999</v>
      </c>
      <c r="I29" s="15">
        <f t="shared" si="2"/>
        <v>9515.8014860999992</v>
      </c>
      <c r="J29" s="16">
        <f t="shared" si="3"/>
        <v>0.3783181064946155</v>
      </c>
      <c r="K29" s="1"/>
      <c r="L29" s="1">
        <v>0.97663100000000003</v>
      </c>
      <c r="M29" s="15">
        <f t="shared" si="4"/>
        <v>87.804986686000007</v>
      </c>
      <c r="N29" s="1"/>
      <c r="O29" s="8">
        <v>3.79</v>
      </c>
      <c r="P29" s="15">
        <f t="shared" si="5"/>
        <v>533.29999999999995</v>
      </c>
      <c r="Q29" s="15"/>
      <c r="U29">
        <f t="shared" si="6"/>
        <v>1</v>
      </c>
      <c r="V29" t="str">
        <f t="shared" si="1"/>
        <v>min</v>
      </c>
      <c r="W29" s="35">
        <f t="shared" si="7"/>
        <v>0</v>
      </c>
      <c r="X29" s="36">
        <f t="shared" si="8"/>
        <v>0</v>
      </c>
      <c r="Y29" s="35">
        <f t="shared" si="9"/>
        <v>0</v>
      </c>
      <c r="Z29" s="36">
        <f t="shared" si="10"/>
        <v>0</v>
      </c>
      <c r="AB29" s="35">
        <f t="shared" si="11"/>
        <v>0</v>
      </c>
      <c r="AC29" s="36">
        <f t="shared" si="12"/>
        <v>0</v>
      </c>
      <c r="AD29" s="35">
        <f t="shared" si="13"/>
        <v>0</v>
      </c>
      <c r="AE29" s="36">
        <f t="shared" si="14"/>
        <v>0</v>
      </c>
      <c r="AG29" s="35">
        <f t="shared" si="15"/>
        <v>0</v>
      </c>
      <c r="AH29" s="36">
        <f t="shared" si="16"/>
        <v>0</v>
      </c>
      <c r="AI29" s="35">
        <f t="shared" si="17"/>
        <v>0</v>
      </c>
      <c r="AJ29" s="36">
        <f t="shared" si="18"/>
        <v>0</v>
      </c>
      <c r="AL29" s="35">
        <f t="shared" si="19"/>
        <v>0</v>
      </c>
      <c r="AM29" s="36">
        <f t="shared" si="20"/>
        <v>0</v>
      </c>
      <c r="AN29" s="35">
        <f t="shared" si="21"/>
        <v>0</v>
      </c>
      <c r="AO29" s="36">
        <f t="shared" si="22"/>
        <v>0</v>
      </c>
    </row>
    <row r="30" spans="3:41" x14ac:dyDescent="0.3">
      <c r="C30" s="8">
        <v>33.630000000000003</v>
      </c>
      <c r="D30" s="1"/>
      <c r="E30" s="1">
        <v>0.96287800000000001</v>
      </c>
      <c r="F30" s="15">
        <f t="shared" si="0"/>
        <v>31.048001109999998</v>
      </c>
      <c r="G30" s="1"/>
      <c r="H30" s="1">
        <v>1.0129250000000001</v>
      </c>
      <c r="I30" s="15">
        <f t="shared" si="2"/>
        <v>9521.7988774999994</v>
      </c>
      <c r="J30" s="16">
        <f t="shared" si="3"/>
        <v>0.3780798194033268</v>
      </c>
      <c r="K30" s="1"/>
      <c r="L30" s="1">
        <v>0.975352</v>
      </c>
      <c r="M30" s="15">
        <f t="shared" si="4"/>
        <v>87.689996912000012</v>
      </c>
      <c r="N30" s="1"/>
      <c r="O30" s="8">
        <v>3.96</v>
      </c>
      <c r="P30" s="15">
        <f t="shared" si="5"/>
        <v>533.47</v>
      </c>
      <c r="Q30" s="15"/>
      <c r="U30">
        <f t="shared" si="6"/>
        <v>1</v>
      </c>
      <c r="V30" t="str">
        <f t="shared" si="1"/>
        <v>min</v>
      </c>
      <c r="W30" s="35">
        <f t="shared" si="7"/>
        <v>0</v>
      </c>
      <c r="X30" s="36">
        <f t="shared" si="8"/>
        <v>0</v>
      </c>
      <c r="Y30" s="35">
        <f t="shared" si="9"/>
        <v>0</v>
      </c>
      <c r="Z30" s="36">
        <f t="shared" si="10"/>
        <v>0</v>
      </c>
      <c r="AB30" s="35">
        <f t="shared" si="11"/>
        <v>0</v>
      </c>
      <c r="AC30" s="36">
        <f t="shared" si="12"/>
        <v>0</v>
      </c>
      <c r="AD30" s="35">
        <f t="shared" si="13"/>
        <v>0</v>
      </c>
      <c r="AE30" s="36">
        <f t="shared" si="14"/>
        <v>0</v>
      </c>
      <c r="AG30" s="35">
        <f t="shared" si="15"/>
        <v>0</v>
      </c>
      <c r="AH30" s="36">
        <f t="shared" si="16"/>
        <v>0</v>
      </c>
      <c r="AI30" s="35">
        <f t="shared" si="17"/>
        <v>0</v>
      </c>
      <c r="AJ30" s="36">
        <f t="shared" si="18"/>
        <v>0</v>
      </c>
      <c r="AL30" s="35">
        <f t="shared" si="19"/>
        <v>0</v>
      </c>
      <c r="AM30" s="36">
        <f t="shared" si="20"/>
        <v>0</v>
      </c>
      <c r="AN30" s="35">
        <f t="shared" si="21"/>
        <v>0</v>
      </c>
      <c r="AO30" s="36">
        <f t="shared" si="22"/>
        <v>0</v>
      </c>
    </row>
    <row r="31" spans="3:41" x14ac:dyDescent="0.3">
      <c r="C31" s="8">
        <v>34.869999999999997</v>
      </c>
      <c r="D31" s="1"/>
      <c r="E31" s="1">
        <v>0.96098600000000001</v>
      </c>
      <c r="F31" s="15">
        <f t="shared" si="0"/>
        <v>30.986993569999999</v>
      </c>
      <c r="G31" s="1"/>
      <c r="H31" s="1">
        <v>1.013606</v>
      </c>
      <c r="I31" s="15">
        <f t="shared" si="2"/>
        <v>9528.2004817999987</v>
      </c>
      <c r="J31" s="16">
        <f t="shared" si="3"/>
        <v>0.37782580319089948</v>
      </c>
      <c r="K31" s="1"/>
      <c r="L31" s="1">
        <v>0.97408399999999995</v>
      </c>
      <c r="M31" s="15">
        <f t="shared" si="4"/>
        <v>87.575996103999998</v>
      </c>
      <c r="N31" s="1"/>
      <c r="O31" s="8">
        <v>4.16</v>
      </c>
      <c r="P31" s="15">
        <f t="shared" si="5"/>
        <v>533.66999999999996</v>
      </c>
      <c r="Q31" s="15"/>
      <c r="U31">
        <f t="shared" si="6"/>
        <v>1</v>
      </c>
      <c r="V31" t="str">
        <f t="shared" si="1"/>
        <v>min</v>
      </c>
      <c r="W31" s="35">
        <f t="shared" si="7"/>
        <v>0</v>
      </c>
      <c r="X31" s="36">
        <f t="shared" si="8"/>
        <v>0</v>
      </c>
      <c r="Y31" s="35">
        <f t="shared" si="9"/>
        <v>0</v>
      </c>
      <c r="Z31" s="36">
        <f t="shared" si="10"/>
        <v>0</v>
      </c>
      <c r="AB31" s="35">
        <f t="shared" si="11"/>
        <v>0</v>
      </c>
      <c r="AC31" s="36">
        <f t="shared" si="12"/>
        <v>0</v>
      </c>
      <c r="AD31" s="35">
        <f t="shared" si="13"/>
        <v>0</v>
      </c>
      <c r="AE31" s="36">
        <f t="shared" si="14"/>
        <v>0</v>
      </c>
      <c r="AG31" s="35">
        <f t="shared" si="15"/>
        <v>0</v>
      </c>
      <c r="AH31" s="36">
        <f t="shared" si="16"/>
        <v>0</v>
      </c>
      <c r="AI31" s="35">
        <f t="shared" si="17"/>
        <v>0</v>
      </c>
      <c r="AJ31" s="36">
        <f t="shared" si="18"/>
        <v>0</v>
      </c>
      <c r="AL31" s="35">
        <f t="shared" si="19"/>
        <v>0</v>
      </c>
      <c r="AM31" s="36">
        <f t="shared" si="20"/>
        <v>0</v>
      </c>
      <c r="AN31" s="35">
        <f t="shared" si="21"/>
        <v>0</v>
      </c>
      <c r="AO31" s="36">
        <f t="shared" si="22"/>
        <v>0</v>
      </c>
    </row>
    <row r="32" spans="3:41" x14ac:dyDescent="0.3">
      <c r="C32" s="8">
        <v>36.119999999999997</v>
      </c>
      <c r="D32" s="1"/>
      <c r="E32" s="1">
        <v>0.95896999999999999</v>
      </c>
      <c r="F32" s="15">
        <f t="shared" si="0"/>
        <v>30.921987649999998</v>
      </c>
      <c r="G32" s="1"/>
      <c r="H32" s="1">
        <v>1.0143720000000001</v>
      </c>
      <c r="I32" s="15">
        <f t="shared" si="2"/>
        <v>9535.4011116000001</v>
      </c>
      <c r="J32" s="16">
        <f t="shared" si="3"/>
        <v>0.37754048915892274</v>
      </c>
      <c r="K32" s="1"/>
      <c r="L32" s="1">
        <v>0.97281600000000001</v>
      </c>
      <c r="M32" s="15">
        <f t="shared" si="4"/>
        <v>87.461995296000012</v>
      </c>
      <c r="N32" s="1"/>
      <c r="O32" s="8">
        <v>4.37</v>
      </c>
      <c r="P32" s="15">
        <f t="shared" si="5"/>
        <v>533.88</v>
      </c>
      <c r="Q32" s="15"/>
      <c r="U32">
        <f t="shared" si="6"/>
        <v>1</v>
      </c>
      <c r="V32" t="str">
        <f t="shared" si="1"/>
        <v>min</v>
      </c>
      <c r="W32" s="35">
        <f t="shared" si="7"/>
        <v>0</v>
      </c>
      <c r="X32" s="36">
        <f t="shared" si="8"/>
        <v>0</v>
      </c>
      <c r="Y32" s="35">
        <f t="shared" si="9"/>
        <v>0</v>
      </c>
      <c r="Z32" s="36">
        <f t="shared" si="10"/>
        <v>0</v>
      </c>
      <c r="AB32" s="35">
        <f t="shared" si="11"/>
        <v>0</v>
      </c>
      <c r="AC32" s="36">
        <f t="shared" si="12"/>
        <v>0</v>
      </c>
      <c r="AD32" s="35">
        <f t="shared" si="13"/>
        <v>0</v>
      </c>
      <c r="AE32" s="36">
        <f t="shared" si="14"/>
        <v>0</v>
      </c>
      <c r="AG32" s="35">
        <f t="shared" si="15"/>
        <v>0</v>
      </c>
      <c r="AH32" s="36">
        <f t="shared" si="16"/>
        <v>0</v>
      </c>
      <c r="AI32" s="35">
        <f t="shared" si="17"/>
        <v>0</v>
      </c>
      <c r="AJ32" s="36">
        <f t="shared" si="18"/>
        <v>0</v>
      </c>
      <c r="AL32" s="35">
        <f t="shared" si="19"/>
        <v>0</v>
      </c>
      <c r="AM32" s="36">
        <f t="shared" si="20"/>
        <v>0</v>
      </c>
      <c r="AN32" s="35">
        <f t="shared" si="21"/>
        <v>0</v>
      </c>
      <c r="AO32" s="36">
        <f t="shared" si="22"/>
        <v>0</v>
      </c>
    </row>
    <row r="33" spans="3:41" x14ac:dyDescent="0.3">
      <c r="C33" s="8">
        <v>37.36</v>
      </c>
      <c r="D33" s="1"/>
      <c r="E33" s="1">
        <v>0.95701700000000001</v>
      </c>
      <c r="F33" s="15">
        <f t="shared" si="0"/>
        <v>30.859013164999997</v>
      </c>
      <c r="G33" s="1"/>
      <c r="H33" s="1">
        <v>1.015074</v>
      </c>
      <c r="I33" s="15">
        <f t="shared" si="2"/>
        <v>9542.0001221999992</v>
      </c>
      <c r="J33" s="16">
        <f t="shared" si="3"/>
        <v>0.37727939152132245</v>
      </c>
      <c r="K33" s="1"/>
      <c r="L33" s="1">
        <v>0.971526</v>
      </c>
      <c r="M33" s="15">
        <f t="shared" si="4"/>
        <v>87.346016556000009</v>
      </c>
      <c r="N33" s="1"/>
      <c r="O33" s="8">
        <v>4.58</v>
      </c>
      <c r="P33" s="15">
        <f t="shared" si="5"/>
        <v>534.09</v>
      </c>
      <c r="Q33" s="15"/>
      <c r="U33">
        <f t="shared" si="6"/>
        <v>1</v>
      </c>
      <c r="V33" t="str">
        <f t="shared" si="1"/>
        <v>min</v>
      </c>
      <c r="W33" s="35">
        <f t="shared" si="7"/>
        <v>0</v>
      </c>
      <c r="X33" s="36">
        <f t="shared" si="8"/>
        <v>0</v>
      </c>
      <c r="Y33" s="35">
        <f t="shared" si="9"/>
        <v>0</v>
      </c>
      <c r="Z33" s="36">
        <f t="shared" si="10"/>
        <v>0</v>
      </c>
      <c r="AB33" s="35">
        <f t="shared" si="11"/>
        <v>0</v>
      </c>
      <c r="AC33" s="36">
        <f t="shared" si="12"/>
        <v>0</v>
      </c>
      <c r="AD33" s="35">
        <f t="shared" si="13"/>
        <v>0</v>
      </c>
      <c r="AE33" s="36">
        <f t="shared" si="14"/>
        <v>0</v>
      </c>
      <c r="AG33" s="35">
        <f t="shared" si="15"/>
        <v>0</v>
      </c>
      <c r="AH33" s="36">
        <f t="shared" si="16"/>
        <v>0</v>
      </c>
      <c r="AI33" s="35">
        <f t="shared" si="17"/>
        <v>0</v>
      </c>
      <c r="AJ33" s="36">
        <f t="shared" si="18"/>
        <v>0</v>
      </c>
      <c r="AL33" s="35">
        <f t="shared" si="19"/>
        <v>0</v>
      </c>
      <c r="AM33" s="36">
        <f t="shared" si="20"/>
        <v>0</v>
      </c>
      <c r="AN33" s="35">
        <f t="shared" si="21"/>
        <v>0</v>
      </c>
      <c r="AO33" s="36">
        <f t="shared" si="22"/>
        <v>0</v>
      </c>
    </row>
    <row r="34" spans="3:41" x14ac:dyDescent="0.3">
      <c r="C34" s="8">
        <v>38.61</v>
      </c>
      <c r="D34" s="1"/>
      <c r="E34" s="1">
        <v>0.95515600000000001</v>
      </c>
      <c r="F34" s="15">
        <f t="shared" si="0"/>
        <v>30.799005219999998</v>
      </c>
      <c r="G34" s="1"/>
      <c r="H34" s="1">
        <v>1.0156909999999999</v>
      </c>
      <c r="I34" s="15">
        <f t="shared" si="2"/>
        <v>9547.8001072999978</v>
      </c>
      <c r="J34" s="16">
        <f t="shared" si="3"/>
        <v>0.37705020628233876</v>
      </c>
      <c r="K34" s="1"/>
      <c r="L34" s="1">
        <v>0.97019100000000003</v>
      </c>
      <c r="M34" s="15">
        <f t="shared" si="4"/>
        <v>87.225992046000002</v>
      </c>
      <c r="N34" s="1"/>
      <c r="O34" s="8">
        <v>4.79</v>
      </c>
      <c r="P34" s="15">
        <f t="shared" si="5"/>
        <v>534.29999999999995</v>
      </c>
      <c r="Q34" s="15"/>
      <c r="U34">
        <f t="shared" si="6"/>
        <v>1</v>
      </c>
      <c r="V34" t="str">
        <f t="shared" si="1"/>
        <v>min</v>
      </c>
      <c r="W34" s="35">
        <f t="shared" si="7"/>
        <v>0</v>
      </c>
      <c r="X34" s="36">
        <f t="shared" si="8"/>
        <v>0</v>
      </c>
      <c r="Y34" s="35">
        <f t="shared" si="9"/>
        <v>0</v>
      </c>
      <c r="Z34" s="36">
        <f t="shared" si="10"/>
        <v>0</v>
      </c>
      <c r="AB34" s="35">
        <f t="shared" si="11"/>
        <v>0</v>
      </c>
      <c r="AC34" s="36">
        <f t="shared" si="12"/>
        <v>0</v>
      </c>
      <c r="AD34" s="35">
        <f t="shared" si="13"/>
        <v>0</v>
      </c>
      <c r="AE34" s="36">
        <f t="shared" si="14"/>
        <v>0</v>
      </c>
      <c r="AG34" s="35">
        <f t="shared" si="15"/>
        <v>0</v>
      </c>
      <c r="AH34" s="36">
        <f t="shared" si="16"/>
        <v>0</v>
      </c>
      <c r="AI34" s="35">
        <f t="shared" si="17"/>
        <v>0</v>
      </c>
      <c r="AJ34" s="36">
        <f t="shared" si="18"/>
        <v>0</v>
      </c>
      <c r="AL34" s="35">
        <f t="shared" si="19"/>
        <v>0</v>
      </c>
      <c r="AM34" s="36">
        <f t="shared" si="20"/>
        <v>0</v>
      </c>
      <c r="AN34" s="35">
        <f t="shared" si="21"/>
        <v>0</v>
      </c>
      <c r="AO34" s="36">
        <f t="shared" si="22"/>
        <v>0</v>
      </c>
    </row>
    <row r="35" spans="3:41" x14ac:dyDescent="0.3">
      <c r="C35" s="8">
        <v>39.85</v>
      </c>
      <c r="D35" s="1"/>
      <c r="E35" s="1">
        <v>0.95320199999999999</v>
      </c>
      <c r="F35" s="15">
        <f t="shared" si="0"/>
        <v>30.735998489999997</v>
      </c>
      <c r="G35" s="1"/>
      <c r="H35" s="1">
        <v>1.016446</v>
      </c>
      <c r="I35" s="15">
        <f t="shared" si="2"/>
        <v>9554.8973337999996</v>
      </c>
      <c r="J35" s="16">
        <f t="shared" si="3"/>
        <v>0.37677013935724557</v>
      </c>
      <c r="K35" s="1"/>
      <c r="L35" s="1">
        <v>0.96885600000000005</v>
      </c>
      <c r="M35" s="15">
        <f t="shared" si="4"/>
        <v>87.105967536000009</v>
      </c>
      <c r="N35" s="1"/>
      <c r="O35" s="8">
        <v>5.04</v>
      </c>
      <c r="P35" s="15">
        <f t="shared" si="5"/>
        <v>534.54999999999995</v>
      </c>
      <c r="Q35" s="15"/>
      <c r="U35">
        <f t="shared" si="6"/>
        <v>1</v>
      </c>
      <c r="V35" t="str">
        <f t="shared" si="1"/>
        <v>min</v>
      </c>
      <c r="W35" s="35">
        <f t="shared" si="7"/>
        <v>0</v>
      </c>
      <c r="X35" s="36">
        <f t="shared" si="8"/>
        <v>0</v>
      </c>
      <c r="Y35" s="35">
        <f t="shared" si="9"/>
        <v>0</v>
      </c>
      <c r="Z35" s="36">
        <f t="shared" si="10"/>
        <v>0</v>
      </c>
      <c r="AB35" s="35">
        <f t="shared" si="11"/>
        <v>0</v>
      </c>
      <c r="AC35" s="36">
        <f t="shared" si="12"/>
        <v>0</v>
      </c>
      <c r="AD35" s="35">
        <f t="shared" si="13"/>
        <v>0</v>
      </c>
      <c r="AE35" s="36">
        <f t="shared" si="14"/>
        <v>0</v>
      </c>
      <c r="AG35" s="35">
        <f t="shared" si="15"/>
        <v>0</v>
      </c>
      <c r="AH35" s="36">
        <f t="shared" si="16"/>
        <v>0</v>
      </c>
      <c r="AI35" s="35">
        <f t="shared" si="17"/>
        <v>0</v>
      </c>
      <c r="AJ35" s="36">
        <f t="shared" si="18"/>
        <v>0</v>
      </c>
      <c r="AL35" s="35">
        <f t="shared" si="19"/>
        <v>0</v>
      </c>
      <c r="AM35" s="36">
        <f t="shared" si="20"/>
        <v>0</v>
      </c>
      <c r="AN35" s="35">
        <f t="shared" si="21"/>
        <v>0</v>
      </c>
      <c r="AO35" s="36">
        <f t="shared" si="22"/>
        <v>0</v>
      </c>
    </row>
    <row r="36" spans="3:41" x14ac:dyDescent="0.3">
      <c r="C36" s="8">
        <v>41.1</v>
      </c>
      <c r="D36" s="1"/>
      <c r="E36" s="1">
        <v>0.95127899999999999</v>
      </c>
      <c r="F36" s="15">
        <f t="shared" si="0"/>
        <v>30.673991354999998</v>
      </c>
      <c r="G36" s="1"/>
      <c r="H36" s="1">
        <v>1.0171479999999999</v>
      </c>
      <c r="I36" s="15">
        <f t="shared" si="2"/>
        <v>9561.4963443999986</v>
      </c>
      <c r="J36" s="16">
        <f t="shared" si="3"/>
        <v>0.37651010577528038</v>
      </c>
      <c r="K36" s="1"/>
      <c r="L36" s="1">
        <v>0.96756600000000004</v>
      </c>
      <c r="M36" s="15">
        <f t="shared" si="4"/>
        <v>86.989988796000006</v>
      </c>
      <c r="N36" s="1"/>
      <c r="O36" s="8">
        <v>5.25</v>
      </c>
      <c r="P36" s="15">
        <f t="shared" si="5"/>
        <v>534.76</v>
      </c>
      <c r="Q36" s="15"/>
      <c r="U36">
        <f t="shared" si="6"/>
        <v>1</v>
      </c>
      <c r="V36" t="str">
        <f t="shared" si="1"/>
        <v>min</v>
      </c>
      <c r="W36" s="35">
        <f t="shared" si="7"/>
        <v>0</v>
      </c>
      <c r="X36" s="36">
        <f t="shared" si="8"/>
        <v>0</v>
      </c>
      <c r="Y36" s="35">
        <f t="shared" si="9"/>
        <v>0</v>
      </c>
      <c r="Z36" s="36">
        <f t="shared" si="10"/>
        <v>0</v>
      </c>
      <c r="AB36" s="35">
        <f t="shared" si="11"/>
        <v>0</v>
      </c>
      <c r="AC36" s="36">
        <f t="shared" si="12"/>
        <v>0</v>
      </c>
      <c r="AD36" s="35">
        <f t="shared" si="13"/>
        <v>0</v>
      </c>
      <c r="AE36" s="36">
        <f t="shared" si="14"/>
        <v>0</v>
      </c>
      <c r="AG36" s="35">
        <f t="shared" si="15"/>
        <v>0</v>
      </c>
      <c r="AH36" s="36">
        <f t="shared" si="16"/>
        <v>0</v>
      </c>
      <c r="AI36" s="35">
        <f t="shared" si="17"/>
        <v>0</v>
      </c>
      <c r="AJ36" s="36">
        <f t="shared" si="18"/>
        <v>0</v>
      </c>
      <c r="AL36" s="35">
        <f t="shared" si="19"/>
        <v>0</v>
      </c>
      <c r="AM36" s="36">
        <f t="shared" si="20"/>
        <v>0</v>
      </c>
      <c r="AN36" s="35">
        <f t="shared" si="21"/>
        <v>0</v>
      </c>
      <c r="AO36" s="36">
        <f t="shared" si="22"/>
        <v>0</v>
      </c>
    </row>
    <row r="37" spans="3:41" x14ac:dyDescent="0.3">
      <c r="C37" s="8">
        <v>42.35</v>
      </c>
      <c r="D37" s="1"/>
      <c r="E37" s="1">
        <v>0.94932499999999997</v>
      </c>
      <c r="F37" s="15">
        <f t="shared" si="0"/>
        <v>30.610984624999997</v>
      </c>
      <c r="G37" s="1"/>
      <c r="H37" s="1">
        <v>1.0178609999999999</v>
      </c>
      <c r="I37" s="15">
        <f t="shared" si="2"/>
        <v>9568.1987582999991</v>
      </c>
      <c r="J37" s="16">
        <f t="shared" si="3"/>
        <v>0.37624636474834466</v>
      </c>
      <c r="K37" s="1"/>
      <c r="L37" s="1">
        <v>0.96626500000000004</v>
      </c>
      <c r="M37" s="15">
        <f t="shared" si="4"/>
        <v>86.873021090000009</v>
      </c>
      <c r="N37" s="1"/>
      <c r="O37" s="8">
        <v>5.47</v>
      </c>
      <c r="P37" s="15">
        <f t="shared" si="5"/>
        <v>534.98</v>
      </c>
      <c r="Q37" s="15"/>
      <c r="U37">
        <f t="shared" si="6"/>
        <v>1</v>
      </c>
      <c r="V37" t="str">
        <f t="shared" si="1"/>
        <v>min</v>
      </c>
      <c r="W37" s="35">
        <f t="shared" si="7"/>
        <v>0</v>
      </c>
      <c r="X37" s="36">
        <f t="shared" si="8"/>
        <v>0</v>
      </c>
      <c r="Y37" s="35">
        <f t="shared" si="9"/>
        <v>0</v>
      </c>
      <c r="Z37" s="36">
        <f t="shared" si="10"/>
        <v>0</v>
      </c>
      <c r="AB37" s="35">
        <f t="shared" si="11"/>
        <v>0</v>
      </c>
      <c r="AC37" s="36">
        <f t="shared" si="12"/>
        <v>0</v>
      </c>
      <c r="AD37" s="35">
        <f t="shared" si="13"/>
        <v>0</v>
      </c>
      <c r="AE37" s="36">
        <f t="shared" si="14"/>
        <v>0</v>
      </c>
      <c r="AG37" s="35">
        <f t="shared" si="15"/>
        <v>0</v>
      </c>
      <c r="AH37" s="36">
        <f t="shared" si="16"/>
        <v>0</v>
      </c>
      <c r="AI37" s="35">
        <f t="shared" si="17"/>
        <v>0</v>
      </c>
      <c r="AJ37" s="36">
        <f t="shared" si="18"/>
        <v>0</v>
      </c>
      <c r="AL37" s="35">
        <f t="shared" si="19"/>
        <v>0</v>
      </c>
      <c r="AM37" s="36">
        <f t="shared" si="20"/>
        <v>0</v>
      </c>
      <c r="AN37" s="35">
        <f t="shared" si="21"/>
        <v>0</v>
      </c>
      <c r="AO37" s="36">
        <f t="shared" si="22"/>
        <v>0</v>
      </c>
    </row>
    <row r="38" spans="3:41" x14ac:dyDescent="0.3">
      <c r="C38" s="8">
        <v>43.59</v>
      </c>
      <c r="D38" s="1"/>
      <c r="E38" s="1">
        <v>0.947434</v>
      </c>
      <c r="F38" s="15">
        <f t="shared" si="0"/>
        <v>30.550009329999998</v>
      </c>
      <c r="G38" s="1"/>
      <c r="H38" s="1">
        <v>1.0185420000000001</v>
      </c>
      <c r="I38" s="15">
        <f t="shared" si="2"/>
        <v>9574.6003626000002</v>
      </c>
      <c r="J38" s="16">
        <f t="shared" si="3"/>
        <v>0.37599480538761759</v>
      </c>
      <c r="K38" s="1"/>
      <c r="L38" s="1">
        <v>0.96500799999999998</v>
      </c>
      <c r="M38" s="15">
        <f t="shared" si="4"/>
        <v>86.760009248000003</v>
      </c>
      <c r="N38" s="1"/>
      <c r="O38" s="8">
        <v>5.66</v>
      </c>
      <c r="P38" s="15">
        <f t="shared" si="5"/>
        <v>535.16999999999996</v>
      </c>
      <c r="Q38" s="15"/>
      <c r="U38">
        <f t="shared" si="6"/>
        <v>1</v>
      </c>
      <c r="V38" t="str">
        <f t="shared" si="1"/>
        <v>min</v>
      </c>
      <c r="W38" s="35">
        <f t="shared" si="7"/>
        <v>0</v>
      </c>
      <c r="X38" s="36">
        <f t="shared" si="8"/>
        <v>0</v>
      </c>
      <c r="Y38" s="35">
        <f t="shared" si="9"/>
        <v>0</v>
      </c>
      <c r="Z38" s="36">
        <f t="shared" si="10"/>
        <v>0</v>
      </c>
      <c r="AB38" s="35">
        <f t="shared" si="11"/>
        <v>0</v>
      </c>
      <c r="AC38" s="36">
        <f t="shared" si="12"/>
        <v>0</v>
      </c>
      <c r="AD38" s="35">
        <f t="shared" si="13"/>
        <v>0</v>
      </c>
      <c r="AE38" s="36">
        <f t="shared" si="14"/>
        <v>0</v>
      </c>
      <c r="AG38" s="35">
        <f t="shared" si="15"/>
        <v>0</v>
      </c>
      <c r="AH38" s="36">
        <f t="shared" si="16"/>
        <v>0</v>
      </c>
      <c r="AI38" s="35">
        <f t="shared" si="17"/>
        <v>0</v>
      </c>
      <c r="AJ38" s="36">
        <f t="shared" si="18"/>
        <v>0</v>
      </c>
      <c r="AL38" s="35">
        <f t="shared" si="19"/>
        <v>0</v>
      </c>
      <c r="AM38" s="36">
        <f t="shared" si="20"/>
        <v>0</v>
      </c>
      <c r="AN38" s="35">
        <f t="shared" si="21"/>
        <v>0</v>
      </c>
      <c r="AO38" s="36">
        <f t="shared" si="22"/>
        <v>0</v>
      </c>
    </row>
    <row r="39" spans="3:41" x14ac:dyDescent="0.3">
      <c r="C39" s="8">
        <v>44.84</v>
      </c>
      <c r="D39" s="1"/>
      <c r="E39" s="1">
        <v>0.94554199999999999</v>
      </c>
      <c r="F39" s="15">
        <f t="shared" si="0"/>
        <v>30.489001789999996</v>
      </c>
      <c r="G39" s="1"/>
      <c r="H39" s="1">
        <v>1.019244</v>
      </c>
      <c r="I39" s="15">
        <f t="shared" si="2"/>
        <v>9581.1993731999992</v>
      </c>
      <c r="J39" s="16">
        <f t="shared" si="3"/>
        <v>0.37573584055350323</v>
      </c>
      <c r="K39" s="1"/>
      <c r="L39" s="1">
        <v>0.96372899999999995</v>
      </c>
      <c r="M39" s="15">
        <f t="shared" si="4"/>
        <v>86.645019473999994</v>
      </c>
      <c r="N39" s="1"/>
      <c r="O39" s="8">
        <v>5.87</v>
      </c>
      <c r="P39" s="15">
        <f t="shared" si="5"/>
        <v>535.38</v>
      </c>
      <c r="Q39" s="15"/>
      <c r="U39">
        <f t="shared" si="6"/>
        <v>1</v>
      </c>
      <c r="V39" t="str">
        <f t="shared" si="1"/>
        <v>min</v>
      </c>
      <c r="W39" s="35">
        <f t="shared" si="7"/>
        <v>0</v>
      </c>
      <c r="X39" s="36">
        <f t="shared" si="8"/>
        <v>0</v>
      </c>
      <c r="Y39" s="35">
        <f t="shared" si="9"/>
        <v>0</v>
      </c>
      <c r="Z39" s="36">
        <f t="shared" si="10"/>
        <v>0</v>
      </c>
      <c r="AB39" s="35">
        <f t="shared" si="11"/>
        <v>0</v>
      </c>
      <c r="AC39" s="36">
        <f t="shared" si="12"/>
        <v>0</v>
      </c>
      <c r="AD39" s="35">
        <f t="shared" si="13"/>
        <v>0</v>
      </c>
      <c r="AE39" s="36">
        <f t="shared" si="14"/>
        <v>0</v>
      </c>
      <c r="AG39" s="35">
        <f t="shared" si="15"/>
        <v>0</v>
      </c>
      <c r="AH39" s="36">
        <f t="shared" si="16"/>
        <v>0</v>
      </c>
      <c r="AI39" s="35">
        <f t="shared" si="17"/>
        <v>0</v>
      </c>
      <c r="AJ39" s="36">
        <f t="shared" si="18"/>
        <v>0</v>
      </c>
      <c r="AL39" s="35">
        <f t="shared" si="19"/>
        <v>0</v>
      </c>
      <c r="AM39" s="36">
        <f t="shared" si="20"/>
        <v>0</v>
      </c>
      <c r="AN39" s="35">
        <f t="shared" si="21"/>
        <v>0</v>
      </c>
      <c r="AO39" s="36">
        <f t="shared" si="22"/>
        <v>0</v>
      </c>
    </row>
    <row r="40" spans="3:41" x14ac:dyDescent="0.3">
      <c r="C40" s="8">
        <v>46.08</v>
      </c>
      <c r="D40" s="1"/>
      <c r="E40" s="1">
        <v>0.94358799999999998</v>
      </c>
      <c r="F40" s="15">
        <f t="shared" si="0"/>
        <v>30.425995059999998</v>
      </c>
      <c r="G40" s="1"/>
      <c r="H40" s="1">
        <v>1.0199670000000001</v>
      </c>
      <c r="I40" s="15">
        <f t="shared" si="2"/>
        <v>9587.9957900999998</v>
      </c>
      <c r="J40" s="16">
        <f t="shared" si="3"/>
        <v>0.37546950153202491</v>
      </c>
      <c r="K40" s="1"/>
      <c r="L40" s="1">
        <v>0.96242700000000003</v>
      </c>
      <c r="M40" s="15">
        <f t="shared" si="4"/>
        <v>86.527961862000012</v>
      </c>
      <c r="N40" s="1"/>
      <c r="O40" s="8">
        <v>6.09</v>
      </c>
      <c r="P40" s="15">
        <f t="shared" si="5"/>
        <v>535.6</v>
      </c>
      <c r="Q40" s="15"/>
      <c r="U40">
        <f t="shared" si="6"/>
        <v>1</v>
      </c>
      <c r="V40" t="str">
        <f t="shared" si="1"/>
        <v>min</v>
      </c>
      <c r="W40" s="35">
        <f t="shared" si="7"/>
        <v>0</v>
      </c>
      <c r="X40" s="36">
        <f t="shared" si="8"/>
        <v>0</v>
      </c>
      <c r="Y40" s="35">
        <f t="shared" si="9"/>
        <v>0</v>
      </c>
      <c r="Z40" s="36">
        <f t="shared" si="10"/>
        <v>0</v>
      </c>
      <c r="AB40" s="35">
        <f t="shared" si="11"/>
        <v>0</v>
      </c>
      <c r="AC40" s="36">
        <f t="shared" si="12"/>
        <v>0</v>
      </c>
      <c r="AD40" s="35">
        <f t="shared" si="13"/>
        <v>0</v>
      </c>
      <c r="AE40" s="36">
        <f t="shared" si="14"/>
        <v>0</v>
      </c>
      <c r="AG40" s="35">
        <f t="shared" si="15"/>
        <v>0</v>
      </c>
      <c r="AH40" s="36">
        <f t="shared" si="16"/>
        <v>0</v>
      </c>
      <c r="AI40" s="35">
        <f t="shared" si="17"/>
        <v>0</v>
      </c>
      <c r="AJ40" s="36">
        <f t="shared" si="18"/>
        <v>0</v>
      </c>
      <c r="AL40" s="35">
        <f t="shared" si="19"/>
        <v>0</v>
      </c>
      <c r="AM40" s="36">
        <f t="shared" si="20"/>
        <v>0</v>
      </c>
      <c r="AN40" s="35">
        <f t="shared" si="21"/>
        <v>0</v>
      </c>
      <c r="AO40" s="36">
        <f t="shared" si="22"/>
        <v>0</v>
      </c>
    </row>
    <row r="41" spans="3:41" x14ac:dyDescent="0.3">
      <c r="C41" s="8">
        <v>47.33</v>
      </c>
      <c r="D41" s="1"/>
      <c r="E41" s="1">
        <v>0.94166499999999997</v>
      </c>
      <c r="F41" s="15">
        <f t="shared" si="0"/>
        <v>30.363987924999996</v>
      </c>
      <c r="G41" s="1"/>
      <c r="H41" s="1">
        <v>1.02068</v>
      </c>
      <c r="I41" s="15">
        <f t="shared" si="2"/>
        <v>9594.6982040000003</v>
      </c>
      <c r="J41" s="16">
        <f t="shared" si="3"/>
        <v>0.37520721584543132</v>
      </c>
      <c r="K41" s="1"/>
      <c r="L41" s="1">
        <v>0.961148</v>
      </c>
      <c r="M41" s="15">
        <f t="shared" si="4"/>
        <v>86.412972088000004</v>
      </c>
      <c r="N41" s="1"/>
      <c r="O41" s="8">
        <v>6.3</v>
      </c>
      <c r="P41" s="15">
        <f t="shared" si="5"/>
        <v>535.80999999999995</v>
      </c>
      <c r="Q41" s="15"/>
      <c r="U41">
        <f t="shared" si="6"/>
        <v>1</v>
      </c>
      <c r="V41" t="str">
        <f t="shared" si="1"/>
        <v>min</v>
      </c>
      <c r="W41" s="35">
        <f t="shared" si="7"/>
        <v>0</v>
      </c>
      <c r="X41" s="36">
        <f t="shared" si="8"/>
        <v>0</v>
      </c>
      <c r="Y41" s="35">
        <f t="shared" si="9"/>
        <v>0</v>
      </c>
      <c r="Z41" s="36">
        <f t="shared" si="10"/>
        <v>0</v>
      </c>
      <c r="AB41" s="35">
        <f t="shared" si="11"/>
        <v>0</v>
      </c>
      <c r="AC41" s="36">
        <f t="shared" si="12"/>
        <v>0</v>
      </c>
      <c r="AD41" s="35">
        <f t="shared" si="13"/>
        <v>0</v>
      </c>
      <c r="AE41" s="36">
        <f t="shared" si="14"/>
        <v>0</v>
      </c>
      <c r="AG41" s="35">
        <f t="shared" si="15"/>
        <v>0</v>
      </c>
      <c r="AH41" s="36">
        <f t="shared" si="16"/>
        <v>0</v>
      </c>
      <c r="AI41" s="35">
        <f t="shared" si="17"/>
        <v>0</v>
      </c>
      <c r="AJ41" s="36">
        <f t="shared" si="18"/>
        <v>0</v>
      </c>
      <c r="AL41" s="35">
        <f t="shared" si="19"/>
        <v>0</v>
      </c>
      <c r="AM41" s="36">
        <f t="shared" si="20"/>
        <v>0</v>
      </c>
      <c r="AN41" s="35">
        <f t="shared" si="21"/>
        <v>0</v>
      </c>
      <c r="AO41" s="36">
        <f t="shared" si="22"/>
        <v>0</v>
      </c>
    </row>
    <row r="42" spans="3:41" x14ac:dyDescent="0.3">
      <c r="C42" s="8">
        <v>48.57</v>
      </c>
      <c r="D42" s="1"/>
      <c r="E42" s="1">
        <v>0.93974299999999999</v>
      </c>
      <c r="F42" s="15">
        <f t="shared" si="0"/>
        <v>30.302013034999998</v>
      </c>
      <c r="G42" s="1"/>
      <c r="H42" s="1">
        <v>1.021414</v>
      </c>
      <c r="I42" s="15">
        <f t="shared" si="2"/>
        <v>9601.5980242000005</v>
      </c>
      <c r="J42" s="16">
        <f t="shared" si="3"/>
        <v>0.3749375875689141</v>
      </c>
      <c r="K42" s="1"/>
      <c r="L42" s="1">
        <v>0.95985799999999999</v>
      </c>
      <c r="M42" s="15">
        <f t="shared" si="4"/>
        <v>86.296993348000001</v>
      </c>
      <c r="N42" s="1"/>
      <c r="O42" s="8">
        <v>6.51</v>
      </c>
      <c r="P42" s="15">
        <f t="shared" si="5"/>
        <v>536.02</v>
      </c>
      <c r="Q42" s="15"/>
      <c r="U42">
        <f t="shared" si="6"/>
        <v>1</v>
      </c>
      <c r="V42" t="str">
        <f t="shared" si="1"/>
        <v>min</v>
      </c>
      <c r="W42" s="35">
        <f t="shared" si="7"/>
        <v>0</v>
      </c>
      <c r="X42" s="36">
        <f t="shared" si="8"/>
        <v>0</v>
      </c>
      <c r="Y42" s="35">
        <f t="shared" si="9"/>
        <v>0</v>
      </c>
      <c r="Z42" s="36">
        <f t="shared" si="10"/>
        <v>0</v>
      </c>
      <c r="AB42" s="35">
        <f t="shared" si="11"/>
        <v>0</v>
      </c>
      <c r="AC42" s="36">
        <f t="shared" si="12"/>
        <v>0</v>
      </c>
      <c r="AD42" s="35">
        <f t="shared" si="13"/>
        <v>0</v>
      </c>
      <c r="AE42" s="36">
        <f t="shared" si="14"/>
        <v>0</v>
      </c>
      <c r="AG42" s="35">
        <f t="shared" si="15"/>
        <v>0</v>
      </c>
      <c r="AH42" s="36">
        <f t="shared" si="16"/>
        <v>0</v>
      </c>
      <c r="AI42" s="35">
        <f t="shared" si="17"/>
        <v>0</v>
      </c>
      <c r="AJ42" s="36">
        <f t="shared" si="18"/>
        <v>0</v>
      </c>
      <c r="AL42" s="35">
        <f t="shared" si="19"/>
        <v>0</v>
      </c>
      <c r="AM42" s="36">
        <f t="shared" si="20"/>
        <v>0</v>
      </c>
      <c r="AN42" s="35">
        <f t="shared" si="21"/>
        <v>0</v>
      </c>
      <c r="AO42" s="36">
        <f t="shared" si="22"/>
        <v>0</v>
      </c>
    </row>
    <row r="43" spans="3:41" x14ac:dyDescent="0.3">
      <c r="C43" s="8">
        <v>49.82</v>
      </c>
      <c r="D43" s="1"/>
      <c r="E43" s="1">
        <v>0.93778899999999998</v>
      </c>
      <c r="F43" s="15">
        <f t="shared" si="0"/>
        <v>30.239006304999997</v>
      </c>
      <c r="G43" s="1"/>
      <c r="H43" s="1">
        <v>1.022127</v>
      </c>
      <c r="I43" s="15">
        <f t="shared" si="2"/>
        <v>9608.3004380999992</v>
      </c>
      <c r="J43" s="16">
        <f t="shared" si="3"/>
        <v>0.37467604423825501</v>
      </c>
      <c r="K43" s="1"/>
      <c r="L43" s="1">
        <v>0.95855699999999999</v>
      </c>
      <c r="M43" s="15">
        <f t="shared" si="4"/>
        <v>86.180025642000004</v>
      </c>
      <c r="N43" s="1"/>
      <c r="O43" s="8">
        <v>6.73</v>
      </c>
      <c r="P43" s="15">
        <f t="shared" si="5"/>
        <v>536.24</v>
      </c>
      <c r="Q43" s="15"/>
      <c r="U43">
        <f t="shared" si="6"/>
        <v>1</v>
      </c>
      <c r="V43">
        <f t="shared" si="1"/>
        <v>0</v>
      </c>
      <c r="W43" s="37">
        <f t="shared" si="7"/>
        <v>0</v>
      </c>
      <c r="X43" s="38">
        <f t="shared" si="8"/>
        <v>0</v>
      </c>
      <c r="Y43" s="37">
        <f t="shared" si="9"/>
        <v>0</v>
      </c>
      <c r="Z43" s="38">
        <f t="shared" si="10"/>
        <v>0</v>
      </c>
      <c r="AB43" s="37">
        <f t="shared" si="11"/>
        <v>0</v>
      </c>
      <c r="AC43" s="38">
        <f t="shared" si="12"/>
        <v>0</v>
      </c>
      <c r="AD43" s="37">
        <f t="shared" si="13"/>
        <v>0</v>
      </c>
      <c r="AE43" s="38">
        <f t="shared" si="14"/>
        <v>0</v>
      </c>
      <c r="AG43" s="37">
        <f t="shared" si="15"/>
        <v>0</v>
      </c>
      <c r="AH43" s="38">
        <f t="shared" si="16"/>
        <v>0</v>
      </c>
      <c r="AI43" s="37">
        <f t="shared" si="17"/>
        <v>0</v>
      </c>
      <c r="AJ43" s="38">
        <f t="shared" si="18"/>
        <v>0</v>
      </c>
      <c r="AL43" s="37">
        <f t="shared" si="19"/>
        <v>0</v>
      </c>
      <c r="AM43" s="38">
        <f t="shared" si="20"/>
        <v>0</v>
      </c>
      <c r="AN43" s="37">
        <f t="shared" si="21"/>
        <v>0</v>
      </c>
      <c r="AO43" s="38">
        <f t="shared" si="22"/>
        <v>0</v>
      </c>
    </row>
    <row r="44" spans="3:41" x14ac:dyDescent="0.3">
      <c r="C44" s="14"/>
      <c r="D44" s="14"/>
      <c r="E44" s="14"/>
      <c r="F44" s="15"/>
      <c r="G44" s="15"/>
      <c r="H44" s="14"/>
      <c r="I44" s="15"/>
      <c r="J44" s="16"/>
      <c r="K44" s="15"/>
      <c r="L44" s="14"/>
      <c r="M44" s="15"/>
      <c r="N44" s="15"/>
      <c r="O44" s="20"/>
      <c r="P44" s="15"/>
      <c r="Q44" s="15"/>
      <c r="W44">
        <f>SUM(W3:W43)</f>
        <v>32.244999999999997</v>
      </c>
      <c r="X44">
        <f>SUM(X3:X43)</f>
        <v>9.9600000000000009</v>
      </c>
      <c r="Y44">
        <f>SUM(Y3:Y43)</f>
        <v>32.18199327</v>
      </c>
      <c r="Z44">
        <f>SUM(Z3:Z43)</f>
        <v>11.21</v>
      </c>
      <c r="AB44">
        <f>SUM(AB3:AB43)</f>
        <v>9400.2999999999993</v>
      </c>
      <c r="AC44">
        <f>SUM(AC3:AC43)</f>
        <v>9.9600000000000009</v>
      </c>
      <c r="AD44">
        <f>SUM(AD3:AD43)</f>
        <v>9406.5041980000005</v>
      </c>
      <c r="AE44">
        <f>SUM(AE3:AE43)</f>
        <v>11.21</v>
      </c>
      <c r="AG44">
        <f>SUM(AG3:AG43)</f>
        <v>89.906000000000006</v>
      </c>
      <c r="AH44">
        <f>SUM(AH3:AH43)</f>
        <v>9.9600000000000009</v>
      </c>
      <c r="AI44">
        <f>SUM(AI3:AI43)</f>
        <v>89.790021260000003</v>
      </c>
      <c r="AJ44">
        <f>SUM(AJ3:AJ43)</f>
        <v>11.21</v>
      </c>
      <c r="AL44">
        <f>SUM(AL3:AL43)</f>
        <v>529.51</v>
      </c>
      <c r="AM44">
        <f>SUM(AM3:AM43)</f>
        <v>9.9600000000000009</v>
      </c>
      <c r="AN44" s="30">
        <f>SUM(AN3:AN43)</f>
        <v>529.71</v>
      </c>
      <c r="AO44">
        <f>SUM(AO3:AO43)</f>
        <v>11.21</v>
      </c>
    </row>
    <row r="45" spans="3:41" x14ac:dyDescent="0.3">
      <c r="C45" s="14"/>
      <c r="D45" s="14"/>
      <c r="E45" s="14"/>
      <c r="F45" s="15"/>
      <c r="G45" s="15"/>
      <c r="H45" s="14"/>
      <c r="I45" s="15"/>
      <c r="J45" s="16"/>
      <c r="K45" s="15"/>
      <c r="L45" s="14"/>
      <c r="M45" s="15"/>
      <c r="N45" s="15"/>
      <c r="O45" s="20"/>
      <c r="P45" s="15"/>
      <c r="Q45" s="15"/>
    </row>
    <row r="46" spans="3:41" x14ac:dyDescent="0.3">
      <c r="C46" s="14"/>
      <c r="D46" s="14"/>
      <c r="E46" s="14"/>
      <c r="F46" s="15"/>
      <c r="G46" s="15"/>
      <c r="H46" s="14"/>
      <c r="I46" s="15"/>
      <c r="J46" s="16"/>
      <c r="K46" s="15"/>
      <c r="L46" s="14"/>
      <c r="M46" s="15"/>
      <c r="N46" s="15"/>
      <c r="O46" s="20"/>
      <c r="P46" s="15"/>
      <c r="Q46" s="15"/>
    </row>
    <row r="47" spans="3:41" x14ac:dyDescent="0.3">
      <c r="C47" s="14"/>
      <c r="D47" s="14"/>
      <c r="E47" s="14"/>
      <c r="F47" s="15"/>
      <c r="G47" s="15"/>
      <c r="H47" s="14"/>
      <c r="I47" s="15"/>
      <c r="J47" s="16"/>
      <c r="K47" s="15"/>
      <c r="L47" s="14"/>
      <c r="M47" s="15"/>
      <c r="N47" s="15"/>
      <c r="O47" s="20"/>
      <c r="P47" s="15"/>
      <c r="Q47" s="15"/>
    </row>
    <row r="48" spans="3:41" x14ac:dyDescent="0.3">
      <c r="C48" s="14"/>
      <c r="D48" s="14"/>
      <c r="E48" s="14"/>
      <c r="F48" s="15"/>
      <c r="G48" s="15"/>
      <c r="H48" s="14"/>
      <c r="I48" s="15"/>
      <c r="J48" s="16"/>
      <c r="K48" s="15"/>
      <c r="L48" s="14"/>
      <c r="M48" s="15"/>
      <c r="N48" s="15"/>
      <c r="O48" s="20"/>
      <c r="P48" s="15"/>
      <c r="Q48" s="15"/>
    </row>
    <row r="49" spans="3:17" x14ac:dyDescent="0.3">
      <c r="C49" s="14"/>
      <c r="D49" s="14"/>
      <c r="E49" s="14"/>
      <c r="F49" s="15"/>
      <c r="G49" s="15"/>
      <c r="H49" s="14"/>
      <c r="I49" s="15"/>
      <c r="J49" s="16"/>
      <c r="K49" s="15"/>
      <c r="L49" s="14"/>
      <c r="M49" s="15"/>
      <c r="N49" s="15"/>
      <c r="O49" s="20"/>
      <c r="P49" s="15"/>
      <c r="Q49" s="15"/>
    </row>
    <row r="50" spans="3:17" x14ac:dyDescent="0.3">
      <c r="C50" s="14"/>
      <c r="D50" s="14"/>
      <c r="E50" s="14"/>
      <c r="F50" s="15"/>
      <c r="G50" s="15"/>
      <c r="H50" s="14"/>
      <c r="I50" s="15"/>
      <c r="J50" s="16"/>
      <c r="K50" s="15"/>
      <c r="L50" s="14"/>
      <c r="M50" s="15"/>
      <c r="N50" s="15"/>
      <c r="O50" s="20"/>
      <c r="P50" s="15"/>
      <c r="Q50" s="15"/>
    </row>
    <row r="51" spans="3:17" x14ac:dyDescent="0.3">
      <c r="C51" s="1"/>
      <c r="D51" s="1"/>
      <c r="E51" s="1"/>
      <c r="H51" s="1"/>
      <c r="J51" s="4"/>
      <c r="L51" s="1"/>
      <c r="O51" s="8"/>
    </row>
    <row r="52" spans="3:17" x14ac:dyDescent="0.3">
      <c r="C52" s="1"/>
      <c r="D52" s="1"/>
      <c r="E52" s="1"/>
      <c r="H52" s="1"/>
      <c r="J52" s="4"/>
      <c r="L52" s="1"/>
      <c r="O52" s="1"/>
    </row>
    <row r="53" spans="3:17" x14ac:dyDescent="0.3">
      <c r="C53" s="1"/>
      <c r="D53" s="1"/>
      <c r="E53" s="1"/>
      <c r="H53" s="1"/>
      <c r="J53" s="4"/>
      <c r="L53" s="1"/>
      <c r="O53" s="1"/>
    </row>
    <row r="54" spans="3:17" x14ac:dyDescent="0.3">
      <c r="C54" s="1"/>
      <c r="D54" s="1"/>
      <c r="E54" s="1"/>
      <c r="H54" s="1"/>
      <c r="J54" s="4"/>
      <c r="L54" s="1"/>
      <c r="O54" s="1"/>
    </row>
    <row r="55" spans="3:17" x14ac:dyDescent="0.3">
      <c r="C55" s="1"/>
      <c r="D55" s="1"/>
      <c r="E55" s="1"/>
      <c r="H55" s="1"/>
      <c r="J55" s="4"/>
      <c r="L55" s="1"/>
      <c r="O55" s="1"/>
    </row>
    <row r="56" spans="3:17" x14ac:dyDescent="0.3">
      <c r="C56" s="1"/>
      <c r="D56" s="1"/>
      <c r="E56" s="1"/>
      <c r="H56" s="1"/>
      <c r="J56" s="4"/>
      <c r="L56" s="1"/>
      <c r="O56" s="1"/>
    </row>
    <row r="57" spans="3:17" x14ac:dyDescent="0.3">
      <c r="C57" s="1"/>
      <c r="D57" s="1"/>
      <c r="E57" s="1"/>
      <c r="H57" s="1"/>
      <c r="J57" s="4"/>
      <c r="L57" s="1"/>
      <c r="O57" s="8"/>
    </row>
    <row r="58" spans="3:17" x14ac:dyDescent="0.3">
      <c r="C58" s="1"/>
      <c r="D58" s="1"/>
      <c r="E58" s="1"/>
      <c r="H58" s="1"/>
      <c r="J58" s="4"/>
      <c r="L58" s="1"/>
      <c r="O58" s="8"/>
    </row>
    <row r="59" spans="3:17" x14ac:dyDescent="0.3">
      <c r="C59" s="1"/>
      <c r="D59" s="1"/>
      <c r="E59" s="1"/>
      <c r="H59" s="1"/>
      <c r="J59" s="4"/>
      <c r="L59" s="1"/>
      <c r="O59" s="8"/>
    </row>
    <row r="60" spans="3:17" x14ac:dyDescent="0.3">
      <c r="C60" s="1"/>
      <c r="D60" s="1"/>
      <c r="E60" s="1"/>
      <c r="H60" s="1"/>
      <c r="J60" s="4"/>
      <c r="L60" s="1"/>
      <c r="O60" s="8"/>
    </row>
    <row r="61" spans="3:17" x14ac:dyDescent="0.3">
      <c r="C61" s="1"/>
      <c r="D61" s="1"/>
      <c r="E61" s="1"/>
      <c r="H61" s="1"/>
      <c r="J61" s="4"/>
      <c r="L61" s="1"/>
      <c r="O61" s="8"/>
    </row>
    <row r="62" spans="3:17" x14ac:dyDescent="0.3">
      <c r="C62" s="1"/>
      <c r="D62" s="1"/>
      <c r="E62" s="1"/>
      <c r="H62" s="1"/>
      <c r="J62" s="4"/>
      <c r="L62" s="1"/>
      <c r="O62" s="8"/>
    </row>
    <row r="63" spans="3:17" x14ac:dyDescent="0.3">
      <c r="C63" s="1"/>
      <c r="D63" s="1"/>
      <c r="E63" s="1"/>
      <c r="H63" s="1"/>
      <c r="J63" s="4"/>
      <c r="L63" s="1"/>
      <c r="O63" s="8"/>
    </row>
    <row r="64" spans="3:17" x14ac:dyDescent="0.3">
      <c r="C64" s="1"/>
      <c r="D64" s="1"/>
      <c r="E64" s="1"/>
      <c r="H64" s="1"/>
      <c r="J64" s="4"/>
      <c r="L64" s="1"/>
      <c r="O64" s="8"/>
    </row>
    <row r="65" spans="3:15" x14ac:dyDescent="0.3">
      <c r="C65" s="1"/>
      <c r="D65" s="1"/>
      <c r="E65" s="1"/>
      <c r="H65" s="1"/>
      <c r="J65" s="4"/>
      <c r="L65" s="1"/>
      <c r="O65" s="1"/>
    </row>
    <row r="66" spans="3:15" x14ac:dyDescent="0.3">
      <c r="C66" s="1"/>
      <c r="D66" s="1"/>
      <c r="E66" s="1"/>
      <c r="H66" s="1"/>
      <c r="J66" s="4"/>
      <c r="L66" s="1"/>
      <c r="O66" s="1"/>
    </row>
    <row r="67" spans="3:15" x14ac:dyDescent="0.3">
      <c r="C67" s="1"/>
      <c r="D67" s="1"/>
      <c r="E67" s="1"/>
      <c r="H67" s="1"/>
      <c r="J67" s="4"/>
      <c r="L67" s="1"/>
      <c r="O67" s="1"/>
    </row>
    <row r="68" spans="3:15" x14ac:dyDescent="0.3">
      <c r="C68" s="1"/>
      <c r="D68" s="1"/>
      <c r="E68" s="1"/>
      <c r="H68" s="1"/>
      <c r="J68" s="4"/>
      <c r="L68" s="1"/>
      <c r="O68" s="1"/>
    </row>
    <row r="69" spans="3:15" x14ac:dyDescent="0.3">
      <c r="C69" s="1"/>
      <c r="D69" s="1"/>
      <c r="E69" s="1"/>
      <c r="H69" s="1"/>
      <c r="J69" s="4"/>
      <c r="L69" s="1"/>
      <c r="O69" s="1"/>
    </row>
    <row r="70" spans="3:15" x14ac:dyDescent="0.3">
      <c r="C70" s="1"/>
      <c r="D70" s="1"/>
      <c r="E70" s="1"/>
      <c r="H70" s="1"/>
      <c r="J70" s="4"/>
      <c r="L70" s="1"/>
      <c r="O70" s="1"/>
    </row>
    <row r="71" spans="3:15" x14ac:dyDescent="0.3">
      <c r="C71" s="1"/>
      <c r="D71" s="1"/>
      <c r="E71" s="1"/>
      <c r="H71" s="1"/>
      <c r="J71" s="4"/>
      <c r="L71" s="1"/>
      <c r="O71" s="1"/>
    </row>
    <row r="72" spans="3:15" x14ac:dyDescent="0.3">
      <c r="C72" s="1"/>
      <c r="D72" s="1"/>
      <c r="E72" s="1"/>
      <c r="H72" s="1"/>
      <c r="J72" s="4"/>
      <c r="L72" s="1"/>
      <c r="O72" s="1"/>
    </row>
    <row r="73" spans="3:15" x14ac:dyDescent="0.3">
      <c r="C73" s="1"/>
      <c r="D73" s="1"/>
      <c r="E73" s="1"/>
      <c r="H73" s="1"/>
      <c r="J73" s="4"/>
      <c r="L73" s="1"/>
      <c r="O73" s="1"/>
    </row>
    <row r="74" spans="3:15" x14ac:dyDescent="0.3">
      <c r="C74" s="1"/>
      <c r="D74" s="1"/>
      <c r="E74" s="1"/>
      <c r="H74" s="1"/>
      <c r="L74" s="1"/>
      <c r="O74" s="1"/>
    </row>
  </sheetData>
  <mergeCells count="9">
    <mergeCell ref="AL1:AM1"/>
    <mergeCell ref="AN1:AO1"/>
    <mergeCell ref="S6:T6"/>
    <mergeCell ref="W1:X1"/>
    <mergeCell ref="Y1:Z1"/>
    <mergeCell ref="AB1:AC1"/>
    <mergeCell ref="AD1:AE1"/>
    <mergeCell ref="AG1:AH1"/>
    <mergeCell ref="AI1:A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4"/>
  <sheetViews>
    <sheetView zoomScale="55" zoomScaleNormal="55" workbookViewId="0">
      <selection activeCell="Y68" sqref="Y68"/>
    </sheetView>
  </sheetViews>
  <sheetFormatPr defaultRowHeight="14.4" x14ac:dyDescent="0.3"/>
  <cols>
    <col min="1" max="1" width="9.88671875" bestFit="1" customWidth="1"/>
    <col min="6" max="6" width="12.44140625" bestFit="1" customWidth="1"/>
    <col min="9" max="9" width="12" bestFit="1" customWidth="1"/>
    <col min="20" max="20" width="9.6640625" bestFit="1" customWidth="1"/>
  </cols>
  <sheetData>
    <row r="1" spans="1:41" ht="15" thickBot="1" x14ac:dyDescent="0.35">
      <c r="A1" s="3" t="s">
        <v>12</v>
      </c>
      <c r="W1" s="148" t="s">
        <v>34</v>
      </c>
      <c r="X1" s="149"/>
      <c r="Y1" s="148" t="s">
        <v>35</v>
      </c>
      <c r="Z1" s="149"/>
      <c r="AB1" s="148" t="s">
        <v>36</v>
      </c>
      <c r="AC1" s="149"/>
      <c r="AD1" s="148" t="s">
        <v>37</v>
      </c>
      <c r="AE1" s="149"/>
      <c r="AG1" s="148" t="s">
        <v>38</v>
      </c>
      <c r="AH1" s="149"/>
      <c r="AI1" s="148" t="s">
        <v>39</v>
      </c>
      <c r="AJ1" s="149"/>
      <c r="AL1" s="148" t="s">
        <v>40</v>
      </c>
      <c r="AM1" s="149"/>
      <c r="AN1" s="148" t="s">
        <v>41</v>
      </c>
      <c r="AO1" s="149"/>
    </row>
    <row r="2" spans="1:41" x14ac:dyDescent="0.3">
      <c r="A2">
        <v>32.244999999999997</v>
      </c>
      <c r="C2" s="5" t="s">
        <v>20</v>
      </c>
      <c r="D2" s="5"/>
      <c r="E2" s="5"/>
      <c r="F2" s="5" t="s">
        <v>14</v>
      </c>
      <c r="I2" s="5" t="s">
        <v>5</v>
      </c>
      <c r="J2" s="5" t="s">
        <v>6</v>
      </c>
      <c r="M2" s="5" t="s">
        <v>10</v>
      </c>
      <c r="P2" s="5" t="s">
        <v>11</v>
      </c>
      <c r="R2" s="5"/>
      <c r="S2" s="5"/>
      <c r="T2" s="32" t="s">
        <v>23</v>
      </c>
      <c r="U2" s="24"/>
      <c r="V2" s="24"/>
      <c r="W2" s="39">
        <v>0</v>
      </c>
      <c r="X2" s="42"/>
      <c r="Y2" s="39"/>
      <c r="Z2" s="40"/>
      <c r="AB2" s="39">
        <v>0</v>
      </c>
      <c r="AC2" s="42"/>
      <c r="AD2" s="39"/>
      <c r="AE2" s="40"/>
      <c r="AG2" s="39">
        <v>0</v>
      </c>
      <c r="AH2" s="42"/>
      <c r="AI2" s="39"/>
      <c r="AJ2" s="40"/>
      <c r="AL2" s="39">
        <v>0</v>
      </c>
      <c r="AM2" s="42"/>
      <c r="AN2" s="39"/>
      <c r="AO2" s="40"/>
    </row>
    <row r="3" spans="1:41" x14ac:dyDescent="0.3">
      <c r="A3" t="s">
        <v>13</v>
      </c>
      <c r="C3" s="8">
        <v>0</v>
      </c>
      <c r="D3" s="1"/>
      <c r="E3" s="1">
        <v>1.0084660000000001</v>
      </c>
      <c r="F3">
        <f t="shared" ref="F3:F43" si="0">E3*$A$2</f>
        <v>32.51798617</v>
      </c>
      <c r="G3" s="1"/>
      <c r="H3" s="1">
        <v>0.99225600000000003</v>
      </c>
      <c r="I3">
        <f>H3*$A$6</f>
        <v>9327.5040767999999</v>
      </c>
      <c r="J3" s="4">
        <f>1/(I3/3600)</f>
        <v>0.38595533921600356</v>
      </c>
      <c r="K3" s="1"/>
      <c r="L3" s="1"/>
      <c r="M3">
        <f>L3*$A$10</f>
        <v>0</v>
      </c>
      <c r="N3" s="1"/>
      <c r="O3" s="1">
        <v>-2.4700000000000002</v>
      </c>
      <c r="P3">
        <f>O3+$A$14</f>
        <v>527.04</v>
      </c>
      <c r="T3" s="33">
        <f>'GT maps'!G7</f>
        <v>15</v>
      </c>
      <c r="U3">
        <f>IF($T$3&gt;C3,0,1)</f>
        <v>0</v>
      </c>
      <c r="V3">
        <f t="shared" ref="V3:V49" si="1">IF(U4=1, "min",0)</f>
        <v>0</v>
      </c>
      <c r="W3" s="35">
        <f>IF($U3=0,IF($V3="min",$F3,0),0)</f>
        <v>0</v>
      </c>
      <c r="X3" s="36">
        <f>IF($W3=0,0,$C3)</f>
        <v>0</v>
      </c>
      <c r="Y3" s="35">
        <f>IF($W2=0,0,$F3)</f>
        <v>0</v>
      </c>
      <c r="Z3" s="36">
        <f>IF($Y3=0,0,$C3)</f>
        <v>0</v>
      </c>
      <c r="AB3" s="35">
        <f>IF($U3=0,IF($V3="min",$I3,0),0)</f>
        <v>0</v>
      </c>
      <c r="AC3" s="36">
        <f>IF($AB3=0,0,$C3)</f>
        <v>0</v>
      </c>
      <c r="AD3" s="35">
        <f>IF($AB2=0,0,$I3)</f>
        <v>0</v>
      </c>
      <c r="AE3" s="36">
        <f>IF($AD3=0,0,$C3)</f>
        <v>0</v>
      </c>
      <c r="AG3" s="35">
        <f>IF($U3=0,IF($V3="min",$M3,0),0)</f>
        <v>0</v>
      </c>
      <c r="AH3" s="36">
        <f>IF($AG3=0,0,$C3)</f>
        <v>0</v>
      </c>
      <c r="AI3" s="35">
        <f>IF($AG2=0,0,$M3)</f>
        <v>0</v>
      </c>
      <c r="AJ3" s="36">
        <f>IF($AI3=0,0,$C3)</f>
        <v>0</v>
      </c>
      <c r="AL3" s="35">
        <f>IF($U3=0,IF($V3="min",$P3,0),0)</f>
        <v>0</v>
      </c>
      <c r="AM3" s="36">
        <f>IF($AL3=0,0,$C3)</f>
        <v>0</v>
      </c>
      <c r="AN3" s="35">
        <f>IF($AL2=0,0,$P3)</f>
        <v>0</v>
      </c>
      <c r="AO3" s="36">
        <f>IF($AN3=0,0,$C3)</f>
        <v>0</v>
      </c>
    </row>
    <row r="4" spans="1:41" ht="15" thickBot="1" x14ac:dyDescent="0.35">
      <c r="C4" s="8">
        <v>1.25</v>
      </c>
      <c r="D4" s="1"/>
      <c r="E4" s="1">
        <v>1.0077529999999999</v>
      </c>
      <c r="F4">
        <f t="shared" si="0"/>
        <v>32.494995484999997</v>
      </c>
      <c r="G4" s="2"/>
      <c r="H4" s="1">
        <v>0.99290400000000001</v>
      </c>
      <c r="I4">
        <f t="shared" ref="I4:I63" si="2">H4*$A$6</f>
        <v>9333.5954712000002</v>
      </c>
      <c r="J4" s="4">
        <f t="shared" ref="J4:J63" si="3">1/(I4/3600)</f>
        <v>0.38570345276997048</v>
      </c>
      <c r="K4" s="2"/>
      <c r="L4" s="1"/>
      <c r="M4">
        <f t="shared" ref="M4:M63" si="4">L4*$A$10</f>
        <v>0</v>
      </c>
      <c r="N4" s="2"/>
      <c r="O4" s="1">
        <v>-2.2599999999999998</v>
      </c>
      <c r="P4">
        <f t="shared" ref="P4:P63" si="5">O4+$A$14</f>
        <v>527.25</v>
      </c>
      <c r="T4" s="34" t="s">
        <v>47</v>
      </c>
      <c r="U4">
        <f t="shared" ref="U4:U63" si="6">IF($T$3&gt;C4,0,1)</f>
        <v>0</v>
      </c>
      <c r="V4">
        <f t="shared" si="1"/>
        <v>0</v>
      </c>
      <c r="W4" s="35">
        <f t="shared" ref="W4:W63" si="7">IF($U4=0,IF($V4="min",$F4,0),0)</f>
        <v>0</v>
      </c>
      <c r="X4" s="36">
        <f t="shared" ref="X4:X63" si="8">IF($W4=0,0,$C4)</f>
        <v>0</v>
      </c>
      <c r="Y4" s="35">
        <f t="shared" ref="Y4:Y63" si="9">IF($W3=0,0,$F4)</f>
        <v>0</v>
      </c>
      <c r="Z4" s="36">
        <f t="shared" ref="Z4:Z63" si="10">IF($Y4=0,0,$C4)</f>
        <v>0</v>
      </c>
      <c r="AB4" s="35">
        <f t="shared" ref="AB4:AB63" si="11">IF($U4=0,IF($V4="min",$I4,0),0)</f>
        <v>0</v>
      </c>
      <c r="AC4" s="36">
        <f t="shared" ref="AC4:AC63" si="12">IF($AB4=0,0,$C4)</f>
        <v>0</v>
      </c>
      <c r="AD4" s="35">
        <f t="shared" ref="AD4:AD63" si="13">IF($AB3=0,0,$I4)</f>
        <v>0</v>
      </c>
      <c r="AE4" s="36">
        <f t="shared" ref="AE4:AE63" si="14">IF($AD4=0,0,$C4)</f>
        <v>0</v>
      </c>
      <c r="AG4" s="35">
        <f t="shared" ref="AG4:AG63" si="15">IF($U4=0,IF($V4="min",$M4,0),0)</f>
        <v>0</v>
      </c>
      <c r="AH4" s="36">
        <f t="shared" ref="AH4:AH63" si="16">IF($AG4=0,0,$C4)</f>
        <v>0</v>
      </c>
      <c r="AI4" s="35">
        <f t="shared" ref="AI4:AI63" si="17">IF($AG3=0,0,$M4)</f>
        <v>0</v>
      </c>
      <c r="AJ4" s="36">
        <f t="shared" ref="AJ4:AJ63" si="18">IF($AI4=0,0,$C4)</f>
        <v>0</v>
      </c>
      <c r="AL4" s="35">
        <f t="shared" ref="AL4:AL63" si="19">IF($U4=0,IF($V4="min",$P4,0),0)</f>
        <v>0</v>
      </c>
      <c r="AM4" s="36">
        <f t="shared" ref="AM4:AM63" si="20">IF($AL4=0,0,$C4)</f>
        <v>0</v>
      </c>
      <c r="AN4" s="35">
        <f t="shared" ref="AN4:AN63" si="21">IF($AL3=0,0,$P4)</f>
        <v>0</v>
      </c>
      <c r="AO4" s="36">
        <f t="shared" ref="AO4:AO63" si="22">IF($AN4=0,0,$C4)</f>
        <v>0</v>
      </c>
    </row>
    <row r="5" spans="1:41" ht="15" thickBot="1" x14ac:dyDescent="0.35">
      <c r="A5" s="3" t="s">
        <v>1</v>
      </c>
      <c r="C5" s="8">
        <v>2.4900000000000002</v>
      </c>
      <c r="D5" s="1"/>
      <c r="E5" s="1">
        <v>1.0070399999999999</v>
      </c>
      <c r="F5">
        <f t="shared" si="0"/>
        <v>32.472004799999993</v>
      </c>
      <c r="G5" s="2"/>
      <c r="H5" s="1">
        <v>0.99353199999999997</v>
      </c>
      <c r="I5">
        <f t="shared" si="2"/>
        <v>9339.4988595999985</v>
      </c>
      <c r="J5" s="4">
        <f t="shared" si="3"/>
        <v>0.38545965411191069</v>
      </c>
      <c r="K5" s="2"/>
      <c r="L5" s="1"/>
      <c r="M5">
        <f t="shared" si="4"/>
        <v>0</v>
      </c>
      <c r="N5" s="2"/>
      <c r="O5" s="1">
        <v>-2.06</v>
      </c>
      <c r="P5">
        <f t="shared" si="5"/>
        <v>527.45000000000005</v>
      </c>
      <c r="U5">
        <f t="shared" si="6"/>
        <v>0</v>
      </c>
      <c r="V5">
        <f t="shared" si="1"/>
        <v>0</v>
      </c>
      <c r="W5" s="35">
        <f t="shared" si="7"/>
        <v>0</v>
      </c>
      <c r="X5" s="36">
        <f t="shared" si="8"/>
        <v>0</v>
      </c>
      <c r="Y5" s="35">
        <f t="shared" si="9"/>
        <v>0</v>
      </c>
      <c r="Z5" s="36">
        <f t="shared" si="10"/>
        <v>0</v>
      </c>
      <c r="AB5" s="35">
        <f t="shared" si="11"/>
        <v>0</v>
      </c>
      <c r="AC5" s="36">
        <f t="shared" si="12"/>
        <v>0</v>
      </c>
      <c r="AD5" s="35">
        <f t="shared" si="13"/>
        <v>0</v>
      </c>
      <c r="AE5" s="36">
        <f t="shared" si="14"/>
        <v>0</v>
      </c>
      <c r="AG5" s="35">
        <f t="shared" si="15"/>
        <v>0</v>
      </c>
      <c r="AH5" s="36">
        <f t="shared" si="16"/>
        <v>0</v>
      </c>
      <c r="AI5" s="35">
        <f t="shared" si="17"/>
        <v>0</v>
      </c>
      <c r="AJ5" s="36">
        <f t="shared" si="18"/>
        <v>0</v>
      </c>
      <c r="AL5" s="35">
        <f t="shared" si="19"/>
        <v>0</v>
      </c>
      <c r="AM5" s="36">
        <f t="shared" si="20"/>
        <v>0</v>
      </c>
      <c r="AN5" s="35">
        <f t="shared" si="21"/>
        <v>0</v>
      </c>
      <c r="AO5" s="36">
        <f t="shared" si="22"/>
        <v>0</v>
      </c>
    </row>
    <row r="6" spans="1:41" x14ac:dyDescent="0.3">
      <c r="A6">
        <v>9400.2999999999993</v>
      </c>
      <c r="C6" s="8">
        <v>3.74</v>
      </c>
      <c r="D6" s="1"/>
      <c r="E6" s="1">
        <v>1.006327</v>
      </c>
      <c r="F6">
        <f t="shared" si="0"/>
        <v>32.449014114999997</v>
      </c>
      <c r="G6" s="2"/>
      <c r="H6" s="1">
        <v>0.99419199999999996</v>
      </c>
      <c r="I6">
        <f t="shared" si="2"/>
        <v>9345.7030575999997</v>
      </c>
      <c r="J6" s="4">
        <f t="shared" si="3"/>
        <v>0.38520376453352556</v>
      </c>
      <c r="K6" s="2"/>
      <c r="L6" s="1"/>
      <c r="M6">
        <f t="shared" si="4"/>
        <v>0</v>
      </c>
      <c r="N6" s="2"/>
      <c r="O6" s="1">
        <v>-1.85</v>
      </c>
      <c r="P6">
        <f t="shared" si="5"/>
        <v>527.66</v>
      </c>
      <c r="S6" s="150" t="s">
        <v>42</v>
      </c>
      <c r="T6" s="151"/>
      <c r="U6">
        <f t="shared" si="6"/>
        <v>0</v>
      </c>
      <c r="V6">
        <f t="shared" si="1"/>
        <v>0</v>
      </c>
      <c r="W6" s="35">
        <f t="shared" si="7"/>
        <v>0</v>
      </c>
      <c r="X6" s="36">
        <f t="shared" si="8"/>
        <v>0</v>
      </c>
      <c r="Y6" s="35">
        <f t="shared" si="9"/>
        <v>0</v>
      </c>
      <c r="Z6" s="36">
        <f t="shared" si="10"/>
        <v>0</v>
      </c>
      <c r="AB6" s="35">
        <f t="shared" si="11"/>
        <v>0</v>
      </c>
      <c r="AC6" s="36">
        <f t="shared" si="12"/>
        <v>0</v>
      </c>
      <c r="AD6" s="35">
        <f t="shared" si="13"/>
        <v>0</v>
      </c>
      <c r="AE6" s="36">
        <f t="shared" si="14"/>
        <v>0</v>
      </c>
      <c r="AG6" s="35">
        <f t="shared" si="15"/>
        <v>0</v>
      </c>
      <c r="AH6" s="36">
        <f t="shared" si="16"/>
        <v>0</v>
      </c>
      <c r="AI6" s="35">
        <f t="shared" si="17"/>
        <v>0</v>
      </c>
      <c r="AJ6" s="36">
        <f t="shared" si="18"/>
        <v>0</v>
      </c>
      <c r="AL6" s="35">
        <f t="shared" si="19"/>
        <v>0</v>
      </c>
      <c r="AM6" s="36">
        <f t="shared" si="20"/>
        <v>0</v>
      </c>
      <c r="AN6" s="35">
        <f t="shared" si="21"/>
        <v>0</v>
      </c>
      <c r="AO6" s="36">
        <f t="shared" si="22"/>
        <v>0</v>
      </c>
    </row>
    <row r="7" spans="1:41" x14ac:dyDescent="0.3">
      <c r="A7" t="s">
        <v>2</v>
      </c>
      <c r="C7" s="8">
        <v>4.9800000000000004</v>
      </c>
      <c r="D7" s="1"/>
      <c r="E7" s="1">
        <v>1.0056130000000001</v>
      </c>
      <c r="F7">
        <f t="shared" si="0"/>
        <v>32.425991185000001</v>
      </c>
      <c r="G7" s="2"/>
      <c r="H7" s="1">
        <v>0.99482999999999999</v>
      </c>
      <c r="I7">
        <f t="shared" si="2"/>
        <v>9351.7004489999999</v>
      </c>
      <c r="J7" s="4">
        <f t="shared" si="3"/>
        <v>0.38495672734951175</v>
      </c>
      <c r="K7" s="2"/>
      <c r="L7" s="1"/>
      <c r="M7">
        <f t="shared" si="4"/>
        <v>0</v>
      </c>
      <c r="N7" s="2"/>
      <c r="O7" s="1">
        <v>-1.64</v>
      </c>
      <c r="P7">
        <f t="shared" si="5"/>
        <v>527.87</v>
      </c>
      <c r="S7" s="45"/>
      <c r="T7" s="46">
        <f>Y64+(W64-Y64)/(X64-Z64)*($T$3-Z64)</f>
        <v>32.244113262500001</v>
      </c>
      <c r="U7">
        <f t="shared" si="6"/>
        <v>0</v>
      </c>
      <c r="V7">
        <f t="shared" si="1"/>
        <v>0</v>
      </c>
      <c r="W7" s="35">
        <f t="shared" si="7"/>
        <v>0</v>
      </c>
      <c r="X7" s="36">
        <f t="shared" si="8"/>
        <v>0</v>
      </c>
      <c r="Y7" s="35">
        <f t="shared" si="9"/>
        <v>0</v>
      </c>
      <c r="Z7" s="36">
        <f t="shared" si="10"/>
        <v>0</v>
      </c>
      <c r="AB7" s="35">
        <f t="shared" si="11"/>
        <v>0</v>
      </c>
      <c r="AC7" s="36">
        <f t="shared" si="12"/>
        <v>0</v>
      </c>
      <c r="AD7" s="35">
        <f t="shared" si="13"/>
        <v>0</v>
      </c>
      <c r="AE7" s="36">
        <f t="shared" si="14"/>
        <v>0</v>
      </c>
      <c r="AG7" s="35">
        <f t="shared" si="15"/>
        <v>0</v>
      </c>
      <c r="AH7" s="36">
        <f t="shared" si="16"/>
        <v>0</v>
      </c>
      <c r="AI7" s="35">
        <f t="shared" si="17"/>
        <v>0</v>
      </c>
      <c r="AJ7" s="36">
        <f t="shared" si="18"/>
        <v>0</v>
      </c>
      <c r="AL7" s="35">
        <f t="shared" si="19"/>
        <v>0</v>
      </c>
      <c r="AM7" s="36">
        <f t="shared" si="20"/>
        <v>0</v>
      </c>
      <c r="AN7" s="35">
        <f t="shared" si="21"/>
        <v>0</v>
      </c>
      <c r="AO7" s="36">
        <f t="shared" si="22"/>
        <v>0</v>
      </c>
    </row>
    <row r="8" spans="1:41" x14ac:dyDescent="0.3">
      <c r="C8" s="8">
        <v>6.23</v>
      </c>
      <c r="D8" s="1"/>
      <c r="E8" s="1">
        <v>1.004931</v>
      </c>
      <c r="F8">
        <f t="shared" si="0"/>
        <v>32.404000095000001</v>
      </c>
      <c r="G8" s="2"/>
      <c r="H8" s="1">
        <v>0.99546800000000002</v>
      </c>
      <c r="I8">
        <f t="shared" si="2"/>
        <v>9357.6978404000001</v>
      </c>
      <c r="J8" s="4">
        <f t="shared" si="3"/>
        <v>0.38471000682002315</v>
      </c>
      <c r="K8" s="2"/>
      <c r="L8" s="1"/>
      <c r="M8">
        <f t="shared" si="4"/>
        <v>0</v>
      </c>
      <c r="N8" s="2"/>
      <c r="O8" s="1">
        <v>-1.44</v>
      </c>
      <c r="P8">
        <f t="shared" si="5"/>
        <v>528.06999999999994</v>
      </c>
      <c r="S8" s="45" t="s">
        <v>12</v>
      </c>
      <c r="T8" s="47">
        <f>T7/F15</f>
        <v>0.99997250000000015</v>
      </c>
      <c r="U8">
        <f t="shared" si="6"/>
        <v>0</v>
      </c>
      <c r="V8">
        <f t="shared" si="1"/>
        <v>0</v>
      </c>
      <c r="W8" s="35">
        <f t="shared" si="7"/>
        <v>0</v>
      </c>
      <c r="X8" s="36">
        <f t="shared" si="8"/>
        <v>0</v>
      </c>
      <c r="Y8" s="35">
        <f t="shared" si="9"/>
        <v>0</v>
      </c>
      <c r="Z8" s="36">
        <f t="shared" si="10"/>
        <v>0</v>
      </c>
      <c r="AB8" s="35">
        <f t="shared" si="11"/>
        <v>0</v>
      </c>
      <c r="AC8" s="36">
        <f t="shared" si="12"/>
        <v>0</v>
      </c>
      <c r="AD8" s="35">
        <f t="shared" si="13"/>
        <v>0</v>
      </c>
      <c r="AE8" s="36">
        <f t="shared" si="14"/>
        <v>0</v>
      </c>
      <c r="AG8" s="35">
        <f t="shared" si="15"/>
        <v>0</v>
      </c>
      <c r="AH8" s="36">
        <f t="shared" si="16"/>
        <v>0</v>
      </c>
      <c r="AI8" s="35">
        <f t="shared" si="17"/>
        <v>0</v>
      </c>
      <c r="AJ8" s="36">
        <f t="shared" si="18"/>
        <v>0</v>
      </c>
      <c r="AL8" s="35">
        <f t="shared" si="19"/>
        <v>0</v>
      </c>
      <c r="AM8" s="36">
        <f t="shared" si="20"/>
        <v>0</v>
      </c>
      <c r="AN8" s="35">
        <f t="shared" si="21"/>
        <v>0</v>
      </c>
      <c r="AO8" s="36">
        <f t="shared" si="22"/>
        <v>0</v>
      </c>
    </row>
    <row r="9" spans="1:41" x14ac:dyDescent="0.3">
      <c r="A9" s="3" t="s">
        <v>8</v>
      </c>
      <c r="C9" s="8">
        <v>7.47</v>
      </c>
      <c r="D9" s="1"/>
      <c r="E9" s="1">
        <v>1.0041869999999999</v>
      </c>
      <c r="F9" s="15">
        <f t="shared" si="0"/>
        <v>32.380009814999994</v>
      </c>
      <c r="G9" s="2"/>
      <c r="H9" s="1">
        <v>0.99612800000000001</v>
      </c>
      <c r="I9" s="15">
        <f t="shared" si="2"/>
        <v>9363.9020383999996</v>
      </c>
      <c r="J9" s="16">
        <f t="shared" si="3"/>
        <v>0.38445511125991322</v>
      </c>
      <c r="K9" s="2"/>
      <c r="L9" s="1"/>
      <c r="M9" s="15">
        <f t="shared" si="4"/>
        <v>0</v>
      </c>
      <c r="N9" s="2"/>
      <c r="O9" s="1">
        <v>-1.23</v>
      </c>
      <c r="P9" s="15">
        <f t="shared" si="5"/>
        <v>528.28</v>
      </c>
      <c r="Q9" s="15"/>
      <c r="S9" s="45"/>
      <c r="T9" s="48"/>
      <c r="U9">
        <f t="shared" si="6"/>
        <v>0</v>
      </c>
      <c r="V9">
        <f t="shared" si="1"/>
        <v>0</v>
      </c>
      <c r="W9" s="35">
        <f t="shared" si="7"/>
        <v>0</v>
      </c>
      <c r="X9" s="36">
        <f t="shared" si="8"/>
        <v>0</v>
      </c>
      <c r="Y9" s="35">
        <f t="shared" si="9"/>
        <v>0</v>
      </c>
      <c r="Z9" s="36">
        <f t="shared" si="10"/>
        <v>0</v>
      </c>
      <c r="AB9" s="35">
        <f t="shared" si="11"/>
        <v>0</v>
      </c>
      <c r="AC9" s="36">
        <f t="shared" si="12"/>
        <v>0</v>
      </c>
      <c r="AD9" s="35">
        <f t="shared" si="13"/>
        <v>0</v>
      </c>
      <c r="AE9" s="36">
        <f t="shared" si="14"/>
        <v>0</v>
      </c>
      <c r="AG9" s="35">
        <f t="shared" si="15"/>
        <v>0</v>
      </c>
      <c r="AH9" s="36">
        <f t="shared" si="16"/>
        <v>0</v>
      </c>
      <c r="AI9" s="35">
        <f t="shared" si="17"/>
        <v>0</v>
      </c>
      <c r="AJ9" s="36">
        <f t="shared" si="18"/>
        <v>0</v>
      </c>
      <c r="AL9" s="35">
        <f t="shared" si="19"/>
        <v>0</v>
      </c>
      <c r="AM9" s="36">
        <f t="shared" si="20"/>
        <v>0</v>
      </c>
      <c r="AN9" s="35">
        <f t="shared" si="21"/>
        <v>0</v>
      </c>
      <c r="AO9" s="36">
        <f t="shared" si="22"/>
        <v>0</v>
      </c>
    </row>
    <row r="10" spans="1:41" x14ac:dyDescent="0.3">
      <c r="A10">
        <v>89.906000000000006</v>
      </c>
      <c r="C10" s="8">
        <v>8.7200000000000006</v>
      </c>
      <c r="D10" s="1"/>
      <c r="E10" s="1">
        <v>1.003504</v>
      </c>
      <c r="F10" s="15">
        <f t="shared" si="0"/>
        <v>32.357986479999994</v>
      </c>
      <c r="G10" s="2"/>
      <c r="H10" s="1">
        <v>0.99676600000000004</v>
      </c>
      <c r="I10" s="15">
        <f t="shared" si="2"/>
        <v>9369.8994297999998</v>
      </c>
      <c r="J10" s="16">
        <f t="shared" si="3"/>
        <v>0.3842090330821023</v>
      </c>
      <c r="K10" s="2"/>
      <c r="L10" s="1"/>
      <c r="M10" s="15">
        <f t="shared" si="4"/>
        <v>0</v>
      </c>
      <c r="N10" s="2"/>
      <c r="O10" s="1">
        <v>-1.03</v>
      </c>
      <c r="P10" s="15">
        <f t="shared" si="5"/>
        <v>528.48</v>
      </c>
      <c r="Q10" s="15"/>
      <c r="S10" s="45"/>
      <c r="T10" s="46">
        <f>AD64+(AB64-AD64)/(AC64-AE64)*($T$3-AE64)</f>
        <v>9400.5380398548386</v>
      </c>
      <c r="U10">
        <f t="shared" si="6"/>
        <v>0</v>
      </c>
      <c r="V10">
        <f t="shared" si="1"/>
        <v>0</v>
      </c>
      <c r="W10" s="35">
        <f t="shared" si="7"/>
        <v>0</v>
      </c>
      <c r="X10" s="36">
        <f t="shared" si="8"/>
        <v>0</v>
      </c>
      <c r="Y10" s="35">
        <f t="shared" si="9"/>
        <v>0</v>
      </c>
      <c r="Z10" s="36">
        <f t="shared" si="10"/>
        <v>0</v>
      </c>
      <c r="AB10" s="35">
        <f t="shared" si="11"/>
        <v>0</v>
      </c>
      <c r="AC10" s="36">
        <f t="shared" si="12"/>
        <v>0</v>
      </c>
      <c r="AD10" s="35">
        <f t="shared" si="13"/>
        <v>0</v>
      </c>
      <c r="AE10" s="36">
        <f t="shared" si="14"/>
        <v>0</v>
      </c>
      <c r="AG10" s="35">
        <f t="shared" si="15"/>
        <v>0</v>
      </c>
      <c r="AH10" s="36">
        <f t="shared" si="16"/>
        <v>0</v>
      </c>
      <c r="AI10" s="35">
        <f t="shared" si="17"/>
        <v>0</v>
      </c>
      <c r="AJ10" s="36">
        <f t="shared" si="18"/>
        <v>0</v>
      </c>
      <c r="AL10" s="35">
        <f t="shared" si="19"/>
        <v>0</v>
      </c>
      <c r="AM10" s="36">
        <f t="shared" si="20"/>
        <v>0</v>
      </c>
      <c r="AN10" s="35">
        <f t="shared" si="21"/>
        <v>0</v>
      </c>
      <c r="AO10" s="36">
        <f t="shared" si="22"/>
        <v>0</v>
      </c>
    </row>
    <row r="11" spans="1:41" x14ac:dyDescent="0.3">
      <c r="A11" t="s">
        <v>9</v>
      </c>
      <c r="C11" s="20">
        <v>9.9600000000000009</v>
      </c>
      <c r="D11" s="14"/>
      <c r="E11" s="14">
        <v>1.0027600000000001</v>
      </c>
      <c r="F11" s="15">
        <f t="shared" si="0"/>
        <v>32.333996200000001</v>
      </c>
      <c r="G11" s="29"/>
      <c r="H11" s="14">
        <v>0.99741500000000005</v>
      </c>
      <c r="I11" s="15">
        <f t="shared" si="2"/>
        <v>9376.0002244999996</v>
      </c>
      <c r="J11" s="16">
        <f t="shared" si="3"/>
        <v>0.38395903517504232</v>
      </c>
      <c r="K11" s="29"/>
      <c r="L11" s="14"/>
      <c r="M11" s="15">
        <f t="shared" si="4"/>
        <v>0</v>
      </c>
      <c r="N11" s="29"/>
      <c r="O11" s="14">
        <v>-0.82</v>
      </c>
      <c r="P11" s="15">
        <f t="shared" si="5"/>
        <v>528.68999999999994</v>
      </c>
      <c r="Q11" s="15"/>
      <c r="S11" s="45" t="s">
        <v>17</v>
      </c>
      <c r="T11" s="47">
        <f>T10/I15</f>
        <v>1.0000253225806452</v>
      </c>
      <c r="U11">
        <f t="shared" si="6"/>
        <v>0</v>
      </c>
      <c r="V11">
        <f t="shared" si="1"/>
        <v>0</v>
      </c>
      <c r="W11" s="35">
        <f t="shared" si="7"/>
        <v>0</v>
      </c>
      <c r="X11" s="36">
        <f t="shared" si="8"/>
        <v>0</v>
      </c>
      <c r="Y11" s="35">
        <f t="shared" si="9"/>
        <v>0</v>
      </c>
      <c r="Z11" s="36">
        <f t="shared" si="10"/>
        <v>0</v>
      </c>
      <c r="AB11" s="35">
        <f t="shared" si="11"/>
        <v>0</v>
      </c>
      <c r="AC11" s="36">
        <f t="shared" si="12"/>
        <v>0</v>
      </c>
      <c r="AD11" s="35">
        <f t="shared" si="13"/>
        <v>0</v>
      </c>
      <c r="AE11" s="36">
        <f t="shared" si="14"/>
        <v>0</v>
      </c>
      <c r="AG11" s="35">
        <f t="shared" si="15"/>
        <v>0</v>
      </c>
      <c r="AH11" s="36">
        <f t="shared" si="16"/>
        <v>0</v>
      </c>
      <c r="AI11" s="35">
        <f t="shared" si="17"/>
        <v>0</v>
      </c>
      <c r="AJ11" s="36">
        <f t="shared" si="18"/>
        <v>0</v>
      </c>
      <c r="AL11" s="35">
        <f t="shared" si="19"/>
        <v>0</v>
      </c>
      <c r="AM11" s="36">
        <f t="shared" si="20"/>
        <v>0</v>
      </c>
      <c r="AN11" s="35">
        <f t="shared" si="21"/>
        <v>0</v>
      </c>
      <c r="AO11" s="36">
        <f t="shared" si="22"/>
        <v>0</v>
      </c>
    </row>
    <row r="12" spans="1:41" x14ac:dyDescent="0.3">
      <c r="C12" s="8">
        <v>11.21</v>
      </c>
      <c r="D12" s="1"/>
      <c r="E12" s="1">
        <v>1.002078</v>
      </c>
      <c r="F12" s="15">
        <f t="shared" si="0"/>
        <v>32.312005110000001</v>
      </c>
      <c r="G12" s="2"/>
      <c r="H12" s="1">
        <v>0.99805299999999997</v>
      </c>
      <c r="I12" s="15">
        <f t="shared" si="2"/>
        <v>9381.9976158999998</v>
      </c>
      <c r="J12" s="16">
        <f t="shared" si="3"/>
        <v>0.38371359143163219</v>
      </c>
      <c r="K12" s="2"/>
      <c r="L12" s="1"/>
      <c r="M12" s="15">
        <f t="shared" si="4"/>
        <v>0</v>
      </c>
      <c r="N12" s="2"/>
      <c r="O12" s="1">
        <v>-0.62</v>
      </c>
      <c r="P12" s="15">
        <f t="shared" si="5"/>
        <v>528.89</v>
      </c>
      <c r="Q12" s="15"/>
      <c r="S12" s="45"/>
      <c r="T12" s="48"/>
      <c r="U12">
        <f t="shared" si="6"/>
        <v>0</v>
      </c>
      <c r="V12">
        <f t="shared" si="1"/>
        <v>0</v>
      </c>
      <c r="W12" s="35">
        <f t="shared" si="7"/>
        <v>0</v>
      </c>
      <c r="X12" s="36">
        <f t="shared" si="8"/>
        <v>0</v>
      </c>
      <c r="Y12" s="35">
        <f t="shared" si="9"/>
        <v>0</v>
      </c>
      <c r="Z12" s="36">
        <f t="shared" si="10"/>
        <v>0</v>
      </c>
      <c r="AB12" s="35">
        <f t="shared" si="11"/>
        <v>0</v>
      </c>
      <c r="AC12" s="36">
        <f t="shared" si="12"/>
        <v>0</v>
      </c>
      <c r="AD12" s="35">
        <f t="shared" si="13"/>
        <v>0</v>
      </c>
      <c r="AE12" s="36">
        <f t="shared" si="14"/>
        <v>0</v>
      </c>
      <c r="AG12" s="35">
        <f t="shared" si="15"/>
        <v>0</v>
      </c>
      <c r="AH12" s="36">
        <f t="shared" si="16"/>
        <v>0</v>
      </c>
      <c r="AI12" s="35">
        <f t="shared" si="17"/>
        <v>0</v>
      </c>
      <c r="AJ12" s="36">
        <f t="shared" si="18"/>
        <v>0</v>
      </c>
      <c r="AL12" s="35">
        <f t="shared" si="19"/>
        <v>0</v>
      </c>
      <c r="AM12" s="36">
        <f t="shared" si="20"/>
        <v>0</v>
      </c>
      <c r="AN12" s="35">
        <f t="shared" si="21"/>
        <v>0</v>
      </c>
      <c r="AO12" s="36">
        <f t="shared" si="22"/>
        <v>0</v>
      </c>
    </row>
    <row r="13" spans="1:41" x14ac:dyDescent="0.3">
      <c r="A13" s="3" t="s">
        <v>7</v>
      </c>
      <c r="C13" s="8">
        <v>12.45</v>
      </c>
      <c r="D13" s="1"/>
      <c r="E13" s="1">
        <v>1.0013650000000001</v>
      </c>
      <c r="F13" s="15">
        <f t="shared" si="0"/>
        <v>32.289014424999998</v>
      </c>
      <c r="G13" s="2"/>
      <c r="H13" s="1">
        <v>0.99870199999999998</v>
      </c>
      <c r="I13" s="15">
        <f t="shared" si="2"/>
        <v>9388.0984105999996</v>
      </c>
      <c r="J13" s="16">
        <f t="shared" si="3"/>
        <v>0.38346423764958398</v>
      </c>
      <c r="K13" s="2"/>
      <c r="L13" s="1"/>
      <c r="M13" s="15">
        <f t="shared" si="4"/>
        <v>0</v>
      </c>
      <c r="N13" s="2"/>
      <c r="O13" s="1">
        <v>-0.42</v>
      </c>
      <c r="P13" s="15">
        <f t="shared" si="5"/>
        <v>529.09</v>
      </c>
      <c r="Q13" s="15"/>
      <c r="S13" s="45"/>
      <c r="T13" s="46" t="e">
        <f>AI64+(AG64-AI64)/(AH64-AJ64)*($T$3-AJ64)</f>
        <v>#DIV/0!</v>
      </c>
      <c r="U13">
        <f t="shared" si="6"/>
        <v>0</v>
      </c>
      <c r="V13">
        <f t="shared" si="1"/>
        <v>0</v>
      </c>
      <c r="W13" s="35">
        <f t="shared" si="7"/>
        <v>0</v>
      </c>
      <c r="X13" s="36">
        <f t="shared" si="8"/>
        <v>0</v>
      </c>
      <c r="Y13" s="35">
        <f t="shared" si="9"/>
        <v>0</v>
      </c>
      <c r="Z13" s="36">
        <f t="shared" si="10"/>
        <v>0</v>
      </c>
      <c r="AB13" s="35">
        <f t="shared" si="11"/>
        <v>0</v>
      </c>
      <c r="AC13" s="36">
        <f t="shared" si="12"/>
        <v>0</v>
      </c>
      <c r="AD13" s="35">
        <f t="shared" si="13"/>
        <v>0</v>
      </c>
      <c r="AE13" s="36">
        <f t="shared" si="14"/>
        <v>0</v>
      </c>
      <c r="AG13" s="35">
        <f t="shared" si="15"/>
        <v>0</v>
      </c>
      <c r="AH13" s="36">
        <f t="shared" si="16"/>
        <v>0</v>
      </c>
      <c r="AI13" s="35">
        <f t="shared" si="17"/>
        <v>0</v>
      </c>
      <c r="AJ13" s="36">
        <f t="shared" si="18"/>
        <v>0</v>
      </c>
      <c r="AL13" s="35">
        <f t="shared" si="19"/>
        <v>0</v>
      </c>
      <c r="AM13" s="36">
        <f t="shared" si="20"/>
        <v>0</v>
      </c>
      <c r="AN13" s="35">
        <f t="shared" si="21"/>
        <v>0</v>
      </c>
      <c r="AO13" s="36">
        <f t="shared" si="22"/>
        <v>0</v>
      </c>
    </row>
    <row r="14" spans="1:41" x14ac:dyDescent="0.3">
      <c r="A14">
        <v>529.51</v>
      </c>
      <c r="C14" s="8">
        <v>13.7</v>
      </c>
      <c r="D14" s="1"/>
      <c r="E14" s="1">
        <v>1.0006820000000001</v>
      </c>
      <c r="F14" s="15">
        <f t="shared" si="0"/>
        <v>32.266991089999998</v>
      </c>
      <c r="G14" s="6"/>
      <c r="H14" s="1">
        <v>0.99935099999999999</v>
      </c>
      <c r="I14" s="15">
        <f t="shared" si="2"/>
        <v>9394.1992052999994</v>
      </c>
      <c r="J14" s="16">
        <f t="shared" si="3"/>
        <v>0.38321520773893741</v>
      </c>
      <c r="K14" s="6"/>
      <c r="L14" s="1"/>
      <c r="M14" s="15">
        <f t="shared" si="4"/>
        <v>0</v>
      </c>
      <c r="N14" s="6"/>
      <c r="O14" s="1">
        <v>-0.2</v>
      </c>
      <c r="P14" s="15">
        <f t="shared" si="5"/>
        <v>529.30999999999995</v>
      </c>
      <c r="Q14" s="15"/>
      <c r="S14" s="45" t="s">
        <v>43</v>
      </c>
      <c r="T14" s="47" t="e">
        <f>T13/M15</f>
        <v>#DIV/0!</v>
      </c>
      <c r="U14">
        <f t="shared" si="6"/>
        <v>0</v>
      </c>
      <c r="V14">
        <f t="shared" si="1"/>
        <v>0</v>
      </c>
      <c r="W14" s="35">
        <f t="shared" si="7"/>
        <v>0</v>
      </c>
      <c r="X14" s="36">
        <f t="shared" si="8"/>
        <v>0</v>
      </c>
      <c r="Y14" s="35">
        <f t="shared" si="9"/>
        <v>0</v>
      </c>
      <c r="Z14" s="36">
        <f t="shared" si="10"/>
        <v>0</v>
      </c>
      <c r="AB14" s="35">
        <f t="shared" si="11"/>
        <v>0</v>
      </c>
      <c r="AC14" s="36">
        <f t="shared" si="12"/>
        <v>0</v>
      </c>
      <c r="AD14" s="35">
        <f t="shared" si="13"/>
        <v>0</v>
      </c>
      <c r="AE14" s="36">
        <f t="shared" si="14"/>
        <v>0</v>
      </c>
      <c r="AG14" s="35">
        <f t="shared" si="15"/>
        <v>0</v>
      </c>
      <c r="AH14" s="36">
        <f t="shared" si="16"/>
        <v>0</v>
      </c>
      <c r="AI14" s="35">
        <f t="shared" si="17"/>
        <v>0</v>
      </c>
      <c r="AJ14" s="36">
        <f t="shared" si="18"/>
        <v>0</v>
      </c>
      <c r="AL14" s="35">
        <f t="shared" si="19"/>
        <v>0</v>
      </c>
      <c r="AM14" s="36">
        <f t="shared" si="20"/>
        <v>0</v>
      </c>
      <c r="AN14" s="35">
        <f t="shared" si="21"/>
        <v>0</v>
      </c>
      <c r="AO14" s="36">
        <f t="shared" si="22"/>
        <v>0</v>
      </c>
    </row>
    <row r="15" spans="1:41" x14ac:dyDescent="0.3">
      <c r="A15" t="s">
        <v>4</v>
      </c>
      <c r="C15" s="27">
        <v>14.95</v>
      </c>
      <c r="D15" s="10"/>
      <c r="E15" s="10">
        <v>1</v>
      </c>
      <c r="F15" s="11">
        <f t="shared" si="0"/>
        <v>32.244999999999997</v>
      </c>
      <c r="G15" s="10"/>
      <c r="H15" s="10">
        <v>1</v>
      </c>
      <c r="I15" s="11">
        <f t="shared" si="2"/>
        <v>9400.2999999999993</v>
      </c>
      <c r="J15" s="12">
        <f t="shared" si="3"/>
        <v>0.38296650106911484</v>
      </c>
      <c r="K15" s="10"/>
      <c r="L15" s="10"/>
      <c r="M15" s="11">
        <f t="shared" si="4"/>
        <v>0</v>
      </c>
      <c r="N15" s="10"/>
      <c r="O15" s="10">
        <v>0</v>
      </c>
      <c r="P15" s="11">
        <f t="shared" si="5"/>
        <v>529.51</v>
      </c>
      <c r="Q15" s="15"/>
      <c r="S15" s="45"/>
      <c r="T15" s="48"/>
      <c r="U15">
        <f t="shared" si="6"/>
        <v>0</v>
      </c>
      <c r="V15" t="str">
        <f t="shared" si="1"/>
        <v>min</v>
      </c>
      <c r="W15" s="35">
        <f t="shared" si="7"/>
        <v>32.244999999999997</v>
      </c>
      <c r="X15" s="36">
        <f t="shared" si="8"/>
        <v>14.95</v>
      </c>
      <c r="Y15" s="35">
        <f t="shared" si="9"/>
        <v>0</v>
      </c>
      <c r="Z15" s="36">
        <f t="shared" si="10"/>
        <v>0</v>
      </c>
      <c r="AB15" s="35">
        <f t="shared" si="11"/>
        <v>9400.2999999999993</v>
      </c>
      <c r="AC15" s="36">
        <f t="shared" si="12"/>
        <v>14.95</v>
      </c>
      <c r="AD15" s="35">
        <f t="shared" si="13"/>
        <v>0</v>
      </c>
      <c r="AE15" s="36">
        <f t="shared" si="14"/>
        <v>0</v>
      </c>
      <c r="AG15" s="35">
        <f t="shared" si="15"/>
        <v>0</v>
      </c>
      <c r="AH15" s="36">
        <f t="shared" si="16"/>
        <v>0</v>
      </c>
      <c r="AI15" s="35">
        <f t="shared" si="17"/>
        <v>0</v>
      </c>
      <c r="AJ15" s="36">
        <f t="shared" si="18"/>
        <v>0</v>
      </c>
      <c r="AL15" s="35">
        <f t="shared" si="19"/>
        <v>529.51</v>
      </c>
      <c r="AM15" s="36">
        <f t="shared" si="20"/>
        <v>14.95</v>
      </c>
      <c r="AN15" s="35">
        <f t="shared" si="21"/>
        <v>0</v>
      </c>
      <c r="AO15" s="36">
        <f t="shared" si="22"/>
        <v>0</v>
      </c>
    </row>
    <row r="16" spans="1:41" x14ac:dyDescent="0.3">
      <c r="C16" s="8">
        <v>16.190000000000001</v>
      </c>
      <c r="D16" s="1"/>
      <c r="E16" s="1">
        <v>0.99931800000000004</v>
      </c>
      <c r="F16" s="15">
        <f t="shared" si="0"/>
        <v>32.223008909999997</v>
      </c>
      <c r="G16" s="1"/>
      <c r="H16" s="1">
        <v>1.0006280000000001</v>
      </c>
      <c r="I16" s="15">
        <f t="shared" si="2"/>
        <v>9406.2033883999993</v>
      </c>
      <c r="J16" s="16">
        <f t="shared" si="3"/>
        <v>0.38272614904751301</v>
      </c>
      <c r="K16" s="1"/>
      <c r="L16" s="1"/>
      <c r="M16" s="15">
        <f t="shared" si="4"/>
        <v>0</v>
      </c>
      <c r="N16" s="1"/>
      <c r="O16" s="1">
        <v>0.2</v>
      </c>
      <c r="P16" s="15">
        <f t="shared" si="5"/>
        <v>529.71</v>
      </c>
      <c r="Q16" s="15"/>
      <c r="S16" s="45"/>
      <c r="T16" s="46">
        <f>AN64+(AL64-AN64)/(AM64-AO64)*($T$3-AO64)</f>
        <v>529.51806451612902</v>
      </c>
      <c r="U16">
        <f t="shared" si="6"/>
        <v>1</v>
      </c>
      <c r="V16" t="str">
        <f t="shared" si="1"/>
        <v>min</v>
      </c>
      <c r="W16" s="35">
        <f t="shared" si="7"/>
        <v>0</v>
      </c>
      <c r="X16" s="36">
        <f t="shared" si="8"/>
        <v>0</v>
      </c>
      <c r="Y16" s="35">
        <f t="shared" si="9"/>
        <v>32.223008909999997</v>
      </c>
      <c r="Z16" s="36">
        <f t="shared" si="10"/>
        <v>16.190000000000001</v>
      </c>
      <c r="AB16" s="35">
        <f t="shared" si="11"/>
        <v>0</v>
      </c>
      <c r="AC16" s="36">
        <f t="shared" si="12"/>
        <v>0</v>
      </c>
      <c r="AD16" s="35">
        <f t="shared" si="13"/>
        <v>9406.2033883999993</v>
      </c>
      <c r="AE16" s="36">
        <f t="shared" si="14"/>
        <v>16.190000000000001</v>
      </c>
      <c r="AG16" s="35">
        <f t="shared" si="15"/>
        <v>0</v>
      </c>
      <c r="AH16" s="36">
        <f t="shared" si="16"/>
        <v>0</v>
      </c>
      <c r="AI16" s="35">
        <f t="shared" si="17"/>
        <v>0</v>
      </c>
      <c r="AJ16" s="36">
        <f t="shared" si="18"/>
        <v>0</v>
      </c>
      <c r="AL16" s="35">
        <f t="shared" si="19"/>
        <v>0</v>
      </c>
      <c r="AM16" s="36">
        <f t="shared" si="20"/>
        <v>0</v>
      </c>
      <c r="AN16" s="35">
        <f t="shared" si="21"/>
        <v>529.71</v>
      </c>
      <c r="AO16" s="36">
        <f t="shared" si="22"/>
        <v>16.190000000000001</v>
      </c>
    </row>
    <row r="17" spans="3:41" ht="15" thickBot="1" x14ac:dyDescent="0.35">
      <c r="C17" s="8">
        <v>17.440000000000001</v>
      </c>
      <c r="D17" s="1"/>
      <c r="E17" s="1">
        <v>0.99860400000000005</v>
      </c>
      <c r="F17" s="15">
        <f t="shared" si="0"/>
        <v>32.199985980000001</v>
      </c>
      <c r="G17" s="1"/>
      <c r="H17" s="1">
        <v>1.001287</v>
      </c>
      <c r="I17" s="15">
        <f t="shared" si="2"/>
        <v>9412.3981860999993</v>
      </c>
      <c r="J17" s="16">
        <f t="shared" si="3"/>
        <v>0.38247425670074098</v>
      </c>
      <c r="K17" s="1"/>
      <c r="L17" s="1"/>
      <c r="M17" s="15">
        <f t="shared" si="4"/>
        <v>0</v>
      </c>
      <c r="N17" s="1"/>
      <c r="O17" s="1">
        <v>0.41</v>
      </c>
      <c r="P17" s="15">
        <f t="shared" si="5"/>
        <v>529.91999999999996</v>
      </c>
      <c r="Q17" s="15"/>
      <c r="S17" s="49" t="s">
        <v>44</v>
      </c>
      <c r="T17" s="50">
        <f>T16-P15</f>
        <v>8.0645161290249234E-3</v>
      </c>
      <c r="U17">
        <f t="shared" si="6"/>
        <v>1</v>
      </c>
      <c r="V17" t="str">
        <f t="shared" si="1"/>
        <v>min</v>
      </c>
      <c r="W17" s="35">
        <f t="shared" si="7"/>
        <v>0</v>
      </c>
      <c r="X17" s="36">
        <f t="shared" si="8"/>
        <v>0</v>
      </c>
      <c r="Y17" s="35">
        <f t="shared" si="9"/>
        <v>0</v>
      </c>
      <c r="Z17" s="36">
        <f t="shared" si="10"/>
        <v>0</v>
      </c>
      <c r="AB17" s="35">
        <f t="shared" si="11"/>
        <v>0</v>
      </c>
      <c r="AC17" s="36">
        <f t="shared" si="12"/>
        <v>0</v>
      </c>
      <c r="AD17" s="35">
        <f t="shared" si="13"/>
        <v>0</v>
      </c>
      <c r="AE17" s="36">
        <f t="shared" si="14"/>
        <v>0</v>
      </c>
      <c r="AG17" s="35">
        <f t="shared" si="15"/>
        <v>0</v>
      </c>
      <c r="AH17" s="36">
        <f t="shared" si="16"/>
        <v>0</v>
      </c>
      <c r="AI17" s="35">
        <f t="shared" si="17"/>
        <v>0</v>
      </c>
      <c r="AJ17" s="36">
        <f t="shared" si="18"/>
        <v>0</v>
      </c>
      <c r="AL17" s="35">
        <f t="shared" si="19"/>
        <v>0</v>
      </c>
      <c r="AM17" s="36">
        <f t="shared" si="20"/>
        <v>0</v>
      </c>
      <c r="AN17" s="35">
        <f t="shared" si="21"/>
        <v>0</v>
      </c>
      <c r="AO17" s="36">
        <f t="shared" si="22"/>
        <v>0</v>
      </c>
    </row>
    <row r="18" spans="3:41" x14ac:dyDescent="0.3">
      <c r="C18" s="8">
        <v>18.68</v>
      </c>
      <c r="D18" s="1"/>
      <c r="E18" s="1">
        <v>0.99789099999999997</v>
      </c>
      <c r="F18" s="15">
        <f t="shared" si="0"/>
        <v>32.176995294999998</v>
      </c>
      <c r="G18" s="1"/>
      <c r="H18" s="1">
        <v>1.0019359999999999</v>
      </c>
      <c r="I18" s="15">
        <f t="shared" si="2"/>
        <v>9418.4989807999991</v>
      </c>
      <c r="J18" s="16">
        <f t="shared" si="3"/>
        <v>0.3822265105447003</v>
      </c>
      <c r="K18" s="1"/>
      <c r="L18" s="1"/>
      <c r="M18" s="15">
        <f t="shared" si="4"/>
        <v>0</v>
      </c>
      <c r="N18" s="1"/>
      <c r="O18" s="1">
        <v>0.61</v>
      </c>
      <c r="P18" s="15">
        <f t="shared" si="5"/>
        <v>530.12</v>
      </c>
      <c r="Q18" s="15"/>
      <c r="U18">
        <f t="shared" si="6"/>
        <v>1</v>
      </c>
      <c r="V18" t="str">
        <f t="shared" si="1"/>
        <v>min</v>
      </c>
      <c r="W18" s="35">
        <f t="shared" si="7"/>
        <v>0</v>
      </c>
      <c r="X18" s="36">
        <f t="shared" si="8"/>
        <v>0</v>
      </c>
      <c r="Y18" s="35">
        <f t="shared" si="9"/>
        <v>0</v>
      </c>
      <c r="Z18" s="36">
        <f t="shared" si="10"/>
        <v>0</v>
      </c>
      <c r="AB18" s="35">
        <f t="shared" si="11"/>
        <v>0</v>
      </c>
      <c r="AC18" s="36">
        <f t="shared" si="12"/>
        <v>0</v>
      </c>
      <c r="AD18" s="35">
        <f t="shared" si="13"/>
        <v>0</v>
      </c>
      <c r="AE18" s="36">
        <f t="shared" si="14"/>
        <v>0</v>
      </c>
      <c r="AG18" s="35">
        <f t="shared" si="15"/>
        <v>0</v>
      </c>
      <c r="AH18" s="36">
        <f t="shared" si="16"/>
        <v>0</v>
      </c>
      <c r="AI18" s="35">
        <f t="shared" si="17"/>
        <v>0</v>
      </c>
      <c r="AJ18" s="36">
        <f t="shared" si="18"/>
        <v>0</v>
      </c>
      <c r="AL18" s="35">
        <f t="shared" si="19"/>
        <v>0</v>
      </c>
      <c r="AM18" s="36">
        <f t="shared" si="20"/>
        <v>0</v>
      </c>
      <c r="AN18" s="35">
        <f t="shared" si="21"/>
        <v>0</v>
      </c>
      <c r="AO18" s="36">
        <f t="shared" si="22"/>
        <v>0</v>
      </c>
    </row>
    <row r="19" spans="3:41" x14ac:dyDescent="0.3">
      <c r="C19" s="8">
        <v>19.93</v>
      </c>
      <c r="D19" s="1"/>
      <c r="E19" s="1">
        <v>0.997085</v>
      </c>
      <c r="F19" s="15">
        <f t="shared" si="0"/>
        <v>32.151005824999999</v>
      </c>
      <c r="G19" s="1"/>
      <c r="H19" s="1">
        <v>1.0026170000000001</v>
      </c>
      <c r="I19" s="15">
        <f t="shared" si="2"/>
        <v>9424.9005851000002</v>
      </c>
      <c r="J19" s="16">
        <f t="shared" si="3"/>
        <v>0.38196689370828024</v>
      </c>
      <c r="K19" s="1"/>
      <c r="L19" s="1"/>
      <c r="M19" s="15">
        <f t="shared" si="4"/>
        <v>0</v>
      </c>
      <c r="N19" s="1"/>
      <c r="O19" s="1">
        <v>0.83</v>
      </c>
      <c r="P19" s="15">
        <f t="shared" si="5"/>
        <v>530.34</v>
      </c>
      <c r="Q19" s="15"/>
      <c r="U19">
        <f t="shared" si="6"/>
        <v>1</v>
      </c>
      <c r="V19" t="str">
        <f t="shared" si="1"/>
        <v>min</v>
      </c>
      <c r="W19" s="35">
        <f t="shared" si="7"/>
        <v>0</v>
      </c>
      <c r="X19" s="36">
        <f t="shared" si="8"/>
        <v>0</v>
      </c>
      <c r="Y19" s="35">
        <f t="shared" si="9"/>
        <v>0</v>
      </c>
      <c r="Z19" s="36">
        <f t="shared" si="10"/>
        <v>0</v>
      </c>
      <c r="AB19" s="35">
        <f t="shared" si="11"/>
        <v>0</v>
      </c>
      <c r="AC19" s="36">
        <f t="shared" si="12"/>
        <v>0</v>
      </c>
      <c r="AD19" s="35">
        <f t="shared" si="13"/>
        <v>0</v>
      </c>
      <c r="AE19" s="36">
        <f t="shared" si="14"/>
        <v>0</v>
      </c>
      <c r="AG19" s="35">
        <f t="shared" si="15"/>
        <v>0</v>
      </c>
      <c r="AH19" s="36">
        <f t="shared" si="16"/>
        <v>0</v>
      </c>
      <c r="AI19" s="35">
        <f t="shared" si="17"/>
        <v>0</v>
      </c>
      <c r="AJ19" s="36">
        <f t="shared" si="18"/>
        <v>0</v>
      </c>
      <c r="AL19" s="35">
        <f t="shared" si="19"/>
        <v>0</v>
      </c>
      <c r="AM19" s="36">
        <f t="shared" si="20"/>
        <v>0</v>
      </c>
      <c r="AN19" s="35">
        <f t="shared" si="21"/>
        <v>0</v>
      </c>
      <c r="AO19" s="36">
        <f t="shared" si="22"/>
        <v>0</v>
      </c>
    </row>
    <row r="20" spans="3:41" x14ac:dyDescent="0.3">
      <c r="C20" s="8">
        <v>21.17</v>
      </c>
      <c r="D20" s="1"/>
      <c r="E20" s="1">
        <v>0.99640300000000004</v>
      </c>
      <c r="F20" s="15">
        <f t="shared" si="0"/>
        <v>32.129014734999998</v>
      </c>
      <c r="G20" s="1"/>
      <c r="H20" s="1">
        <v>1.003255</v>
      </c>
      <c r="I20" s="15">
        <f t="shared" si="2"/>
        <v>9430.8979764999985</v>
      </c>
      <c r="J20" s="16">
        <f t="shared" si="3"/>
        <v>0.38172398948334657</v>
      </c>
      <c r="K20" s="1"/>
      <c r="L20" s="1"/>
      <c r="M20" s="15">
        <f t="shared" si="4"/>
        <v>0</v>
      </c>
      <c r="N20" s="1"/>
      <c r="O20" s="8">
        <v>1.03</v>
      </c>
      <c r="P20" s="15">
        <f t="shared" si="5"/>
        <v>530.54</v>
      </c>
      <c r="Q20" s="15"/>
      <c r="U20">
        <f t="shared" si="6"/>
        <v>1</v>
      </c>
      <c r="V20" t="str">
        <f t="shared" si="1"/>
        <v>min</v>
      </c>
      <c r="W20" s="35">
        <f t="shared" si="7"/>
        <v>0</v>
      </c>
      <c r="X20" s="36">
        <f t="shared" si="8"/>
        <v>0</v>
      </c>
      <c r="Y20" s="35">
        <f t="shared" si="9"/>
        <v>0</v>
      </c>
      <c r="Z20" s="36">
        <f t="shared" si="10"/>
        <v>0</v>
      </c>
      <c r="AB20" s="35">
        <f t="shared" si="11"/>
        <v>0</v>
      </c>
      <c r="AC20" s="36">
        <f t="shared" si="12"/>
        <v>0</v>
      </c>
      <c r="AD20" s="35">
        <f t="shared" si="13"/>
        <v>0</v>
      </c>
      <c r="AE20" s="36">
        <f t="shared" si="14"/>
        <v>0</v>
      </c>
      <c r="AG20" s="35">
        <f t="shared" si="15"/>
        <v>0</v>
      </c>
      <c r="AH20" s="36">
        <f t="shared" si="16"/>
        <v>0</v>
      </c>
      <c r="AI20" s="35">
        <f t="shared" si="17"/>
        <v>0</v>
      </c>
      <c r="AJ20" s="36">
        <f t="shared" si="18"/>
        <v>0</v>
      </c>
      <c r="AL20" s="35">
        <f t="shared" si="19"/>
        <v>0</v>
      </c>
      <c r="AM20" s="36">
        <f t="shared" si="20"/>
        <v>0</v>
      </c>
      <c r="AN20" s="35">
        <f t="shared" si="21"/>
        <v>0</v>
      </c>
      <c r="AO20" s="36">
        <f t="shared" si="22"/>
        <v>0</v>
      </c>
    </row>
    <row r="21" spans="3:41" x14ac:dyDescent="0.3">
      <c r="C21" s="8">
        <v>22.42</v>
      </c>
      <c r="D21" s="1"/>
      <c r="E21" s="1">
        <v>0.99572000000000005</v>
      </c>
      <c r="F21" s="15">
        <f t="shared" si="0"/>
        <v>32.106991399999998</v>
      </c>
      <c r="G21" s="1"/>
      <c r="H21" s="1">
        <v>1.0038400000000001</v>
      </c>
      <c r="I21" s="15">
        <f t="shared" si="2"/>
        <v>9436.3971519999996</v>
      </c>
      <c r="J21" s="16">
        <f t="shared" si="3"/>
        <v>0.3815015351740465</v>
      </c>
      <c r="K21" s="1"/>
      <c r="L21" s="1"/>
      <c r="M21" s="15">
        <f t="shared" si="4"/>
        <v>0</v>
      </c>
      <c r="N21" s="1"/>
      <c r="O21" s="8">
        <v>1.18</v>
      </c>
      <c r="P21" s="15">
        <f t="shared" si="5"/>
        <v>530.68999999999994</v>
      </c>
      <c r="Q21" s="15"/>
      <c r="U21">
        <f t="shared" si="6"/>
        <v>1</v>
      </c>
      <c r="V21" t="str">
        <f t="shared" si="1"/>
        <v>min</v>
      </c>
      <c r="W21" s="35">
        <f t="shared" si="7"/>
        <v>0</v>
      </c>
      <c r="X21" s="36">
        <f t="shared" si="8"/>
        <v>0</v>
      </c>
      <c r="Y21" s="35">
        <f t="shared" si="9"/>
        <v>0</v>
      </c>
      <c r="Z21" s="36">
        <f t="shared" si="10"/>
        <v>0</v>
      </c>
      <c r="AB21" s="35">
        <f t="shared" si="11"/>
        <v>0</v>
      </c>
      <c r="AC21" s="36">
        <f t="shared" si="12"/>
        <v>0</v>
      </c>
      <c r="AD21" s="35">
        <f t="shared" si="13"/>
        <v>0</v>
      </c>
      <c r="AE21" s="36">
        <f t="shared" si="14"/>
        <v>0</v>
      </c>
      <c r="AG21" s="35">
        <f t="shared" si="15"/>
        <v>0</v>
      </c>
      <c r="AH21" s="36">
        <f t="shared" si="16"/>
        <v>0</v>
      </c>
      <c r="AI21" s="35">
        <f t="shared" si="17"/>
        <v>0</v>
      </c>
      <c r="AJ21" s="36">
        <f t="shared" si="18"/>
        <v>0</v>
      </c>
      <c r="AL21" s="35">
        <f t="shared" si="19"/>
        <v>0</v>
      </c>
      <c r="AM21" s="36">
        <f t="shared" si="20"/>
        <v>0</v>
      </c>
      <c r="AN21" s="35">
        <f t="shared" si="21"/>
        <v>0</v>
      </c>
      <c r="AO21" s="36">
        <f t="shared" si="22"/>
        <v>0</v>
      </c>
    </row>
    <row r="22" spans="3:41" x14ac:dyDescent="0.3">
      <c r="C22" s="8">
        <v>23.66</v>
      </c>
      <c r="D22" s="1"/>
      <c r="E22" s="1">
        <v>0.99503799999999998</v>
      </c>
      <c r="F22" s="15">
        <f t="shared" si="0"/>
        <v>32.085000309999998</v>
      </c>
      <c r="G22" s="1"/>
      <c r="H22" s="1">
        <v>1.004532</v>
      </c>
      <c r="I22" s="15">
        <f t="shared" si="2"/>
        <v>9442.9021595999984</v>
      </c>
      <c r="J22" s="16">
        <f t="shared" si="3"/>
        <v>0.38123872715763651</v>
      </c>
      <c r="K22" s="1"/>
      <c r="L22" s="1"/>
      <c r="M22" s="15">
        <f t="shared" si="4"/>
        <v>0</v>
      </c>
      <c r="N22" s="1"/>
      <c r="O22" s="8">
        <v>1.44</v>
      </c>
      <c r="P22" s="15">
        <f t="shared" si="5"/>
        <v>530.95000000000005</v>
      </c>
      <c r="Q22" s="15"/>
      <c r="U22">
        <f t="shared" si="6"/>
        <v>1</v>
      </c>
      <c r="V22" t="str">
        <f t="shared" si="1"/>
        <v>min</v>
      </c>
      <c r="W22" s="35">
        <f t="shared" si="7"/>
        <v>0</v>
      </c>
      <c r="X22" s="36">
        <f t="shared" si="8"/>
        <v>0</v>
      </c>
      <c r="Y22" s="35">
        <f t="shared" si="9"/>
        <v>0</v>
      </c>
      <c r="Z22" s="36">
        <f t="shared" si="10"/>
        <v>0</v>
      </c>
      <c r="AB22" s="35">
        <f t="shared" si="11"/>
        <v>0</v>
      </c>
      <c r="AC22" s="36">
        <f t="shared" si="12"/>
        <v>0</v>
      </c>
      <c r="AD22" s="35">
        <f t="shared" si="13"/>
        <v>0</v>
      </c>
      <c r="AE22" s="36">
        <f t="shared" si="14"/>
        <v>0</v>
      </c>
      <c r="AG22" s="35">
        <f t="shared" si="15"/>
        <v>0</v>
      </c>
      <c r="AH22" s="36">
        <f t="shared" si="16"/>
        <v>0</v>
      </c>
      <c r="AI22" s="35">
        <f t="shared" si="17"/>
        <v>0</v>
      </c>
      <c r="AJ22" s="36">
        <f t="shared" si="18"/>
        <v>0</v>
      </c>
      <c r="AL22" s="35">
        <f t="shared" si="19"/>
        <v>0</v>
      </c>
      <c r="AM22" s="36">
        <f t="shared" si="20"/>
        <v>0</v>
      </c>
      <c r="AN22" s="35">
        <f t="shared" si="21"/>
        <v>0</v>
      </c>
      <c r="AO22" s="36">
        <f t="shared" si="22"/>
        <v>0</v>
      </c>
    </row>
    <row r="23" spans="3:41" x14ac:dyDescent="0.3">
      <c r="C23" s="8">
        <v>24.91</v>
      </c>
      <c r="D23" s="1"/>
      <c r="E23" s="1">
        <v>0.99432500000000001</v>
      </c>
      <c r="F23" s="15">
        <f t="shared" si="0"/>
        <v>32.062009624999995</v>
      </c>
      <c r="G23" s="1"/>
      <c r="H23" s="1">
        <v>1.0051699999999999</v>
      </c>
      <c r="I23" s="15">
        <f t="shared" si="2"/>
        <v>9448.8995509999986</v>
      </c>
      <c r="J23" s="16">
        <f t="shared" si="3"/>
        <v>0.38099674788256199</v>
      </c>
      <c r="K23" s="1"/>
      <c r="L23" s="1"/>
      <c r="M23" s="15">
        <f t="shared" si="4"/>
        <v>0</v>
      </c>
      <c r="N23" s="1"/>
      <c r="O23" s="8">
        <v>1.63</v>
      </c>
      <c r="P23" s="15">
        <f t="shared" si="5"/>
        <v>531.14</v>
      </c>
      <c r="Q23" s="15"/>
      <c r="U23">
        <f t="shared" si="6"/>
        <v>1</v>
      </c>
      <c r="V23" t="str">
        <f t="shared" si="1"/>
        <v>min</v>
      </c>
      <c r="W23" s="35">
        <f t="shared" si="7"/>
        <v>0</v>
      </c>
      <c r="X23" s="36">
        <f t="shared" si="8"/>
        <v>0</v>
      </c>
      <c r="Y23" s="35">
        <f t="shared" si="9"/>
        <v>0</v>
      </c>
      <c r="Z23" s="36">
        <f t="shared" si="10"/>
        <v>0</v>
      </c>
      <c r="AB23" s="35">
        <f t="shared" si="11"/>
        <v>0</v>
      </c>
      <c r="AC23" s="36">
        <f t="shared" si="12"/>
        <v>0</v>
      </c>
      <c r="AD23" s="35">
        <f t="shared" si="13"/>
        <v>0</v>
      </c>
      <c r="AE23" s="36">
        <f t="shared" si="14"/>
        <v>0</v>
      </c>
      <c r="AG23" s="35">
        <f t="shared" si="15"/>
        <v>0</v>
      </c>
      <c r="AH23" s="36">
        <f t="shared" si="16"/>
        <v>0</v>
      </c>
      <c r="AI23" s="35">
        <f t="shared" si="17"/>
        <v>0</v>
      </c>
      <c r="AJ23" s="36">
        <f t="shared" si="18"/>
        <v>0</v>
      </c>
      <c r="AL23" s="35">
        <f t="shared" si="19"/>
        <v>0</v>
      </c>
      <c r="AM23" s="36">
        <f t="shared" si="20"/>
        <v>0</v>
      </c>
      <c r="AN23" s="35">
        <f t="shared" si="21"/>
        <v>0</v>
      </c>
      <c r="AO23" s="36">
        <f t="shared" si="22"/>
        <v>0</v>
      </c>
    </row>
    <row r="24" spans="3:41" x14ac:dyDescent="0.3">
      <c r="C24" s="8">
        <v>26.15</v>
      </c>
      <c r="D24" s="1"/>
      <c r="E24" s="1">
        <v>0.99373500000000003</v>
      </c>
      <c r="F24" s="15">
        <f t="shared" si="0"/>
        <v>32.042985074999997</v>
      </c>
      <c r="G24" s="1"/>
      <c r="H24" s="1">
        <v>1.005787</v>
      </c>
      <c r="I24" s="15">
        <f t="shared" si="2"/>
        <v>9454.699536099999</v>
      </c>
      <c r="J24" s="16">
        <f t="shared" si="3"/>
        <v>0.38076302544088847</v>
      </c>
      <c r="K24" s="1"/>
      <c r="L24" s="1"/>
      <c r="M24" s="15">
        <f t="shared" si="4"/>
        <v>0</v>
      </c>
      <c r="N24" s="1"/>
      <c r="O24" s="8">
        <v>1.83</v>
      </c>
      <c r="P24" s="15">
        <f t="shared" si="5"/>
        <v>531.34</v>
      </c>
      <c r="Q24" s="15"/>
      <c r="U24">
        <f t="shared" si="6"/>
        <v>1</v>
      </c>
      <c r="V24" t="str">
        <f t="shared" si="1"/>
        <v>min</v>
      </c>
      <c r="W24" s="35">
        <f t="shared" si="7"/>
        <v>0</v>
      </c>
      <c r="X24" s="36">
        <f t="shared" si="8"/>
        <v>0</v>
      </c>
      <c r="Y24" s="35">
        <f t="shared" si="9"/>
        <v>0</v>
      </c>
      <c r="Z24" s="36">
        <f t="shared" si="10"/>
        <v>0</v>
      </c>
      <c r="AB24" s="35">
        <f t="shared" si="11"/>
        <v>0</v>
      </c>
      <c r="AC24" s="36">
        <f t="shared" si="12"/>
        <v>0</v>
      </c>
      <c r="AD24" s="35">
        <f t="shared" si="13"/>
        <v>0</v>
      </c>
      <c r="AE24" s="36">
        <f t="shared" si="14"/>
        <v>0</v>
      </c>
      <c r="AG24" s="35">
        <f t="shared" si="15"/>
        <v>0</v>
      </c>
      <c r="AH24" s="36">
        <f t="shared" si="16"/>
        <v>0</v>
      </c>
      <c r="AI24" s="35">
        <f t="shared" si="17"/>
        <v>0</v>
      </c>
      <c r="AJ24" s="36">
        <f t="shared" si="18"/>
        <v>0</v>
      </c>
      <c r="AL24" s="35">
        <f t="shared" si="19"/>
        <v>0</v>
      </c>
      <c r="AM24" s="36">
        <f t="shared" si="20"/>
        <v>0</v>
      </c>
      <c r="AN24" s="35">
        <f t="shared" si="21"/>
        <v>0</v>
      </c>
      <c r="AO24" s="36">
        <f t="shared" si="22"/>
        <v>0</v>
      </c>
    </row>
    <row r="25" spans="3:41" x14ac:dyDescent="0.3">
      <c r="C25" s="8">
        <v>27.4</v>
      </c>
      <c r="D25" s="1"/>
      <c r="E25" s="1">
        <v>0.99289799999999995</v>
      </c>
      <c r="F25" s="15">
        <f t="shared" si="0"/>
        <v>32.015996009999995</v>
      </c>
      <c r="G25" s="6"/>
      <c r="H25" s="1">
        <v>1.0064360000000001</v>
      </c>
      <c r="I25" s="15">
        <f t="shared" si="2"/>
        <v>9460.8003308000007</v>
      </c>
      <c r="J25" s="16">
        <f t="shared" si="3"/>
        <v>0.38051749050025513</v>
      </c>
      <c r="K25" s="6"/>
      <c r="L25" s="1"/>
      <c r="M25" s="15">
        <f t="shared" si="4"/>
        <v>0</v>
      </c>
      <c r="N25" s="6"/>
      <c r="O25" s="8">
        <v>2.0099999999999998</v>
      </c>
      <c r="P25" s="15">
        <f t="shared" si="5"/>
        <v>531.52</v>
      </c>
      <c r="Q25" s="15"/>
      <c r="U25">
        <f t="shared" si="6"/>
        <v>1</v>
      </c>
      <c r="V25" t="str">
        <f t="shared" si="1"/>
        <v>min</v>
      </c>
      <c r="W25" s="35">
        <f t="shared" si="7"/>
        <v>0</v>
      </c>
      <c r="X25" s="36">
        <f t="shared" si="8"/>
        <v>0</v>
      </c>
      <c r="Y25" s="35">
        <f t="shared" si="9"/>
        <v>0</v>
      </c>
      <c r="Z25" s="36">
        <f t="shared" si="10"/>
        <v>0</v>
      </c>
      <c r="AB25" s="35">
        <f t="shared" si="11"/>
        <v>0</v>
      </c>
      <c r="AC25" s="36">
        <f t="shared" si="12"/>
        <v>0</v>
      </c>
      <c r="AD25" s="35">
        <f t="shared" si="13"/>
        <v>0</v>
      </c>
      <c r="AE25" s="36">
        <f t="shared" si="14"/>
        <v>0</v>
      </c>
      <c r="AG25" s="35">
        <f t="shared" si="15"/>
        <v>0</v>
      </c>
      <c r="AH25" s="36">
        <f t="shared" si="16"/>
        <v>0</v>
      </c>
      <c r="AI25" s="35">
        <f t="shared" si="17"/>
        <v>0</v>
      </c>
      <c r="AJ25" s="36">
        <f t="shared" si="18"/>
        <v>0</v>
      </c>
      <c r="AL25" s="35">
        <f t="shared" si="19"/>
        <v>0</v>
      </c>
      <c r="AM25" s="36">
        <f t="shared" si="20"/>
        <v>0</v>
      </c>
      <c r="AN25" s="35">
        <f t="shared" si="21"/>
        <v>0</v>
      </c>
      <c r="AO25" s="36">
        <f t="shared" si="22"/>
        <v>0</v>
      </c>
    </row>
    <row r="26" spans="3:41" x14ac:dyDescent="0.3">
      <c r="C26" s="1">
        <v>28.65</v>
      </c>
      <c r="D26" s="1"/>
      <c r="E26" s="1">
        <v>0.99240200000000001</v>
      </c>
      <c r="F26" s="15">
        <f t="shared" si="0"/>
        <v>32.00000249</v>
      </c>
      <c r="G26" s="1"/>
      <c r="H26" s="1">
        <v>1.007053</v>
      </c>
      <c r="I26" s="15">
        <f t="shared" si="2"/>
        <v>9466.6003158999993</v>
      </c>
      <c r="J26" s="16">
        <f t="shared" si="3"/>
        <v>0.38028435550970491</v>
      </c>
      <c r="K26" s="1"/>
      <c r="L26" s="1"/>
      <c r="M26" s="15">
        <f t="shared" si="4"/>
        <v>0</v>
      </c>
      <c r="N26" s="1"/>
      <c r="O26" s="8">
        <v>2.2200000000000002</v>
      </c>
      <c r="P26" s="15">
        <f t="shared" si="5"/>
        <v>531.73</v>
      </c>
      <c r="Q26" s="15"/>
      <c r="U26">
        <f t="shared" si="6"/>
        <v>1</v>
      </c>
      <c r="V26" t="str">
        <f t="shared" si="1"/>
        <v>min</v>
      </c>
      <c r="W26" s="35">
        <f t="shared" si="7"/>
        <v>0</v>
      </c>
      <c r="X26" s="36">
        <f t="shared" si="8"/>
        <v>0</v>
      </c>
      <c r="Y26" s="35">
        <f t="shared" si="9"/>
        <v>0</v>
      </c>
      <c r="Z26" s="36">
        <f t="shared" si="10"/>
        <v>0</v>
      </c>
      <c r="AB26" s="35">
        <f t="shared" si="11"/>
        <v>0</v>
      </c>
      <c r="AC26" s="36">
        <f t="shared" si="12"/>
        <v>0</v>
      </c>
      <c r="AD26" s="35">
        <f t="shared" si="13"/>
        <v>0</v>
      </c>
      <c r="AE26" s="36">
        <f t="shared" si="14"/>
        <v>0</v>
      </c>
      <c r="AG26" s="35">
        <f t="shared" si="15"/>
        <v>0</v>
      </c>
      <c r="AH26" s="36">
        <f t="shared" si="16"/>
        <v>0</v>
      </c>
      <c r="AI26" s="35">
        <f t="shared" si="17"/>
        <v>0</v>
      </c>
      <c r="AJ26" s="36">
        <f t="shared" si="18"/>
        <v>0</v>
      </c>
      <c r="AL26" s="35">
        <f t="shared" si="19"/>
        <v>0</v>
      </c>
      <c r="AM26" s="36">
        <f t="shared" si="20"/>
        <v>0</v>
      </c>
      <c r="AN26" s="35">
        <f t="shared" si="21"/>
        <v>0</v>
      </c>
      <c r="AO26" s="36">
        <f t="shared" si="22"/>
        <v>0</v>
      </c>
    </row>
    <row r="27" spans="3:41" x14ac:dyDescent="0.3">
      <c r="C27" s="1">
        <v>29.89</v>
      </c>
      <c r="D27" s="1"/>
      <c r="E27" s="1">
        <v>0.99172000000000005</v>
      </c>
      <c r="F27" s="15">
        <f t="shared" si="0"/>
        <v>31.9780114</v>
      </c>
      <c r="G27" s="1"/>
      <c r="H27" s="1">
        <v>1.0076909999999999</v>
      </c>
      <c r="I27" s="15">
        <f t="shared" si="2"/>
        <v>9472.5977072999976</v>
      </c>
      <c r="J27" s="16">
        <f t="shared" si="3"/>
        <v>0.38004358585033993</v>
      </c>
      <c r="K27" s="1"/>
      <c r="L27" s="1"/>
      <c r="M27" s="15">
        <f t="shared" si="4"/>
        <v>0</v>
      </c>
      <c r="N27" s="1"/>
      <c r="O27" s="8">
        <v>2.42</v>
      </c>
      <c r="P27" s="15">
        <f t="shared" si="5"/>
        <v>531.92999999999995</v>
      </c>
      <c r="Q27" s="15"/>
      <c r="U27">
        <f t="shared" si="6"/>
        <v>1</v>
      </c>
      <c r="V27" t="str">
        <f t="shared" si="1"/>
        <v>min</v>
      </c>
      <c r="W27" s="35">
        <f t="shared" si="7"/>
        <v>0</v>
      </c>
      <c r="X27" s="36">
        <f t="shared" si="8"/>
        <v>0</v>
      </c>
      <c r="Y27" s="35">
        <f t="shared" si="9"/>
        <v>0</v>
      </c>
      <c r="Z27" s="36">
        <f t="shared" si="10"/>
        <v>0</v>
      </c>
      <c r="AB27" s="35">
        <f t="shared" si="11"/>
        <v>0</v>
      </c>
      <c r="AC27" s="36">
        <f t="shared" si="12"/>
        <v>0</v>
      </c>
      <c r="AD27" s="35">
        <f t="shared" si="13"/>
        <v>0</v>
      </c>
      <c r="AE27" s="36">
        <f t="shared" si="14"/>
        <v>0</v>
      </c>
      <c r="AG27" s="35">
        <f t="shared" si="15"/>
        <v>0</v>
      </c>
      <c r="AH27" s="36">
        <f t="shared" si="16"/>
        <v>0</v>
      </c>
      <c r="AI27" s="35">
        <f t="shared" si="17"/>
        <v>0</v>
      </c>
      <c r="AJ27" s="36">
        <f t="shared" si="18"/>
        <v>0</v>
      </c>
      <c r="AL27" s="35">
        <f t="shared" si="19"/>
        <v>0</v>
      </c>
      <c r="AM27" s="36">
        <f t="shared" si="20"/>
        <v>0</v>
      </c>
      <c r="AN27" s="35">
        <f t="shared" si="21"/>
        <v>0</v>
      </c>
      <c r="AO27" s="36">
        <f t="shared" si="22"/>
        <v>0</v>
      </c>
    </row>
    <row r="28" spans="3:41" x14ac:dyDescent="0.3">
      <c r="C28" s="1">
        <v>31.14</v>
      </c>
      <c r="D28" s="1"/>
      <c r="E28" s="1">
        <v>0.99100600000000005</v>
      </c>
      <c r="F28" s="15">
        <f t="shared" si="0"/>
        <v>31.95498847</v>
      </c>
      <c r="G28" s="1"/>
      <c r="H28" s="1">
        <v>1.008351</v>
      </c>
      <c r="I28" s="15">
        <f t="shared" si="2"/>
        <v>9478.8019052999989</v>
      </c>
      <c r="J28" s="16">
        <f t="shared" si="3"/>
        <v>0.37979483440698214</v>
      </c>
      <c r="K28" s="1"/>
      <c r="L28" s="1"/>
      <c r="M28" s="15">
        <f t="shared" si="4"/>
        <v>0</v>
      </c>
      <c r="N28" s="1"/>
      <c r="O28" s="8">
        <v>2.62</v>
      </c>
      <c r="P28" s="15">
        <f t="shared" si="5"/>
        <v>532.13</v>
      </c>
      <c r="Q28" s="15"/>
      <c r="U28">
        <f t="shared" si="6"/>
        <v>1</v>
      </c>
      <c r="V28" t="str">
        <f t="shared" si="1"/>
        <v>min</v>
      </c>
      <c r="W28" s="35">
        <f t="shared" si="7"/>
        <v>0</v>
      </c>
      <c r="X28" s="36">
        <f t="shared" si="8"/>
        <v>0</v>
      </c>
      <c r="Y28" s="35">
        <f t="shared" si="9"/>
        <v>0</v>
      </c>
      <c r="Z28" s="36">
        <f t="shared" si="10"/>
        <v>0</v>
      </c>
      <c r="AB28" s="35">
        <f t="shared" si="11"/>
        <v>0</v>
      </c>
      <c r="AC28" s="36">
        <f t="shared" si="12"/>
        <v>0</v>
      </c>
      <c r="AD28" s="35">
        <f t="shared" si="13"/>
        <v>0</v>
      </c>
      <c r="AE28" s="36">
        <f t="shared" si="14"/>
        <v>0</v>
      </c>
      <c r="AG28" s="35">
        <f t="shared" si="15"/>
        <v>0</v>
      </c>
      <c r="AH28" s="36">
        <f t="shared" si="16"/>
        <v>0</v>
      </c>
      <c r="AI28" s="35">
        <f t="shared" si="17"/>
        <v>0</v>
      </c>
      <c r="AJ28" s="36">
        <f t="shared" si="18"/>
        <v>0</v>
      </c>
      <c r="AL28" s="35">
        <f t="shared" si="19"/>
        <v>0</v>
      </c>
      <c r="AM28" s="36">
        <f t="shared" si="20"/>
        <v>0</v>
      </c>
      <c r="AN28" s="35">
        <f t="shared" si="21"/>
        <v>0</v>
      </c>
      <c r="AO28" s="36">
        <f t="shared" si="22"/>
        <v>0</v>
      </c>
    </row>
    <row r="29" spans="3:41" x14ac:dyDescent="0.3">
      <c r="C29" s="1">
        <v>32.380000000000003</v>
      </c>
      <c r="D29" s="1"/>
      <c r="E29" s="1">
        <v>0.99041699999999999</v>
      </c>
      <c r="F29" s="15">
        <f t="shared" si="0"/>
        <v>31.935996164999999</v>
      </c>
      <c r="G29" s="1"/>
      <c r="H29" s="1">
        <v>1.0089680000000001</v>
      </c>
      <c r="I29" s="15">
        <f t="shared" si="2"/>
        <v>9484.6018903999993</v>
      </c>
      <c r="J29" s="16">
        <f t="shared" si="3"/>
        <v>0.37956258381744001</v>
      </c>
      <c r="K29" s="1"/>
      <c r="L29" s="1"/>
      <c r="M29" s="15">
        <f t="shared" si="4"/>
        <v>0</v>
      </c>
      <c r="N29" s="1"/>
      <c r="O29" s="8">
        <v>2.82</v>
      </c>
      <c r="P29" s="15">
        <f t="shared" si="5"/>
        <v>532.33000000000004</v>
      </c>
      <c r="Q29" s="15"/>
      <c r="U29">
        <f t="shared" si="6"/>
        <v>1</v>
      </c>
      <c r="V29" t="str">
        <f t="shared" si="1"/>
        <v>min</v>
      </c>
      <c r="W29" s="35">
        <f t="shared" si="7"/>
        <v>0</v>
      </c>
      <c r="X29" s="36">
        <f t="shared" si="8"/>
        <v>0</v>
      </c>
      <c r="Y29" s="35">
        <f t="shared" si="9"/>
        <v>0</v>
      </c>
      <c r="Z29" s="36">
        <f t="shared" si="10"/>
        <v>0</v>
      </c>
      <c r="AB29" s="35">
        <f t="shared" si="11"/>
        <v>0</v>
      </c>
      <c r="AC29" s="36">
        <f t="shared" si="12"/>
        <v>0</v>
      </c>
      <c r="AD29" s="35">
        <f t="shared" si="13"/>
        <v>0</v>
      </c>
      <c r="AE29" s="36">
        <f t="shared" si="14"/>
        <v>0</v>
      </c>
      <c r="AG29" s="35">
        <f t="shared" si="15"/>
        <v>0</v>
      </c>
      <c r="AH29" s="36">
        <f t="shared" si="16"/>
        <v>0</v>
      </c>
      <c r="AI29" s="35">
        <f t="shared" si="17"/>
        <v>0</v>
      </c>
      <c r="AJ29" s="36">
        <f t="shared" si="18"/>
        <v>0</v>
      </c>
      <c r="AL29" s="35">
        <f t="shared" si="19"/>
        <v>0</v>
      </c>
      <c r="AM29" s="36">
        <f t="shared" si="20"/>
        <v>0</v>
      </c>
      <c r="AN29" s="35">
        <f t="shared" si="21"/>
        <v>0</v>
      </c>
      <c r="AO29" s="36">
        <f t="shared" si="22"/>
        <v>0</v>
      </c>
    </row>
    <row r="30" spans="3:41" x14ac:dyDescent="0.3">
      <c r="C30" s="1">
        <v>33.630000000000003</v>
      </c>
      <c r="D30" s="1"/>
      <c r="E30" s="1">
        <v>0.98973500000000003</v>
      </c>
      <c r="F30" s="15">
        <f t="shared" si="0"/>
        <v>31.914005074999999</v>
      </c>
      <c r="G30" s="1"/>
      <c r="H30" s="1">
        <v>1.009606</v>
      </c>
      <c r="I30" s="15">
        <f t="shared" si="2"/>
        <v>9490.5992817999995</v>
      </c>
      <c r="J30" s="16">
        <f t="shared" si="3"/>
        <v>0.37932272695399477</v>
      </c>
      <c r="K30" s="1"/>
      <c r="L30" s="1"/>
      <c r="M30" s="15">
        <f t="shared" si="4"/>
        <v>0</v>
      </c>
      <c r="N30" s="1"/>
      <c r="O30" s="8">
        <v>3.02</v>
      </c>
      <c r="P30" s="15">
        <f t="shared" si="5"/>
        <v>532.53</v>
      </c>
      <c r="Q30" s="15"/>
      <c r="U30">
        <f t="shared" si="6"/>
        <v>1</v>
      </c>
      <c r="V30" t="str">
        <f t="shared" si="1"/>
        <v>min</v>
      </c>
      <c r="W30" s="35">
        <f t="shared" si="7"/>
        <v>0</v>
      </c>
      <c r="X30" s="36">
        <f t="shared" si="8"/>
        <v>0</v>
      </c>
      <c r="Y30" s="35">
        <f t="shared" si="9"/>
        <v>0</v>
      </c>
      <c r="Z30" s="36">
        <f t="shared" si="10"/>
        <v>0</v>
      </c>
      <c r="AB30" s="35">
        <f t="shared" si="11"/>
        <v>0</v>
      </c>
      <c r="AC30" s="36">
        <f t="shared" si="12"/>
        <v>0</v>
      </c>
      <c r="AD30" s="35">
        <f t="shared" si="13"/>
        <v>0</v>
      </c>
      <c r="AE30" s="36">
        <f t="shared" si="14"/>
        <v>0</v>
      </c>
      <c r="AG30" s="35">
        <f t="shared" si="15"/>
        <v>0</v>
      </c>
      <c r="AH30" s="36">
        <f t="shared" si="16"/>
        <v>0</v>
      </c>
      <c r="AI30" s="35">
        <f t="shared" si="17"/>
        <v>0</v>
      </c>
      <c r="AJ30" s="36">
        <f t="shared" si="18"/>
        <v>0</v>
      </c>
      <c r="AL30" s="35">
        <f t="shared" si="19"/>
        <v>0</v>
      </c>
      <c r="AM30" s="36">
        <f t="shared" si="20"/>
        <v>0</v>
      </c>
      <c r="AN30" s="35">
        <f t="shared" si="21"/>
        <v>0</v>
      </c>
      <c r="AO30" s="36">
        <f t="shared" si="22"/>
        <v>0</v>
      </c>
    </row>
    <row r="31" spans="3:41" x14ac:dyDescent="0.3">
      <c r="C31" s="1">
        <v>34.869999999999997</v>
      </c>
      <c r="D31" s="1"/>
      <c r="E31" s="1">
        <v>0.98902199999999996</v>
      </c>
      <c r="F31" s="15">
        <f t="shared" si="0"/>
        <v>31.891014389999995</v>
      </c>
      <c r="G31" s="1"/>
      <c r="H31" s="1">
        <v>1.0102549999999999</v>
      </c>
      <c r="I31" s="15">
        <f t="shared" si="2"/>
        <v>9496.7000764999975</v>
      </c>
      <c r="J31" s="16">
        <f t="shared" si="3"/>
        <v>0.37907904545794369</v>
      </c>
      <c r="K31" s="1"/>
      <c r="L31" s="1"/>
      <c r="M31" s="15">
        <f t="shared" si="4"/>
        <v>0</v>
      </c>
      <c r="N31" s="1"/>
      <c r="O31" s="8">
        <v>3.22</v>
      </c>
      <c r="P31" s="15">
        <f t="shared" si="5"/>
        <v>532.73</v>
      </c>
      <c r="Q31" s="15"/>
      <c r="U31">
        <f t="shared" si="6"/>
        <v>1</v>
      </c>
      <c r="V31" t="str">
        <f t="shared" si="1"/>
        <v>min</v>
      </c>
      <c r="W31" s="35">
        <f t="shared" si="7"/>
        <v>0</v>
      </c>
      <c r="X31" s="36">
        <f t="shared" si="8"/>
        <v>0</v>
      </c>
      <c r="Y31" s="35">
        <f t="shared" si="9"/>
        <v>0</v>
      </c>
      <c r="Z31" s="36">
        <f t="shared" si="10"/>
        <v>0</v>
      </c>
      <c r="AB31" s="35">
        <f t="shared" si="11"/>
        <v>0</v>
      </c>
      <c r="AC31" s="36">
        <f t="shared" si="12"/>
        <v>0</v>
      </c>
      <c r="AD31" s="35">
        <f t="shared" si="13"/>
        <v>0</v>
      </c>
      <c r="AE31" s="36">
        <f t="shared" si="14"/>
        <v>0</v>
      </c>
      <c r="AG31" s="35">
        <f t="shared" si="15"/>
        <v>0</v>
      </c>
      <c r="AH31" s="36">
        <f t="shared" si="16"/>
        <v>0</v>
      </c>
      <c r="AI31" s="35">
        <f t="shared" si="17"/>
        <v>0</v>
      </c>
      <c r="AJ31" s="36">
        <f t="shared" si="18"/>
        <v>0</v>
      </c>
      <c r="AL31" s="35">
        <f t="shared" si="19"/>
        <v>0</v>
      </c>
      <c r="AM31" s="36">
        <f t="shared" si="20"/>
        <v>0</v>
      </c>
      <c r="AN31" s="35">
        <f t="shared" si="21"/>
        <v>0</v>
      </c>
      <c r="AO31" s="36">
        <f t="shared" si="22"/>
        <v>0</v>
      </c>
    </row>
    <row r="32" spans="3:41" x14ac:dyDescent="0.3">
      <c r="C32" s="1">
        <v>36.119999999999997</v>
      </c>
      <c r="D32" s="1"/>
      <c r="E32" s="1">
        <v>0.98833899999999997</v>
      </c>
      <c r="F32" s="15">
        <f t="shared" si="0"/>
        <v>31.868991054999995</v>
      </c>
      <c r="G32" s="1"/>
      <c r="H32" s="1">
        <v>1.010893</v>
      </c>
      <c r="I32" s="15">
        <f t="shared" si="2"/>
        <v>9502.6974678999995</v>
      </c>
      <c r="J32" s="16">
        <f t="shared" si="3"/>
        <v>0.37883979913711424</v>
      </c>
      <c r="K32" s="1"/>
      <c r="L32" s="1"/>
      <c r="M32" s="15">
        <f t="shared" si="4"/>
        <v>0</v>
      </c>
      <c r="N32" s="1"/>
      <c r="O32" s="8">
        <v>3.42</v>
      </c>
      <c r="P32" s="15">
        <f t="shared" si="5"/>
        <v>532.92999999999995</v>
      </c>
      <c r="Q32" s="15"/>
      <c r="U32">
        <f t="shared" si="6"/>
        <v>1</v>
      </c>
      <c r="V32" t="str">
        <f t="shared" si="1"/>
        <v>min</v>
      </c>
      <c r="W32" s="35">
        <f t="shared" si="7"/>
        <v>0</v>
      </c>
      <c r="X32" s="36">
        <f t="shared" si="8"/>
        <v>0</v>
      </c>
      <c r="Y32" s="35">
        <f t="shared" si="9"/>
        <v>0</v>
      </c>
      <c r="Z32" s="36">
        <f t="shared" si="10"/>
        <v>0</v>
      </c>
      <c r="AB32" s="35">
        <f t="shared" si="11"/>
        <v>0</v>
      </c>
      <c r="AC32" s="36">
        <f t="shared" si="12"/>
        <v>0</v>
      </c>
      <c r="AD32" s="35">
        <f t="shared" si="13"/>
        <v>0</v>
      </c>
      <c r="AE32" s="36">
        <f t="shared" si="14"/>
        <v>0</v>
      </c>
      <c r="AG32" s="35">
        <f t="shared" si="15"/>
        <v>0</v>
      </c>
      <c r="AH32" s="36">
        <f t="shared" si="16"/>
        <v>0</v>
      </c>
      <c r="AI32" s="35">
        <f t="shared" si="17"/>
        <v>0</v>
      </c>
      <c r="AJ32" s="36">
        <f t="shared" si="18"/>
        <v>0</v>
      </c>
      <c r="AL32" s="35">
        <f t="shared" si="19"/>
        <v>0</v>
      </c>
      <c r="AM32" s="36">
        <f t="shared" si="20"/>
        <v>0</v>
      </c>
      <c r="AN32" s="35">
        <f t="shared" si="21"/>
        <v>0</v>
      </c>
      <c r="AO32" s="36">
        <f t="shared" si="22"/>
        <v>0</v>
      </c>
    </row>
    <row r="33" spans="2:41" x14ac:dyDescent="0.3">
      <c r="C33" s="1">
        <v>37.36</v>
      </c>
      <c r="D33" s="1"/>
      <c r="E33" s="1">
        <v>0.987626</v>
      </c>
      <c r="F33" s="15">
        <f t="shared" si="0"/>
        <v>31.846000369999999</v>
      </c>
      <c r="G33" s="1"/>
      <c r="H33" s="1">
        <v>1.0115419999999999</v>
      </c>
      <c r="I33" s="15">
        <f t="shared" si="2"/>
        <v>9508.7982625999994</v>
      </c>
      <c r="J33" s="16">
        <f t="shared" si="3"/>
        <v>0.37859673752460582</v>
      </c>
      <c r="K33" s="1"/>
      <c r="L33" s="1"/>
      <c r="M33" s="15">
        <f t="shared" si="4"/>
        <v>0</v>
      </c>
      <c r="N33" s="1"/>
      <c r="O33" s="8">
        <v>3.62</v>
      </c>
      <c r="P33" s="15">
        <f t="shared" si="5"/>
        <v>533.13</v>
      </c>
      <c r="Q33" s="15"/>
      <c r="U33">
        <f t="shared" si="6"/>
        <v>1</v>
      </c>
      <c r="V33" t="str">
        <f t="shared" si="1"/>
        <v>min</v>
      </c>
      <c r="W33" s="35">
        <f t="shared" si="7"/>
        <v>0</v>
      </c>
      <c r="X33" s="36">
        <f t="shared" si="8"/>
        <v>0</v>
      </c>
      <c r="Y33" s="35">
        <f t="shared" si="9"/>
        <v>0</v>
      </c>
      <c r="Z33" s="36">
        <f t="shared" si="10"/>
        <v>0</v>
      </c>
      <c r="AB33" s="35">
        <f t="shared" si="11"/>
        <v>0</v>
      </c>
      <c r="AC33" s="36">
        <f t="shared" si="12"/>
        <v>0</v>
      </c>
      <c r="AD33" s="35">
        <f t="shared" si="13"/>
        <v>0</v>
      </c>
      <c r="AE33" s="36">
        <f t="shared" si="14"/>
        <v>0</v>
      </c>
      <c r="AG33" s="35">
        <f t="shared" si="15"/>
        <v>0</v>
      </c>
      <c r="AH33" s="36">
        <f t="shared" si="16"/>
        <v>0</v>
      </c>
      <c r="AI33" s="35">
        <f t="shared" si="17"/>
        <v>0</v>
      </c>
      <c r="AJ33" s="36">
        <f t="shared" si="18"/>
        <v>0</v>
      </c>
      <c r="AL33" s="35">
        <f t="shared" si="19"/>
        <v>0</v>
      </c>
      <c r="AM33" s="36">
        <f t="shared" si="20"/>
        <v>0</v>
      </c>
      <c r="AN33" s="35">
        <f t="shared" si="21"/>
        <v>0</v>
      </c>
      <c r="AO33" s="36">
        <f t="shared" si="22"/>
        <v>0</v>
      </c>
    </row>
    <row r="34" spans="2:41" x14ac:dyDescent="0.3">
      <c r="C34" s="1">
        <v>38.61</v>
      </c>
      <c r="D34" s="1"/>
      <c r="E34" s="1">
        <v>0.98691300000000004</v>
      </c>
      <c r="F34" s="15">
        <f t="shared" si="0"/>
        <v>31.823009684999999</v>
      </c>
      <c r="G34" s="1"/>
      <c r="H34" s="1">
        <v>1.0121910000000001</v>
      </c>
      <c r="I34" s="15">
        <f t="shared" si="2"/>
        <v>9514.8990572999992</v>
      </c>
      <c r="J34" s="16">
        <f t="shared" si="3"/>
        <v>0.37835398760620759</v>
      </c>
      <c r="K34" s="1"/>
      <c r="L34" s="1"/>
      <c r="M34" s="15">
        <f t="shared" si="4"/>
        <v>0</v>
      </c>
      <c r="N34" s="1"/>
      <c r="O34" s="8">
        <v>3.81</v>
      </c>
      <c r="P34" s="15">
        <f t="shared" si="5"/>
        <v>533.31999999999994</v>
      </c>
      <c r="Q34" s="15"/>
      <c r="U34">
        <f t="shared" si="6"/>
        <v>1</v>
      </c>
      <c r="V34" t="str">
        <f t="shared" si="1"/>
        <v>min</v>
      </c>
      <c r="W34" s="35">
        <f t="shared" si="7"/>
        <v>0</v>
      </c>
      <c r="X34" s="36">
        <f t="shared" si="8"/>
        <v>0</v>
      </c>
      <c r="Y34" s="35">
        <f t="shared" si="9"/>
        <v>0</v>
      </c>
      <c r="Z34" s="36">
        <f t="shared" si="10"/>
        <v>0</v>
      </c>
      <c r="AB34" s="35">
        <f t="shared" si="11"/>
        <v>0</v>
      </c>
      <c r="AC34" s="36">
        <f t="shared" si="12"/>
        <v>0</v>
      </c>
      <c r="AD34" s="35">
        <f t="shared" si="13"/>
        <v>0</v>
      </c>
      <c r="AE34" s="36">
        <f t="shared" si="14"/>
        <v>0</v>
      </c>
      <c r="AG34" s="35">
        <f t="shared" si="15"/>
        <v>0</v>
      </c>
      <c r="AH34" s="36">
        <f t="shared" si="16"/>
        <v>0</v>
      </c>
      <c r="AI34" s="35">
        <f t="shared" si="17"/>
        <v>0</v>
      </c>
      <c r="AJ34" s="36">
        <f t="shared" si="18"/>
        <v>0</v>
      </c>
      <c r="AL34" s="35">
        <f t="shared" si="19"/>
        <v>0</v>
      </c>
      <c r="AM34" s="36">
        <f t="shared" si="20"/>
        <v>0</v>
      </c>
      <c r="AN34" s="35">
        <f t="shared" si="21"/>
        <v>0</v>
      </c>
      <c r="AO34" s="36">
        <f t="shared" si="22"/>
        <v>0</v>
      </c>
    </row>
    <row r="35" spans="2:41" x14ac:dyDescent="0.3">
      <c r="C35" s="1">
        <v>39.85</v>
      </c>
      <c r="D35" s="1"/>
      <c r="E35" s="1">
        <v>0.98619900000000005</v>
      </c>
      <c r="F35" s="15">
        <f t="shared" si="0"/>
        <v>31.799986754999999</v>
      </c>
      <c r="G35" s="1"/>
      <c r="H35" s="1">
        <v>1.0128509999999999</v>
      </c>
      <c r="I35" s="15">
        <f t="shared" si="2"/>
        <v>9521.1032552999986</v>
      </c>
      <c r="J35" s="16">
        <f t="shared" si="3"/>
        <v>0.37810744232776083</v>
      </c>
      <c r="K35" s="1"/>
      <c r="L35" s="1"/>
      <c r="M35" s="15">
        <f t="shared" si="4"/>
        <v>0</v>
      </c>
      <c r="N35" s="1"/>
      <c r="O35" s="8">
        <v>4.01</v>
      </c>
      <c r="P35" s="15">
        <f t="shared" si="5"/>
        <v>533.52</v>
      </c>
      <c r="Q35" s="15"/>
      <c r="U35">
        <f t="shared" si="6"/>
        <v>1</v>
      </c>
      <c r="V35" t="str">
        <f t="shared" si="1"/>
        <v>min</v>
      </c>
      <c r="W35" s="35">
        <f t="shared" si="7"/>
        <v>0</v>
      </c>
      <c r="X35" s="36">
        <f t="shared" si="8"/>
        <v>0</v>
      </c>
      <c r="Y35" s="35">
        <f t="shared" si="9"/>
        <v>0</v>
      </c>
      <c r="Z35" s="36">
        <f t="shared" si="10"/>
        <v>0</v>
      </c>
      <c r="AB35" s="35">
        <f t="shared" si="11"/>
        <v>0</v>
      </c>
      <c r="AC35" s="36">
        <f t="shared" si="12"/>
        <v>0</v>
      </c>
      <c r="AD35" s="35">
        <f t="shared" si="13"/>
        <v>0</v>
      </c>
      <c r="AE35" s="36">
        <f t="shared" si="14"/>
        <v>0</v>
      </c>
      <c r="AG35" s="35">
        <f t="shared" si="15"/>
        <v>0</v>
      </c>
      <c r="AH35" s="36">
        <f t="shared" si="16"/>
        <v>0</v>
      </c>
      <c r="AI35" s="35">
        <f t="shared" si="17"/>
        <v>0</v>
      </c>
      <c r="AJ35" s="36">
        <f t="shared" si="18"/>
        <v>0</v>
      </c>
      <c r="AL35" s="35">
        <f t="shared" si="19"/>
        <v>0</v>
      </c>
      <c r="AM35" s="36">
        <f t="shared" si="20"/>
        <v>0</v>
      </c>
      <c r="AN35" s="35">
        <f t="shared" si="21"/>
        <v>0</v>
      </c>
      <c r="AO35" s="36">
        <f t="shared" si="22"/>
        <v>0</v>
      </c>
    </row>
    <row r="36" spans="2:41" x14ac:dyDescent="0.3">
      <c r="C36" s="1">
        <v>41.1</v>
      </c>
      <c r="D36" s="1"/>
      <c r="E36" s="1">
        <v>0.98551699999999998</v>
      </c>
      <c r="F36" s="15">
        <f t="shared" si="0"/>
        <v>31.777995664999995</v>
      </c>
      <c r="G36" s="1"/>
      <c r="H36" s="1">
        <v>1.0134890000000001</v>
      </c>
      <c r="I36" s="15">
        <f t="shared" si="2"/>
        <v>9527.1006467000007</v>
      </c>
      <c r="J36" s="16">
        <f t="shared" si="3"/>
        <v>0.37786942045657601</v>
      </c>
      <c r="K36" s="1"/>
      <c r="L36" s="1"/>
      <c r="M36" s="15">
        <f t="shared" si="4"/>
        <v>0</v>
      </c>
      <c r="N36" s="1"/>
      <c r="O36" s="8">
        <v>4.21</v>
      </c>
      <c r="P36" s="15">
        <f t="shared" si="5"/>
        <v>533.72</v>
      </c>
      <c r="Q36" s="15"/>
      <c r="U36">
        <f t="shared" si="6"/>
        <v>1</v>
      </c>
      <c r="V36" t="str">
        <f t="shared" si="1"/>
        <v>min</v>
      </c>
      <c r="W36" s="35">
        <f t="shared" si="7"/>
        <v>0</v>
      </c>
      <c r="X36" s="36">
        <f t="shared" si="8"/>
        <v>0</v>
      </c>
      <c r="Y36" s="35">
        <f t="shared" si="9"/>
        <v>0</v>
      </c>
      <c r="Z36" s="36">
        <f t="shared" si="10"/>
        <v>0</v>
      </c>
      <c r="AB36" s="35">
        <f t="shared" si="11"/>
        <v>0</v>
      </c>
      <c r="AC36" s="36">
        <f t="shared" si="12"/>
        <v>0</v>
      </c>
      <c r="AD36" s="35">
        <f t="shared" si="13"/>
        <v>0</v>
      </c>
      <c r="AE36" s="36">
        <f t="shared" si="14"/>
        <v>0</v>
      </c>
      <c r="AG36" s="35">
        <f t="shared" si="15"/>
        <v>0</v>
      </c>
      <c r="AH36" s="36">
        <f t="shared" si="16"/>
        <v>0</v>
      </c>
      <c r="AI36" s="35">
        <f t="shared" si="17"/>
        <v>0</v>
      </c>
      <c r="AJ36" s="36">
        <f t="shared" si="18"/>
        <v>0</v>
      </c>
      <c r="AL36" s="35">
        <f t="shared" si="19"/>
        <v>0</v>
      </c>
      <c r="AM36" s="36">
        <f t="shared" si="20"/>
        <v>0</v>
      </c>
      <c r="AN36" s="35">
        <f t="shared" si="21"/>
        <v>0</v>
      </c>
      <c r="AO36" s="36">
        <f t="shared" si="22"/>
        <v>0</v>
      </c>
    </row>
    <row r="37" spans="2:41" x14ac:dyDescent="0.3">
      <c r="C37" s="1">
        <v>42.35</v>
      </c>
      <c r="D37" s="1"/>
      <c r="E37" s="1">
        <v>0.98480400000000001</v>
      </c>
      <c r="F37" s="15">
        <f t="shared" si="0"/>
        <v>31.755004979999999</v>
      </c>
      <c r="G37" s="1"/>
      <c r="H37" s="1">
        <v>1.014138</v>
      </c>
      <c r="I37" s="15">
        <f t="shared" si="2"/>
        <v>9533.2014413999987</v>
      </c>
      <c r="J37" s="16">
        <f t="shared" si="3"/>
        <v>0.37762760203159218</v>
      </c>
      <c r="K37" s="1"/>
      <c r="L37" s="1"/>
      <c r="M37" s="15">
        <f t="shared" si="4"/>
        <v>0</v>
      </c>
      <c r="N37" s="1"/>
      <c r="O37" s="8">
        <v>4.4000000000000004</v>
      </c>
      <c r="P37" s="15">
        <f t="shared" si="5"/>
        <v>533.91</v>
      </c>
      <c r="Q37" s="15"/>
      <c r="U37">
        <f t="shared" si="6"/>
        <v>1</v>
      </c>
      <c r="V37" t="str">
        <f t="shared" si="1"/>
        <v>min</v>
      </c>
      <c r="W37" s="35">
        <f t="shared" si="7"/>
        <v>0</v>
      </c>
      <c r="X37" s="36">
        <f t="shared" si="8"/>
        <v>0</v>
      </c>
      <c r="Y37" s="35">
        <f t="shared" si="9"/>
        <v>0</v>
      </c>
      <c r="Z37" s="36">
        <f t="shared" si="10"/>
        <v>0</v>
      </c>
      <c r="AB37" s="35">
        <f t="shared" si="11"/>
        <v>0</v>
      </c>
      <c r="AC37" s="36">
        <f t="shared" si="12"/>
        <v>0</v>
      </c>
      <c r="AD37" s="35">
        <f t="shared" si="13"/>
        <v>0</v>
      </c>
      <c r="AE37" s="36">
        <f t="shared" si="14"/>
        <v>0</v>
      </c>
      <c r="AG37" s="35">
        <f t="shared" si="15"/>
        <v>0</v>
      </c>
      <c r="AH37" s="36">
        <f t="shared" si="16"/>
        <v>0</v>
      </c>
      <c r="AI37" s="35">
        <f t="shared" si="17"/>
        <v>0</v>
      </c>
      <c r="AJ37" s="36">
        <f t="shared" si="18"/>
        <v>0</v>
      </c>
      <c r="AL37" s="35">
        <f t="shared" si="19"/>
        <v>0</v>
      </c>
      <c r="AM37" s="36">
        <f t="shared" si="20"/>
        <v>0</v>
      </c>
      <c r="AN37" s="35">
        <f t="shared" si="21"/>
        <v>0</v>
      </c>
      <c r="AO37" s="36">
        <f t="shared" si="22"/>
        <v>0</v>
      </c>
    </row>
    <row r="38" spans="2:41" x14ac:dyDescent="0.3">
      <c r="C38" s="1">
        <v>43.59</v>
      </c>
      <c r="D38" s="1"/>
      <c r="E38" s="1">
        <v>0.98415300000000006</v>
      </c>
      <c r="F38" s="15">
        <f t="shared" si="0"/>
        <v>31.734013484999998</v>
      </c>
      <c r="G38" s="1"/>
      <c r="H38" s="1">
        <v>1.0147649999999999</v>
      </c>
      <c r="I38" s="15">
        <f t="shared" si="2"/>
        <v>9539.0954294999992</v>
      </c>
      <c r="J38" s="16">
        <f t="shared" si="3"/>
        <v>0.37739427460457825</v>
      </c>
      <c r="K38" s="1"/>
      <c r="L38" s="1"/>
      <c r="M38" s="15">
        <f t="shared" si="4"/>
        <v>0</v>
      </c>
      <c r="N38" s="1"/>
      <c r="O38" s="8">
        <v>4.5999999999999996</v>
      </c>
      <c r="P38" s="15">
        <f t="shared" si="5"/>
        <v>534.11</v>
      </c>
      <c r="Q38" s="15"/>
      <c r="U38">
        <f t="shared" si="6"/>
        <v>1</v>
      </c>
      <c r="V38" t="str">
        <f t="shared" si="1"/>
        <v>min</v>
      </c>
      <c r="W38" s="35">
        <f t="shared" si="7"/>
        <v>0</v>
      </c>
      <c r="X38" s="36">
        <f t="shared" si="8"/>
        <v>0</v>
      </c>
      <c r="Y38" s="35">
        <f t="shared" si="9"/>
        <v>0</v>
      </c>
      <c r="Z38" s="36">
        <f t="shared" si="10"/>
        <v>0</v>
      </c>
      <c r="AB38" s="35">
        <f t="shared" si="11"/>
        <v>0</v>
      </c>
      <c r="AC38" s="36">
        <f t="shared" si="12"/>
        <v>0</v>
      </c>
      <c r="AD38" s="35">
        <f t="shared" si="13"/>
        <v>0</v>
      </c>
      <c r="AE38" s="36">
        <f t="shared" si="14"/>
        <v>0</v>
      </c>
      <c r="AG38" s="35">
        <f t="shared" si="15"/>
        <v>0</v>
      </c>
      <c r="AH38" s="36">
        <f t="shared" si="16"/>
        <v>0</v>
      </c>
      <c r="AI38" s="35">
        <f t="shared" si="17"/>
        <v>0</v>
      </c>
      <c r="AJ38" s="36">
        <f t="shared" si="18"/>
        <v>0</v>
      </c>
      <c r="AL38" s="35">
        <f t="shared" si="19"/>
        <v>0</v>
      </c>
      <c r="AM38" s="36">
        <f t="shared" si="20"/>
        <v>0</v>
      </c>
      <c r="AN38" s="35">
        <f t="shared" si="21"/>
        <v>0</v>
      </c>
      <c r="AO38" s="36">
        <f t="shared" si="22"/>
        <v>0</v>
      </c>
    </row>
    <row r="39" spans="2:41" x14ac:dyDescent="0.3">
      <c r="C39" s="1">
        <v>44.84</v>
      </c>
      <c r="D39" s="1"/>
      <c r="E39" s="1">
        <v>0.98343899999999995</v>
      </c>
      <c r="F39" s="15">
        <f t="shared" si="0"/>
        <v>31.710990554999995</v>
      </c>
      <c r="G39" s="1"/>
      <c r="H39" s="1">
        <v>1.015425</v>
      </c>
      <c r="I39" s="15">
        <f t="shared" si="2"/>
        <v>9545.2996274999987</v>
      </c>
      <c r="J39" s="16">
        <f t="shared" si="3"/>
        <v>0.377148978082197</v>
      </c>
      <c r="K39" s="1"/>
      <c r="L39" s="1"/>
      <c r="M39" s="15">
        <f t="shared" si="4"/>
        <v>0</v>
      </c>
      <c r="N39" s="1"/>
      <c r="O39" s="8">
        <v>4.8</v>
      </c>
      <c r="P39" s="15">
        <f t="shared" si="5"/>
        <v>534.30999999999995</v>
      </c>
      <c r="Q39" s="15"/>
      <c r="U39">
        <f t="shared" si="6"/>
        <v>1</v>
      </c>
      <c r="V39" t="str">
        <f t="shared" si="1"/>
        <v>min</v>
      </c>
      <c r="W39" s="35">
        <f t="shared" si="7"/>
        <v>0</v>
      </c>
      <c r="X39" s="36">
        <f t="shared" si="8"/>
        <v>0</v>
      </c>
      <c r="Y39" s="35">
        <f t="shared" si="9"/>
        <v>0</v>
      </c>
      <c r="Z39" s="36">
        <f t="shared" si="10"/>
        <v>0</v>
      </c>
      <c r="AB39" s="35">
        <f t="shared" si="11"/>
        <v>0</v>
      </c>
      <c r="AC39" s="36">
        <f t="shared" si="12"/>
        <v>0</v>
      </c>
      <c r="AD39" s="35">
        <f t="shared" si="13"/>
        <v>0</v>
      </c>
      <c r="AE39" s="36">
        <f t="shared" si="14"/>
        <v>0</v>
      </c>
      <c r="AG39" s="35">
        <f t="shared" si="15"/>
        <v>0</v>
      </c>
      <c r="AH39" s="36">
        <f t="shared" si="16"/>
        <v>0</v>
      </c>
      <c r="AI39" s="35">
        <f t="shared" si="17"/>
        <v>0</v>
      </c>
      <c r="AJ39" s="36">
        <f t="shared" si="18"/>
        <v>0</v>
      </c>
      <c r="AL39" s="35">
        <f t="shared" si="19"/>
        <v>0</v>
      </c>
      <c r="AM39" s="36">
        <f t="shared" si="20"/>
        <v>0</v>
      </c>
      <c r="AN39" s="35">
        <f t="shared" si="21"/>
        <v>0</v>
      </c>
      <c r="AO39" s="36">
        <f t="shared" si="22"/>
        <v>0</v>
      </c>
    </row>
    <row r="40" spans="2:41" x14ac:dyDescent="0.3">
      <c r="C40" s="1">
        <v>46.08</v>
      </c>
      <c r="D40" s="1"/>
      <c r="E40" s="1">
        <v>0.98257099999999997</v>
      </c>
      <c r="F40" s="15">
        <f t="shared" si="0"/>
        <v>31.683001894999997</v>
      </c>
      <c r="G40" s="1"/>
      <c r="H40" s="1">
        <v>1.0160849999999999</v>
      </c>
      <c r="I40" s="15">
        <f t="shared" si="2"/>
        <v>9551.5038254999981</v>
      </c>
      <c r="J40" s="16">
        <f t="shared" si="3"/>
        <v>0.37690400022548792</v>
      </c>
      <c r="K40" s="1"/>
      <c r="L40" s="1"/>
      <c r="M40" s="15">
        <f t="shared" si="4"/>
        <v>0</v>
      </c>
      <c r="N40" s="1"/>
      <c r="O40" s="8">
        <v>4.9800000000000004</v>
      </c>
      <c r="P40" s="15">
        <f t="shared" si="5"/>
        <v>534.49</v>
      </c>
      <c r="Q40" s="15"/>
      <c r="U40">
        <f t="shared" si="6"/>
        <v>1</v>
      </c>
      <c r="V40" t="str">
        <f t="shared" si="1"/>
        <v>min</v>
      </c>
      <c r="W40" s="35">
        <f t="shared" si="7"/>
        <v>0</v>
      </c>
      <c r="X40" s="36">
        <f t="shared" si="8"/>
        <v>0</v>
      </c>
      <c r="Y40" s="35">
        <f t="shared" si="9"/>
        <v>0</v>
      </c>
      <c r="Z40" s="36">
        <f t="shared" si="10"/>
        <v>0</v>
      </c>
      <c r="AB40" s="35">
        <f t="shared" si="11"/>
        <v>0</v>
      </c>
      <c r="AC40" s="36">
        <f t="shared" si="12"/>
        <v>0</v>
      </c>
      <c r="AD40" s="35">
        <f t="shared" si="13"/>
        <v>0</v>
      </c>
      <c r="AE40" s="36">
        <f t="shared" si="14"/>
        <v>0</v>
      </c>
      <c r="AG40" s="35">
        <f t="shared" si="15"/>
        <v>0</v>
      </c>
      <c r="AH40" s="36">
        <f t="shared" si="16"/>
        <v>0</v>
      </c>
      <c r="AI40" s="35">
        <f t="shared" si="17"/>
        <v>0</v>
      </c>
      <c r="AJ40" s="36">
        <f t="shared" si="18"/>
        <v>0</v>
      </c>
      <c r="AL40" s="35">
        <f t="shared" si="19"/>
        <v>0</v>
      </c>
      <c r="AM40" s="36">
        <f t="shared" si="20"/>
        <v>0</v>
      </c>
      <c r="AN40" s="35">
        <f t="shared" si="21"/>
        <v>0</v>
      </c>
      <c r="AO40" s="36">
        <f t="shared" si="22"/>
        <v>0</v>
      </c>
    </row>
    <row r="41" spans="2:41" x14ac:dyDescent="0.3">
      <c r="C41" s="1">
        <v>47.33</v>
      </c>
      <c r="D41" s="1"/>
      <c r="E41" s="1">
        <v>0.98188900000000001</v>
      </c>
      <c r="F41" s="15">
        <f t="shared" si="0"/>
        <v>31.661010804999997</v>
      </c>
      <c r="G41" s="1"/>
      <c r="H41" s="1">
        <v>1.016723</v>
      </c>
      <c r="I41" s="15">
        <f t="shared" si="2"/>
        <v>9557.5012169000001</v>
      </c>
      <c r="J41" s="16">
        <f t="shared" si="3"/>
        <v>0.37666749062341937</v>
      </c>
      <c r="K41" s="1"/>
      <c r="L41" s="1"/>
      <c r="M41" s="15">
        <f t="shared" si="4"/>
        <v>0</v>
      </c>
      <c r="N41" s="1"/>
      <c r="O41" s="8">
        <v>5.17</v>
      </c>
      <c r="P41" s="15">
        <f t="shared" si="5"/>
        <v>534.67999999999995</v>
      </c>
      <c r="Q41" s="15"/>
      <c r="U41">
        <f t="shared" si="6"/>
        <v>1</v>
      </c>
      <c r="V41" t="str">
        <f t="shared" si="1"/>
        <v>min</v>
      </c>
      <c r="W41" s="35">
        <f t="shared" si="7"/>
        <v>0</v>
      </c>
      <c r="X41" s="36">
        <f t="shared" si="8"/>
        <v>0</v>
      </c>
      <c r="Y41" s="35">
        <f t="shared" si="9"/>
        <v>0</v>
      </c>
      <c r="Z41" s="36">
        <f t="shared" si="10"/>
        <v>0</v>
      </c>
      <c r="AB41" s="35">
        <f t="shared" si="11"/>
        <v>0</v>
      </c>
      <c r="AC41" s="36">
        <f t="shared" si="12"/>
        <v>0</v>
      </c>
      <c r="AD41" s="35">
        <f t="shared" si="13"/>
        <v>0</v>
      </c>
      <c r="AE41" s="36">
        <f t="shared" si="14"/>
        <v>0</v>
      </c>
      <c r="AG41" s="35">
        <f t="shared" si="15"/>
        <v>0</v>
      </c>
      <c r="AH41" s="36">
        <f t="shared" si="16"/>
        <v>0</v>
      </c>
      <c r="AI41" s="35">
        <f t="shared" si="17"/>
        <v>0</v>
      </c>
      <c r="AJ41" s="36">
        <f t="shared" si="18"/>
        <v>0</v>
      </c>
      <c r="AL41" s="35">
        <f t="shared" si="19"/>
        <v>0</v>
      </c>
      <c r="AM41" s="36">
        <f t="shared" si="20"/>
        <v>0</v>
      </c>
      <c r="AN41" s="35">
        <f t="shared" si="21"/>
        <v>0</v>
      </c>
      <c r="AO41" s="36">
        <f t="shared" si="22"/>
        <v>0</v>
      </c>
    </row>
    <row r="42" spans="2:41" x14ac:dyDescent="0.3">
      <c r="C42" s="1">
        <v>48.57</v>
      </c>
      <c r="D42" s="1"/>
      <c r="E42" s="1">
        <v>0.98136100000000004</v>
      </c>
      <c r="F42" s="15">
        <f t="shared" si="0"/>
        <v>31.643985444999998</v>
      </c>
      <c r="G42" s="1"/>
      <c r="H42" s="1">
        <v>1.0173509999999999</v>
      </c>
      <c r="I42" s="15">
        <f t="shared" si="2"/>
        <v>9563.4046052999984</v>
      </c>
      <c r="J42" s="16">
        <f t="shared" si="3"/>
        <v>0.37643497776983054</v>
      </c>
      <c r="K42" s="1"/>
      <c r="L42" s="1"/>
      <c r="M42" s="15">
        <f t="shared" si="4"/>
        <v>0</v>
      </c>
      <c r="N42" s="1"/>
      <c r="O42" s="8">
        <v>5.38</v>
      </c>
      <c r="P42" s="15">
        <f t="shared" si="5"/>
        <v>534.89</v>
      </c>
      <c r="Q42" s="15"/>
      <c r="U42">
        <f t="shared" si="6"/>
        <v>1</v>
      </c>
      <c r="V42" t="str">
        <f t="shared" si="1"/>
        <v>min</v>
      </c>
      <c r="W42" s="35">
        <f t="shared" si="7"/>
        <v>0</v>
      </c>
      <c r="X42" s="36">
        <f t="shared" si="8"/>
        <v>0</v>
      </c>
      <c r="Y42" s="35">
        <f t="shared" si="9"/>
        <v>0</v>
      </c>
      <c r="Z42" s="36">
        <f t="shared" si="10"/>
        <v>0</v>
      </c>
      <c r="AB42" s="35">
        <f t="shared" si="11"/>
        <v>0</v>
      </c>
      <c r="AC42" s="36">
        <f t="shared" si="12"/>
        <v>0</v>
      </c>
      <c r="AD42" s="35">
        <f t="shared" si="13"/>
        <v>0</v>
      </c>
      <c r="AE42" s="36">
        <f t="shared" si="14"/>
        <v>0</v>
      </c>
      <c r="AG42" s="35">
        <f t="shared" si="15"/>
        <v>0</v>
      </c>
      <c r="AH42" s="36">
        <f t="shared" si="16"/>
        <v>0</v>
      </c>
      <c r="AI42" s="35">
        <f t="shared" si="17"/>
        <v>0</v>
      </c>
      <c r="AJ42" s="36">
        <f t="shared" si="18"/>
        <v>0</v>
      </c>
      <c r="AL42" s="35">
        <f t="shared" si="19"/>
        <v>0</v>
      </c>
      <c r="AM42" s="36">
        <f t="shared" si="20"/>
        <v>0</v>
      </c>
      <c r="AN42" s="35">
        <f t="shared" si="21"/>
        <v>0</v>
      </c>
      <c r="AO42" s="36">
        <f t="shared" si="22"/>
        <v>0</v>
      </c>
    </row>
    <row r="43" spans="2:41" x14ac:dyDescent="0.3">
      <c r="C43" s="1">
        <v>49.82</v>
      </c>
      <c r="D43" s="1"/>
      <c r="E43" s="1">
        <v>0.98064799999999996</v>
      </c>
      <c r="F43" s="15">
        <f t="shared" si="0"/>
        <v>31.620994759999995</v>
      </c>
      <c r="G43" s="1"/>
      <c r="H43" s="1">
        <v>1.0180210000000001</v>
      </c>
      <c r="I43" s="15">
        <f t="shared" si="2"/>
        <v>9569.7028062999998</v>
      </c>
      <c r="J43" s="16">
        <f t="shared" si="3"/>
        <v>0.37618723097963092</v>
      </c>
      <c r="K43" s="1"/>
      <c r="L43" s="1"/>
      <c r="M43" s="15">
        <f t="shared" si="4"/>
        <v>0</v>
      </c>
      <c r="N43" s="1"/>
      <c r="O43" s="8">
        <v>5.59</v>
      </c>
      <c r="P43" s="15">
        <f t="shared" si="5"/>
        <v>535.1</v>
      </c>
      <c r="Q43" s="15"/>
      <c r="U43">
        <f t="shared" si="6"/>
        <v>1</v>
      </c>
      <c r="V43" t="str">
        <f t="shared" si="1"/>
        <v>min</v>
      </c>
      <c r="W43" s="35">
        <f t="shared" si="7"/>
        <v>0</v>
      </c>
      <c r="X43" s="36">
        <f t="shared" si="8"/>
        <v>0</v>
      </c>
      <c r="Y43" s="35">
        <f t="shared" si="9"/>
        <v>0</v>
      </c>
      <c r="Z43" s="36">
        <f t="shared" si="10"/>
        <v>0</v>
      </c>
      <c r="AB43" s="35">
        <f t="shared" si="11"/>
        <v>0</v>
      </c>
      <c r="AC43" s="36">
        <f t="shared" si="12"/>
        <v>0</v>
      </c>
      <c r="AD43" s="35">
        <f t="shared" si="13"/>
        <v>0</v>
      </c>
      <c r="AE43" s="36">
        <f t="shared" si="14"/>
        <v>0</v>
      </c>
      <c r="AG43" s="35">
        <f t="shared" si="15"/>
        <v>0</v>
      </c>
      <c r="AH43" s="36">
        <f t="shared" si="16"/>
        <v>0</v>
      </c>
      <c r="AI43" s="35">
        <f t="shared" si="17"/>
        <v>0</v>
      </c>
      <c r="AJ43" s="36">
        <f t="shared" si="18"/>
        <v>0</v>
      </c>
      <c r="AL43" s="35">
        <f t="shared" si="19"/>
        <v>0</v>
      </c>
      <c r="AM43" s="36">
        <f t="shared" si="20"/>
        <v>0</v>
      </c>
      <c r="AN43" s="35">
        <f t="shared" si="21"/>
        <v>0</v>
      </c>
      <c r="AO43" s="36">
        <f t="shared" si="22"/>
        <v>0</v>
      </c>
    </row>
    <row r="44" spans="2:41" x14ac:dyDescent="0.3">
      <c r="C44" s="1">
        <v>51.06</v>
      </c>
      <c r="D44" s="1"/>
      <c r="E44" s="1">
        <v>0.979966</v>
      </c>
      <c r="F44" s="15">
        <f t="shared" ref="F44:F63" si="23">E44*$A$2</f>
        <v>31.599003669999998</v>
      </c>
      <c r="G44" s="1"/>
      <c r="H44" s="1">
        <v>1.01867</v>
      </c>
      <c r="I44" s="15">
        <f t="shared" si="2"/>
        <v>9575.8036009999996</v>
      </c>
      <c r="J44" s="16">
        <f t="shared" si="3"/>
        <v>0.37594756012164371</v>
      </c>
      <c r="K44" s="1"/>
      <c r="L44" s="1"/>
      <c r="M44" s="15">
        <f t="shared" si="4"/>
        <v>0</v>
      </c>
      <c r="N44" s="1"/>
      <c r="O44" s="8">
        <v>5.79</v>
      </c>
      <c r="P44" s="15">
        <f t="shared" si="5"/>
        <v>535.29999999999995</v>
      </c>
      <c r="Q44" s="15"/>
      <c r="U44">
        <f t="shared" si="6"/>
        <v>1</v>
      </c>
      <c r="V44" t="str">
        <f t="shared" si="1"/>
        <v>min</v>
      </c>
      <c r="W44" s="35">
        <f t="shared" si="7"/>
        <v>0</v>
      </c>
      <c r="X44" s="36">
        <f t="shared" si="8"/>
        <v>0</v>
      </c>
      <c r="Y44" s="35">
        <f t="shared" si="9"/>
        <v>0</v>
      </c>
      <c r="Z44" s="36">
        <f t="shared" si="10"/>
        <v>0</v>
      </c>
      <c r="AB44" s="35">
        <f t="shared" si="11"/>
        <v>0</v>
      </c>
      <c r="AC44" s="36">
        <f t="shared" si="12"/>
        <v>0</v>
      </c>
      <c r="AD44" s="35">
        <f t="shared" si="13"/>
        <v>0</v>
      </c>
      <c r="AE44" s="36">
        <f t="shared" si="14"/>
        <v>0</v>
      </c>
      <c r="AG44" s="35">
        <f t="shared" si="15"/>
        <v>0</v>
      </c>
      <c r="AH44" s="36">
        <f t="shared" si="16"/>
        <v>0</v>
      </c>
      <c r="AI44" s="35">
        <f t="shared" si="17"/>
        <v>0</v>
      </c>
      <c r="AJ44" s="36">
        <f t="shared" si="18"/>
        <v>0</v>
      </c>
      <c r="AL44" s="35">
        <f t="shared" si="19"/>
        <v>0</v>
      </c>
      <c r="AM44" s="36">
        <f t="shared" si="20"/>
        <v>0</v>
      </c>
      <c r="AN44" s="35">
        <f t="shared" si="21"/>
        <v>0</v>
      </c>
      <c r="AO44" s="36">
        <f t="shared" si="22"/>
        <v>0</v>
      </c>
    </row>
    <row r="45" spans="2:41" x14ac:dyDescent="0.3">
      <c r="C45" s="1">
        <v>52.31</v>
      </c>
      <c r="D45" s="1"/>
      <c r="E45" s="1">
        <v>0.97931500000000005</v>
      </c>
      <c r="F45" s="15">
        <f t="shared" si="23"/>
        <v>31.578012174999998</v>
      </c>
      <c r="G45" s="1"/>
      <c r="H45" s="1">
        <v>1.0193080000000001</v>
      </c>
      <c r="I45" s="15">
        <f t="shared" si="2"/>
        <v>9581.8009923999998</v>
      </c>
      <c r="J45" s="16">
        <f t="shared" si="3"/>
        <v>0.3757122489660778</v>
      </c>
      <c r="K45" s="15"/>
      <c r="L45" s="14"/>
      <c r="M45" s="15">
        <f t="shared" si="4"/>
        <v>0</v>
      </c>
      <c r="N45" s="1"/>
      <c r="O45" s="8">
        <v>5.98</v>
      </c>
      <c r="P45" s="15">
        <f t="shared" si="5"/>
        <v>535.49</v>
      </c>
      <c r="Q45" s="15"/>
      <c r="U45">
        <f t="shared" si="6"/>
        <v>1</v>
      </c>
      <c r="V45" t="str">
        <f t="shared" si="1"/>
        <v>min</v>
      </c>
      <c r="W45" s="35">
        <f t="shared" si="7"/>
        <v>0</v>
      </c>
      <c r="X45" s="36">
        <f t="shared" si="8"/>
        <v>0</v>
      </c>
      <c r="Y45" s="35">
        <f t="shared" si="9"/>
        <v>0</v>
      </c>
      <c r="Z45" s="36">
        <f t="shared" si="10"/>
        <v>0</v>
      </c>
      <c r="AB45" s="35">
        <f t="shared" si="11"/>
        <v>0</v>
      </c>
      <c r="AC45" s="36">
        <f t="shared" si="12"/>
        <v>0</v>
      </c>
      <c r="AD45" s="35">
        <f t="shared" si="13"/>
        <v>0</v>
      </c>
      <c r="AE45" s="36">
        <f t="shared" si="14"/>
        <v>0</v>
      </c>
      <c r="AG45" s="35">
        <f t="shared" si="15"/>
        <v>0</v>
      </c>
      <c r="AH45" s="36">
        <f t="shared" si="16"/>
        <v>0</v>
      </c>
      <c r="AI45" s="35">
        <f t="shared" si="17"/>
        <v>0</v>
      </c>
      <c r="AJ45" s="36">
        <f t="shared" si="18"/>
        <v>0</v>
      </c>
      <c r="AL45" s="35">
        <f t="shared" si="19"/>
        <v>0</v>
      </c>
      <c r="AM45" s="36">
        <f t="shared" si="20"/>
        <v>0</v>
      </c>
      <c r="AN45" s="35">
        <f t="shared" si="21"/>
        <v>0</v>
      </c>
      <c r="AO45" s="36">
        <f t="shared" si="22"/>
        <v>0</v>
      </c>
    </row>
    <row r="46" spans="2:41" x14ac:dyDescent="0.3">
      <c r="C46" s="1">
        <v>53.55</v>
      </c>
      <c r="D46" s="1"/>
      <c r="E46" s="1">
        <v>0.97860100000000005</v>
      </c>
      <c r="F46" s="15">
        <f t="shared" si="23"/>
        <v>31.554989244999998</v>
      </c>
      <c r="G46" s="1"/>
      <c r="H46" s="1">
        <v>1.019946</v>
      </c>
      <c r="I46" s="15">
        <f t="shared" si="2"/>
        <v>9587.7983838</v>
      </c>
      <c r="J46" s="16">
        <f t="shared" si="3"/>
        <v>0.37547723219573859</v>
      </c>
      <c r="K46" s="15"/>
      <c r="L46" s="14"/>
      <c r="M46" s="15">
        <f t="shared" si="4"/>
        <v>0</v>
      </c>
      <c r="N46" s="1"/>
      <c r="O46" s="8">
        <v>6.18</v>
      </c>
      <c r="P46" s="15">
        <f t="shared" si="5"/>
        <v>535.68999999999994</v>
      </c>
      <c r="Q46" s="15"/>
      <c r="U46">
        <f t="shared" si="6"/>
        <v>1</v>
      </c>
      <c r="V46" t="str">
        <f t="shared" si="1"/>
        <v>min</v>
      </c>
      <c r="W46" s="35">
        <f t="shared" si="7"/>
        <v>0</v>
      </c>
      <c r="X46" s="36">
        <f t="shared" si="8"/>
        <v>0</v>
      </c>
      <c r="Y46" s="35">
        <f>IF($W45=0,0,$F46)</f>
        <v>0</v>
      </c>
      <c r="Z46" s="36">
        <f t="shared" si="10"/>
        <v>0</v>
      </c>
      <c r="AB46" s="35">
        <f t="shared" si="11"/>
        <v>0</v>
      </c>
      <c r="AC46" s="36">
        <f t="shared" si="12"/>
        <v>0</v>
      </c>
      <c r="AD46" s="35">
        <f t="shared" si="13"/>
        <v>0</v>
      </c>
      <c r="AE46" s="36">
        <f t="shared" si="14"/>
        <v>0</v>
      </c>
      <c r="AG46" s="35">
        <f t="shared" si="15"/>
        <v>0</v>
      </c>
      <c r="AH46" s="36">
        <f t="shared" si="16"/>
        <v>0</v>
      </c>
      <c r="AI46" s="35">
        <f t="shared" si="17"/>
        <v>0</v>
      </c>
      <c r="AJ46" s="36">
        <f t="shared" si="18"/>
        <v>0</v>
      </c>
      <c r="AL46" s="35">
        <f t="shared" si="19"/>
        <v>0</v>
      </c>
      <c r="AM46" s="36">
        <f t="shared" si="20"/>
        <v>0</v>
      </c>
      <c r="AN46" s="35">
        <f t="shared" si="21"/>
        <v>0</v>
      </c>
      <c r="AO46" s="36">
        <f t="shared" si="22"/>
        <v>0</v>
      </c>
    </row>
    <row r="47" spans="2:41" x14ac:dyDescent="0.3">
      <c r="C47" s="1">
        <v>54.8</v>
      </c>
      <c r="D47" s="1"/>
      <c r="E47" s="1">
        <v>0.97791899999999998</v>
      </c>
      <c r="F47" s="15">
        <f t="shared" si="23"/>
        <v>31.532998154999998</v>
      </c>
      <c r="G47" s="1"/>
      <c r="H47" s="1">
        <v>1.0205949999999999</v>
      </c>
      <c r="I47" s="15">
        <f t="shared" si="2"/>
        <v>9593.899178499998</v>
      </c>
      <c r="J47" s="16">
        <f t="shared" si="3"/>
        <v>0.37523846488481216</v>
      </c>
      <c r="K47" s="15"/>
      <c r="L47" s="14"/>
      <c r="M47" s="15">
        <f t="shared" si="4"/>
        <v>0</v>
      </c>
      <c r="N47" s="1"/>
      <c r="O47" s="8">
        <v>6.37</v>
      </c>
      <c r="P47" s="15">
        <f t="shared" si="5"/>
        <v>535.88</v>
      </c>
      <c r="Q47" s="15"/>
      <c r="S47" s="15"/>
      <c r="T47" s="15"/>
      <c r="U47">
        <f t="shared" si="6"/>
        <v>1</v>
      </c>
      <c r="V47" s="15" t="str">
        <f t="shared" si="1"/>
        <v>min</v>
      </c>
      <c r="W47" s="35">
        <f t="shared" si="7"/>
        <v>0</v>
      </c>
      <c r="X47" s="36">
        <f t="shared" si="8"/>
        <v>0</v>
      </c>
      <c r="Y47" s="35">
        <f t="shared" si="9"/>
        <v>0</v>
      </c>
      <c r="Z47" s="36">
        <f t="shared" si="10"/>
        <v>0</v>
      </c>
      <c r="AB47" s="35">
        <f t="shared" si="11"/>
        <v>0</v>
      </c>
      <c r="AC47" s="36">
        <f t="shared" si="12"/>
        <v>0</v>
      </c>
      <c r="AD47" s="35">
        <f t="shared" si="13"/>
        <v>0</v>
      </c>
      <c r="AE47" s="36">
        <f t="shared" si="14"/>
        <v>0</v>
      </c>
      <c r="AG47" s="35">
        <f t="shared" si="15"/>
        <v>0</v>
      </c>
      <c r="AH47" s="36">
        <f t="shared" si="16"/>
        <v>0</v>
      </c>
      <c r="AI47" s="35">
        <f t="shared" si="17"/>
        <v>0</v>
      </c>
      <c r="AJ47" s="36">
        <f t="shared" si="18"/>
        <v>0</v>
      </c>
      <c r="AL47" s="35">
        <f t="shared" si="19"/>
        <v>0</v>
      </c>
      <c r="AM47" s="36">
        <f t="shared" si="20"/>
        <v>0</v>
      </c>
      <c r="AN47" s="35">
        <f t="shared" si="21"/>
        <v>0</v>
      </c>
      <c r="AO47" s="36">
        <f t="shared" si="22"/>
        <v>0</v>
      </c>
    </row>
    <row r="48" spans="2:41" x14ac:dyDescent="0.3">
      <c r="B48" s="3"/>
      <c r="C48" s="1">
        <v>56.05</v>
      </c>
      <c r="D48" s="1"/>
      <c r="E48" s="1">
        <v>0.97723700000000002</v>
      </c>
      <c r="F48" s="15">
        <f t="shared" si="23"/>
        <v>31.511007064999998</v>
      </c>
      <c r="G48" s="1"/>
      <c r="H48" s="1">
        <v>1.0212330000000001</v>
      </c>
      <c r="I48" s="15">
        <f t="shared" si="2"/>
        <v>9599.8965699</v>
      </c>
      <c r="J48" s="16">
        <f t="shared" si="3"/>
        <v>0.37500404028181111</v>
      </c>
      <c r="K48" s="15"/>
      <c r="L48" s="14"/>
      <c r="M48" s="15">
        <f t="shared" si="4"/>
        <v>0</v>
      </c>
      <c r="N48" s="1"/>
      <c r="O48" s="8">
        <v>6.56</v>
      </c>
      <c r="P48" s="15">
        <f t="shared" si="5"/>
        <v>536.06999999999994</v>
      </c>
      <c r="Q48" s="15"/>
      <c r="S48" s="15"/>
      <c r="T48" s="15"/>
      <c r="U48">
        <f t="shared" si="6"/>
        <v>1</v>
      </c>
      <c r="V48" s="15" t="str">
        <f t="shared" si="1"/>
        <v>min</v>
      </c>
      <c r="W48" s="35">
        <f t="shared" si="7"/>
        <v>0</v>
      </c>
      <c r="X48" s="36">
        <f t="shared" si="8"/>
        <v>0</v>
      </c>
      <c r="Y48" s="35">
        <f t="shared" si="9"/>
        <v>0</v>
      </c>
      <c r="Z48" s="36">
        <f t="shared" si="10"/>
        <v>0</v>
      </c>
      <c r="AB48" s="35">
        <f t="shared" si="11"/>
        <v>0</v>
      </c>
      <c r="AC48" s="36">
        <f t="shared" si="12"/>
        <v>0</v>
      </c>
      <c r="AD48" s="35">
        <f t="shared" si="13"/>
        <v>0</v>
      </c>
      <c r="AE48" s="36">
        <f t="shared" si="14"/>
        <v>0</v>
      </c>
      <c r="AG48" s="35">
        <f t="shared" si="15"/>
        <v>0</v>
      </c>
      <c r="AH48" s="36">
        <f t="shared" si="16"/>
        <v>0</v>
      </c>
      <c r="AI48" s="35">
        <f t="shared" si="17"/>
        <v>0</v>
      </c>
      <c r="AJ48" s="36">
        <f t="shared" si="18"/>
        <v>0</v>
      </c>
      <c r="AL48" s="35">
        <f t="shared" si="19"/>
        <v>0</v>
      </c>
      <c r="AM48" s="36">
        <f t="shared" si="20"/>
        <v>0</v>
      </c>
      <c r="AN48" s="35">
        <f t="shared" si="21"/>
        <v>0</v>
      </c>
      <c r="AO48" s="36">
        <f t="shared" si="22"/>
        <v>0</v>
      </c>
    </row>
    <row r="49" spans="3:41" x14ac:dyDescent="0.3">
      <c r="C49" s="1">
        <v>57.29</v>
      </c>
      <c r="D49" s="1"/>
      <c r="E49" s="1">
        <v>0.97655499999999995</v>
      </c>
      <c r="F49" s="15">
        <f t="shared" si="23"/>
        <v>31.489015974999997</v>
      </c>
      <c r="G49" s="1"/>
      <c r="H49" s="1">
        <v>1.021882</v>
      </c>
      <c r="I49" s="15">
        <f t="shared" si="2"/>
        <v>9605.997364599998</v>
      </c>
      <c r="J49" s="16">
        <f t="shared" si="3"/>
        <v>0.37476587420965912</v>
      </c>
      <c r="K49" s="15"/>
      <c r="L49" s="14"/>
      <c r="M49" s="15">
        <f t="shared" si="4"/>
        <v>0</v>
      </c>
      <c r="N49" s="1"/>
      <c r="O49" s="8">
        <v>6.75</v>
      </c>
      <c r="P49" s="15">
        <f t="shared" si="5"/>
        <v>536.26</v>
      </c>
      <c r="Q49" s="15"/>
      <c r="U49">
        <f t="shared" si="6"/>
        <v>1</v>
      </c>
      <c r="V49" t="str">
        <f t="shared" si="1"/>
        <v>min</v>
      </c>
      <c r="W49" s="35">
        <f t="shared" si="7"/>
        <v>0</v>
      </c>
      <c r="X49" s="36">
        <f t="shared" si="8"/>
        <v>0</v>
      </c>
      <c r="Y49" s="35">
        <f t="shared" si="9"/>
        <v>0</v>
      </c>
      <c r="Z49" s="36">
        <f t="shared" si="10"/>
        <v>0</v>
      </c>
      <c r="AB49" s="35">
        <f t="shared" si="11"/>
        <v>0</v>
      </c>
      <c r="AC49" s="36">
        <f t="shared" si="12"/>
        <v>0</v>
      </c>
      <c r="AD49" s="35">
        <f t="shared" si="13"/>
        <v>0</v>
      </c>
      <c r="AE49" s="36">
        <f t="shared" si="14"/>
        <v>0</v>
      </c>
      <c r="AG49" s="35">
        <f t="shared" si="15"/>
        <v>0</v>
      </c>
      <c r="AH49" s="36">
        <f t="shared" si="16"/>
        <v>0</v>
      </c>
      <c r="AI49" s="35">
        <f t="shared" si="17"/>
        <v>0</v>
      </c>
      <c r="AJ49" s="36">
        <f t="shared" si="18"/>
        <v>0</v>
      </c>
      <c r="AL49" s="35">
        <f t="shared" si="19"/>
        <v>0</v>
      </c>
      <c r="AM49" s="36">
        <f t="shared" si="20"/>
        <v>0</v>
      </c>
      <c r="AN49" s="35">
        <f t="shared" si="21"/>
        <v>0</v>
      </c>
      <c r="AO49" s="36">
        <f t="shared" si="22"/>
        <v>0</v>
      </c>
    </row>
    <row r="50" spans="3:41" x14ac:dyDescent="0.3">
      <c r="C50" s="1">
        <v>58.54</v>
      </c>
      <c r="D50" s="1"/>
      <c r="E50" s="1">
        <v>0.97587199999999996</v>
      </c>
      <c r="F50" s="15">
        <f t="shared" si="23"/>
        <v>31.466992639999997</v>
      </c>
      <c r="G50" s="1"/>
      <c r="H50" s="1">
        <v>1.022521</v>
      </c>
      <c r="I50" s="15">
        <f t="shared" si="2"/>
        <v>9612.0041562999995</v>
      </c>
      <c r="J50" s="16">
        <f t="shared" si="3"/>
        <v>0.37453167325572267</v>
      </c>
      <c r="K50" s="15"/>
      <c r="L50" s="14"/>
      <c r="M50" s="15">
        <f t="shared" si="4"/>
        <v>0</v>
      </c>
      <c r="N50" s="1"/>
      <c r="O50" s="8">
        <v>6.94</v>
      </c>
      <c r="P50" s="15">
        <f t="shared" si="5"/>
        <v>536.45000000000005</v>
      </c>
      <c r="Q50" s="15"/>
      <c r="U50">
        <f t="shared" si="6"/>
        <v>1</v>
      </c>
      <c r="V50" t="str">
        <f>IF(U51=1, "min",0)</f>
        <v>min</v>
      </c>
      <c r="W50" s="35">
        <f t="shared" si="7"/>
        <v>0</v>
      </c>
      <c r="X50" s="36">
        <f t="shared" si="8"/>
        <v>0</v>
      </c>
      <c r="Y50" s="35">
        <f t="shared" si="9"/>
        <v>0</v>
      </c>
      <c r="Z50" s="36">
        <f t="shared" si="10"/>
        <v>0</v>
      </c>
      <c r="AB50" s="35">
        <f t="shared" si="11"/>
        <v>0</v>
      </c>
      <c r="AC50" s="36">
        <f t="shared" si="12"/>
        <v>0</v>
      </c>
      <c r="AD50" s="35">
        <f t="shared" si="13"/>
        <v>0</v>
      </c>
      <c r="AE50" s="36">
        <f t="shared" si="14"/>
        <v>0</v>
      </c>
      <c r="AG50" s="35">
        <f t="shared" si="15"/>
        <v>0</v>
      </c>
      <c r="AH50" s="36">
        <f t="shared" si="16"/>
        <v>0</v>
      </c>
      <c r="AI50" s="35">
        <f t="shared" si="17"/>
        <v>0</v>
      </c>
      <c r="AJ50" s="36">
        <f t="shared" si="18"/>
        <v>0</v>
      </c>
      <c r="AL50" s="35">
        <f t="shared" si="19"/>
        <v>0</v>
      </c>
      <c r="AM50" s="36">
        <f t="shared" si="20"/>
        <v>0</v>
      </c>
      <c r="AN50" s="35">
        <f t="shared" si="21"/>
        <v>0</v>
      </c>
      <c r="AO50" s="36">
        <f t="shared" si="22"/>
        <v>0</v>
      </c>
    </row>
    <row r="51" spans="3:41" x14ac:dyDescent="0.3">
      <c r="C51" s="1">
        <v>59.78</v>
      </c>
      <c r="D51" s="1"/>
      <c r="E51" s="1">
        <v>0.97519</v>
      </c>
      <c r="F51" s="15">
        <f t="shared" si="23"/>
        <v>31.445001549999997</v>
      </c>
      <c r="G51" s="1"/>
      <c r="H51" s="1">
        <v>1.023169</v>
      </c>
      <c r="I51" s="15">
        <f t="shared" si="2"/>
        <v>9618.0955506999999</v>
      </c>
      <c r="J51" s="16">
        <f t="shared" si="3"/>
        <v>0.37429447243721697</v>
      </c>
      <c r="K51" s="15"/>
      <c r="L51" s="14"/>
      <c r="M51" s="15">
        <f t="shared" si="4"/>
        <v>0</v>
      </c>
      <c r="N51" s="1"/>
      <c r="O51" s="8">
        <v>7.14</v>
      </c>
      <c r="P51" s="15">
        <f t="shared" si="5"/>
        <v>536.65</v>
      </c>
      <c r="Q51" s="15"/>
      <c r="U51">
        <f t="shared" si="6"/>
        <v>1</v>
      </c>
      <c r="V51" t="str">
        <f t="shared" ref="V51:V63" si="24">IF(U52=1, "min",0)</f>
        <v>min</v>
      </c>
      <c r="W51" s="35">
        <f t="shared" si="7"/>
        <v>0</v>
      </c>
      <c r="X51" s="36">
        <f t="shared" si="8"/>
        <v>0</v>
      </c>
      <c r="Y51" s="35">
        <f t="shared" si="9"/>
        <v>0</v>
      </c>
      <c r="Z51" s="36">
        <f t="shared" si="10"/>
        <v>0</v>
      </c>
      <c r="AB51" s="35">
        <f t="shared" si="11"/>
        <v>0</v>
      </c>
      <c r="AC51" s="36">
        <f t="shared" si="12"/>
        <v>0</v>
      </c>
      <c r="AD51" s="35">
        <f t="shared" si="13"/>
        <v>0</v>
      </c>
      <c r="AE51" s="36">
        <f t="shared" si="14"/>
        <v>0</v>
      </c>
      <c r="AG51" s="35">
        <f t="shared" si="15"/>
        <v>0</v>
      </c>
      <c r="AH51" s="36">
        <f t="shared" si="16"/>
        <v>0</v>
      </c>
      <c r="AI51" s="35">
        <f t="shared" si="17"/>
        <v>0</v>
      </c>
      <c r="AJ51" s="36">
        <f t="shared" si="18"/>
        <v>0</v>
      </c>
      <c r="AL51" s="35">
        <f t="shared" si="19"/>
        <v>0</v>
      </c>
      <c r="AM51" s="36">
        <f t="shared" si="20"/>
        <v>0</v>
      </c>
      <c r="AN51" s="35">
        <f t="shared" si="21"/>
        <v>0</v>
      </c>
      <c r="AO51" s="36">
        <f t="shared" si="22"/>
        <v>0</v>
      </c>
    </row>
    <row r="52" spans="3:41" x14ac:dyDescent="0.3">
      <c r="C52" s="1">
        <v>61.03</v>
      </c>
      <c r="D52" s="1"/>
      <c r="E52" s="1">
        <v>0.97450800000000004</v>
      </c>
      <c r="F52" s="15">
        <f t="shared" si="23"/>
        <v>31.42301046</v>
      </c>
      <c r="G52" s="1"/>
      <c r="H52" s="1">
        <v>1.0238080000000001</v>
      </c>
      <c r="I52" s="15">
        <f t="shared" si="2"/>
        <v>9624.1023423999995</v>
      </c>
      <c r="J52" s="16">
        <f t="shared" si="3"/>
        <v>0.37406086011157835</v>
      </c>
      <c r="K52" s="15"/>
      <c r="L52" s="14"/>
      <c r="M52" s="15">
        <f t="shared" si="4"/>
        <v>0</v>
      </c>
      <c r="N52" s="1"/>
      <c r="O52" s="8">
        <v>7.32</v>
      </c>
      <c r="P52" s="15">
        <f t="shared" si="5"/>
        <v>536.83000000000004</v>
      </c>
      <c r="Q52" s="15"/>
      <c r="U52">
        <f>IF($T$3&gt;C52,0,1)</f>
        <v>1</v>
      </c>
      <c r="V52" t="str">
        <f t="shared" si="24"/>
        <v>min</v>
      </c>
      <c r="W52" s="35">
        <f t="shared" si="7"/>
        <v>0</v>
      </c>
      <c r="X52" s="36">
        <f t="shared" si="8"/>
        <v>0</v>
      </c>
      <c r="Y52" s="35">
        <f t="shared" si="9"/>
        <v>0</v>
      </c>
      <c r="Z52" s="36">
        <f t="shared" si="10"/>
        <v>0</v>
      </c>
      <c r="AB52" s="35">
        <f t="shared" si="11"/>
        <v>0</v>
      </c>
      <c r="AC52" s="36">
        <f t="shared" si="12"/>
        <v>0</v>
      </c>
      <c r="AD52" s="35">
        <f t="shared" si="13"/>
        <v>0</v>
      </c>
      <c r="AE52" s="36">
        <f t="shared" si="14"/>
        <v>0</v>
      </c>
      <c r="AG52" s="35">
        <f t="shared" si="15"/>
        <v>0</v>
      </c>
      <c r="AH52" s="36">
        <f t="shared" si="16"/>
        <v>0</v>
      </c>
      <c r="AI52" s="35">
        <f t="shared" si="17"/>
        <v>0</v>
      </c>
      <c r="AJ52" s="36">
        <f t="shared" si="18"/>
        <v>0</v>
      </c>
      <c r="AL52" s="35">
        <f t="shared" si="19"/>
        <v>0</v>
      </c>
      <c r="AM52" s="36">
        <f t="shared" si="20"/>
        <v>0</v>
      </c>
      <c r="AN52" s="35">
        <f t="shared" si="21"/>
        <v>0</v>
      </c>
      <c r="AO52" s="36">
        <f t="shared" si="22"/>
        <v>0</v>
      </c>
    </row>
    <row r="53" spans="3:41" x14ac:dyDescent="0.3">
      <c r="C53" s="1">
        <v>62.27</v>
      </c>
      <c r="D53" s="1"/>
      <c r="E53" s="1">
        <v>0.97382500000000005</v>
      </c>
      <c r="F53" s="15">
        <f t="shared" si="23"/>
        <v>31.400987125</v>
      </c>
      <c r="G53" s="1"/>
      <c r="H53" s="1">
        <v>1.024457</v>
      </c>
      <c r="I53" s="15">
        <f t="shared" si="2"/>
        <v>9630.2031370999994</v>
      </c>
      <c r="J53" s="16">
        <f t="shared" si="3"/>
        <v>0.37382389018681589</v>
      </c>
      <c r="K53" s="15"/>
      <c r="L53" s="14"/>
      <c r="M53" s="15">
        <f t="shared" si="4"/>
        <v>0</v>
      </c>
      <c r="N53" s="1"/>
      <c r="O53" s="8">
        <v>7.52</v>
      </c>
      <c r="P53" s="15">
        <f t="shared" si="5"/>
        <v>537.03</v>
      </c>
      <c r="Q53" s="15"/>
      <c r="U53">
        <f t="shared" si="6"/>
        <v>1</v>
      </c>
      <c r="V53" t="str">
        <f t="shared" si="24"/>
        <v>min</v>
      </c>
      <c r="W53" s="35">
        <f t="shared" si="7"/>
        <v>0</v>
      </c>
      <c r="X53" s="36">
        <f t="shared" si="8"/>
        <v>0</v>
      </c>
      <c r="Y53" s="35">
        <f t="shared" si="9"/>
        <v>0</v>
      </c>
      <c r="Z53" s="36">
        <f t="shared" si="10"/>
        <v>0</v>
      </c>
      <c r="AB53" s="35">
        <f t="shared" si="11"/>
        <v>0</v>
      </c>
      <c r="AC53" s="36">
        <f t="shared" si="12"/>
        <v>0</v>
      </c>
      <c r="AD53" s="35">
        <f t="shared" si="13"/>
        <v>0</v>
      </c>
      <c r="AE53" s="36">
        <f t="shared" si="14"/>
        <v>0</v>
      </c>
      <c r="AG53" s="35">
        <f t="shared" si="15"/>
        <v>0</v>
      </c>
      <c r="AH53" s="36">
        <f t="shared" si="16"/>
        <v>0</v>
      </c>
      <c r="AI53" s="35">
        <f t="shared" si="17"/>
        <v>0</v>
      </c>
      <c r="AJ53" s="36">
        <f t="shared" si="18"/>
        <v>0</v>
      </c>
      <c r="AL53" s="35">
        <f t="shared" si="19"/>
        <v>0</v>
      </c>
      <c r="AM53" s="36">
        <f t="shared" si="20"/>
        <v>0</v>
      </c>
      <c r="AN53" s="35">
        <f t="shared" si="21"/>
        <v>0</v>
      </c>
      <c r="AO53" s="36">
        <f t="shared" si="22"/>
        <v>0</v>
      </c>
    </row>
    <row r="54" spans="3:41" x14ac:dyDescent="0.3">
      <c r="C54" s="1">
        <v>63.52</v>
      </c>
      <c r="D54" s="1"/>
      <c r="E54" s="1">
        <v>0.97314299999999998</v>
      </c>
      <c r="F54" s="15">
        <f t="shared" si="23"/>
        <v>31.378996034999997</v>
      </c>
      <c r="G54" s="1"/>
      <c r="H54" s="1">
        <v>1.0251060000000001</v>
      </c>
      <c r="I54" s="15">
        <f t="shared" si="2"/>
        <v>9636.3039317999992</v>
      </c>
      <c r="J54" s="16">
        <f t="shared" si="3"/>
        <v>0.37358722031586472</v>
      </c>
      <c r="K54" s="15"/>
      <c r="L54" s="14"/>
      <c r="M54" s="15">
        <f t="shared" si="4"/>
        <v>0</v>
      </c>
      <c r="N54" s="1"/>
      <c r="O54" s="8">
        <v>7.71</v>
      </c>
      <c r="P54" s="15">
        <f t="shared" si="5"/>
        <v>537.22</v>
      </c>
      <c r="Q54" s="15"/>
      <c r="U54">
        <f t="shared" si="6"/>
        <v>1</v>
      </c>
      <c r="V54" t="str">
        <f t="shared" si="24"/>
        <v>min</v>
      </c>
      <c r="W54" s="35">
        <f t="shared" si="7"/>
        <v>0</v>
      </c>
      <c r="X54" s="36">
        <f t="shared" si="8"/>
        <v>0</v>
      </c>
      <c r="Y54" s="35">
        <f t="shared" si="9"/>
        <v>0</v>
      </c>
      <c r="Z54" s="36">
        <f t="shared" si="10"/>
        <v>0</v>
      </c>
      <c r="AB54" s="35">
        <f t="shared" si="11"/>
        <v>0</v>
      </c>
      <c r="AC54" s="36">
        <f t="shared" si="12"/>
        <v>0</v>
      </c>
      <c r="AD54" s="35">
        <f t="shared" si="13"/>
        <v>0</v>
      </c>
      <c r="AE54" s="36">
        <f t="shared" si="14"/>
        <v>0</v>
      </c>
      <c r="AG54" s="35">
        <f t="shared" si="15"/>
        <v>0</v>
      </c>
      <c r="AH54" s="36">
        <f t="shared" si="16"/>
        <v>0</v>
      </c>
      <c r="AI54" s="35">
        <f t="shared" si="17"/>
        <v>0</v>
      </c>
      <c r="AJ54" s="36">
        <f t="shared" si="18"/>
        <v>0</v>
      </c>
      <c r="AL54" s="35">
        <f t="shared" si="19"/>
        <v>0</v>
      </c>
      <c r="AM54" s="36">
        <f t="shared" si="20"/>
        <v>0</v>
      </c>
      <c r="AN54" s="35">
        <f t="shared" si="21"/>
        <v>0</v>
      </c>
      <c r="AO54" s="36">
        <f t="shared" si="22"/>
        <v>0</v>
      </c>
    </row>
    <row r="55" spans="3:41" x14ac:dyDescent="0.3">
      <c r="C55" s="1">
        <v>64.760000000000005</v>
      </c>
      <c r="D55" s="1"/>
      <c r="E55" s="1">
        <v>0.97246100000000002</v>
      </c>
      <c r="F55" s="15">
        <f t="shared" si="23"/>
        <v>31.357004945</v>
      </c>
      <c r="G55" s="1"/>
      <c r="H55" s="1">
        <v>1.0257540000000001</v>
      </c>
      <c r="I55" s="15">
        <f t="shared" si="2"/>
        <v>9642.3953261999995</v>
      </c>
      <c r="J55" s="16">
        <f t="shared" si="3"/>
        <v>0.37335121390617521</v>
      </c>
      <c r="K55" s="15"/>
      <c r="L55" s="14"/>
      <c r="M55" s="15">
        <f t="shared" si="4"/>
        <v>0</v>
      </c>
      <c r="N55" s="1"/>
      <c r="O55" s="8">
        <v>7.9</v>
      </c>
      <c r="P55" s="15">
        <f t="shared" si="5"/>
        <v>537.41</v>
      </c>
      <c r="Q55" s="15"/>
      <c r="U55">
        <f t="shared" si="6"/>
        <v>1</v>
      </c>
      <c r="V55" t="str">
        <f t="shared" si="24"/>
        <v>min</v>
      </c>
      <c r="W55" s="35">
        <f t="shared" si="7"/>
        <v>0</v>
      </c>
      <c r="X55" s="36">
        <f t="shared" si="8"/>
        <v>0</v>
      </c>
      <c r="Y55" s="35">
        <f t="shared" si="9"/>
        <v>0</v>
      </c>
      <c r="Z55" s="36">
        <f t="shared" si="10"/>
        <v>0</v>
      </c>
      <c r="AB55" s="35">
        <f t="shared" si="11"/>
        <v>0</v>
      </c>
      <c r="AC55" s="36">
        <f t="shared" si="12"/>
        <v>0</v>
      </c>
      <c r="AD55" s="35">
        <f t="shared" si="13"/>
        <v>0</v>
      </c>
      <c r="AE55" s="36">
        <f t="shared" si="14"/>
        <v>0</v>
      </c>
      <c r="AG55" s="35">
        <f t="shared" si="15"/>
        <v>0</v>
      </c>
      <c r="AH55" s="36">
        <f t="shared" si="16"/>
        <v>0</v>
      </c>
      <c r="AI55" s="35">
        <f t="shared" si="17"/>
        <v>0</v>
      </c>
      <c r="AJ55" s="36">
        <f t="shared" si="18"/>
        <v>0</v>
      </c>
      <c r="AL55" s="35">
        <f t="shared" si="19"/>
        <v>0</v>
      </c>
      <c r="AM55" s="36">
        <f t="shared" si="20"/>
        <v>0</v>
      </c>
      <c r="AN55" s="35">
        <f t="shared" si="21"/>
        <v>0</v>
      </c>
      <c r="AO55" s="36">
        <f t="shared" si="22"/>
        <v>0</v>
      </c>
    </row>
    <row r="56" spans="3:41" x14ac:dyDescent="0.3">
      <c r="C56" s="1">
        <v>66.010000000000005</v>
      </c>
      <c r="D56" s="1"/>
      <c r="E56" s="1">
        <v>0.97177899999999995</v>
      </c>
      <c r="F56" s="15">
        <f t="shared" si="23"/>
        <v>31.335013854999996</v>
      </c>
      <c r="G56" s="1"/>
      <c r="H56" s="1">
        <v>1.026403</v>
      </c>
      <c r="I56" s="15">
        <f t="shared" si="2"/>
        <v>9648.4961208999994</v>
      </c>
      <c r="J56" s="16">
        <f t="shared" si="3"/>
        <v>0.3731151419755348</v>
      </c>
      <c r="K56" s="15"/>
      <c r="L56" s="14"/>
      <c r="M56" s="15">
        <f t="shared" si="4"/>
        <v>0</v>
      </c>
      <c r="N56" s="1"/>
      <c r="O56" s="8">
        <v>8.09</v>
      </c>
      <c r="P56" s="15">
        <f t="shared" si="5"/>
        <v>537.6</v>
      </c>
      <c r="Q56" s="15"/>
      <c r="U56">
        <f t="shared" si="6"/>
        <v>1</v>
      </c>
      <c r="V56" t="str">
        <f t="shared" si="24"/>
        <v>min</v>
      </c>
      <c r="W56" s="35">
        <f t="shared" si="7"/>
        <v>0</v>
      </c>
      <c r="X56" s="36">
        <f t="shared" si="8"/>
        <v>0</v>
      </c>
      <c r="Y56" s="35">
        <f t="shared" si="9"/>
        <v>0</v>
      </c>
      <c r="Z56" s="36">
        <f t="shared" si="10"/>
        <v>0</v>
      </c>
      <c r="AB56" s="35">
        <f t="shared" si="11"/>
        <v>0</v>
      </c>
      <c r="AC56" s="36">
        <f t="shared" si="12"/>
        <v>0</v>
      </c>
      <c r="AD56" s="35">
        <f t="shared" si="13"/>
        <v>0</v>
      </c>
      <c r="AE56" s="36">
        <f t="shared" si="14"/>
        <v>0</v>
      </c>
      <c r="AG56" s="35">
        <f t="shared" si="15"/>
        <v>0</v>
      </c>
      <c r="AH56" s="36">
        <f t="shared" si="16"/>
        <v>0</v>
      </c>
      <c r="AI56" s="35">
        <f t="shared" si="17"/>
        <v>0</v>
      </c>
      <c r="AJ56" s="36">
        <f t="shared" si="18"/>
        <v>0</v>
      </c>
      <c r="AL56" s="35">
        <f t="shared" si="19"/>
        <v>0</v>
      </c>
      <c r="AM56" s="36">
        <f t="shared" si="20"/>
        <v>0</v>
      </c>
      <c r="AN56" s="35">
        <f t="shared" si="21"/>
        <v>0</v>
      </c>
      <c r="AO56" s="36">
        <f t="shared" si="22"/>
        <v>0</v>
      </c>
    </row>
    <row r="57" spans="3:41" x14ac:dyDescent="0.3">
      <c r="C57" s="1">
        <v>67.25</v>
      </c>
      <c r="D57" s="1"/>
      <c r="E57" s="1">
        <v>0.97109599999999996</v>
      </c>
      <c r="F57" s="15">
        <f t="shared" si="23"/>
        <v>31.312990519999996</v>
      </c>
      <c r="G57" s="1"/>
      <c r="H57" s="1">
        <v>1.027031</v>
      </c>
      <c r="I57" s="15">
        <f t="shared" si="2"/>
        <v>9654.3995092999994</v>
      </c>
      <c r="J57" s="16">
        <f t="shared" si="3"/>
        <v>0.3728869927676135</v>
      </c>
      <c r="K57" s="15"/>
      <c r="L57" s="14"/>
      <c r="M57" s="15">
        <f t="shared" si="4"/>
        <v>0</v>
      </c>
      <c r="N57" s="1"/>
      <c r="O57" s="8">
        <v>8.2799999999999994</v>
      </c>
      <c r="P57" s="15">
        <f t="shared" si="5"/>
        <v>537.79</v>
      </c>
      <c r="Q57" s="15"/>
      <c r="U57">
        <f t="shared" si="6"/>
        <v>1</v>
      </c>
      <c r="V57" t="str">
        <f t="shared" si="24"/>
        <v>min</v>
      </c>
      <c r="W57" s="35">
        <f t="shared" si="7"/>
        <v>0</v>
      </c>
      <c r="X57" s="36">
        <f t="shared" si="8"/>
        <v>0</v>
      </c>
      <c r="Y57" s="35">
        <f t="shared" si="9"/>
        <v>0</v>
      </c>
      <c r="Z57" s="36">
        <f t="shared" si="10"/>
        <v>0</v>
      </c>
      <c r="AB57" s="35">
        <f t="shared" si="11"/>
        <v>0</v>
      </c>
      <c r="AC57" s="36">
        <f t="shared" si="12"/>
        <v>0</v>
      </c>
      <c r="AD57" s="35">
        <f t="shared" si="13"/>
        <v>0</v>
      </c>
      <c r="AE57" s="36">
        <f t="shared" si="14"/>
        <v>0</v>
      </c>
      <c r="AG57" s="35">
        <f t="shared" si="15"/>
        <v>0</v>
      </c>
      <c r="AH57" s="36">
        <f t="shared" si="16"/>
        <v>0</v>
      </c>
      <c r="AI57" s="35">
        <f t="shared" si="17"/>
        <v>0</v>
      </c>
      <c r="AJ57" s="36">
        <f t="shared" si="18"/>
        <v>0</v>
      </c>
      <c r="AL57" s="35">
        <f t="shared" si="19"/>
        <v>0</v>
      </c>
      <c r="AM57" s="36">
        <f t="shared" si="20"/>
        <v>0</v>
      </c>
      <c r="AN57" s="35">
        <f t="shared" si="21"/>
        <v>0</v>
      </c>
      <c r="AO57" s="36">
        <f t="shared" si="22"/>
        <v>0</v>
      </c>
    </row>
    <row r="58" spans="3:41" x14ac:dyDescent="0.3">
      <c r="C58" s="1">
        <v>68.5</v>
      </c>
      <c r="D58" s="1"/>
      <c r="E58" s="1">
        <v>0.970414</v>
      </c>
      <c r="F58" s="15">
        <f t="shared" si="23"/>
        <v>31.290999429999996</v>
      </c>
      <c r="G58" s="1"/>
      <c r="H58" s="1">
        <v>1.0276909999999999</v>
      </c>
      <c r="I58" s="15">
        <f t="shared" si="2"/>
        <v>9660.6037072999989</v>
      </c>
      <c r="J58" s="16">
        <f t="shared" si="3"/>
        <v>0.37264751863071183</v>
      </c>
      <c r="K58" s="15"/>
      <c r="L58" s="14"/>
      <c r="M58" s="15">
        <f t="shared" si="4"/>
        <v>0</v>
      </c>
      <c r="N58" s="1"/>
      <c r="O58" s="8">
        <v>8.4600000000000009</v>
      </c>
      <c r="P58" s="15">
        <f t="shared" si="5"/>
        <v>537.97</v>
      </c>
      <c r="Q58" s="15"/>
      <c r="U58">
        <f t="shared" si="6"/>
        <v>1</v>
      </c>
      <c r="V58" t="str">
        <f t="shared" si="24"/>
        <v>min</v>
      </c>
      <c r="W58" s="35">
        <f t="shared" si="7"/>
        <v>0</v>
      </c>
      <c r="X58" s="36">
        <f t="shared" si="8"/>
        <v>0</v>
      </c>
      <c r="Y58" s="35">
        <f t="shared" si="9"/>
        <v>0</v>
      </c>
      <c r="Z58" s="36">
        <f t="shared" si="10"/>
        <v>0</v>
      </c>
      <c r="AB58" s="35">
        <f t="shared" si="11"/>
        <v>0</v>
      </c>
      <c r="AC58" s="36">
        <f t="shared" si="12"/>
        <v>0</v>
      </c>
      <c r="AD58" s="35">
        <f t="shared" si="13"/>
        <v>0</v>
      </c>
      <c r="AE58" s="36">
        <f t="shared" si="14"/>
        <v>0</v>
      </c>
      <c r="AG58" s="35">
        <f t="shared" si="15"/>
        <v>0</v>
      </c>
      <c r="AH58" s="36">
        <f t="shared" si="16"/>
        <v>0</v>
      </c>
      <c r="AI58" s="35">
        <f t="shared" si="17"/>
        <v>0</v>
      </c>
      <c r="AJ58" s="36">
        <f t="shared" si="18"/>
        <v>0</v>
      </c>
      <c r="AL58" s="35">
        <f t="shared" si="19"/>
        <v>0</v>
      </c>
      <c r="AM58" s="36">
        <f t="shared" si="20"/>
        <v>0</v>
      </c>
      <c r="AN58" s="35">
        <f t="shared" si="21"/>
        <v>0</v>
      </c>
      <c r="AO58" s="36">
        <f t="shared" si="22"/>
        <v>0</v>
      </c>
    </row>
    <row r="59" spans="3:41" x14ac:dyDescent="0.3">
      <c r="C59" s="1">
        <v>69.739999999999995</v>
      </c>
      <c r="D59" s="1"/>
      <c r="E59" s="1">
        <v>0.96970100000000004</v>
      </c>
      <c r="F59" s="15">
        <f t="shared" si="23"/>
        <v>31.268008744999999</v>
      </c>
      <c r="G59" s="1"/>
      <c r="H59" s="1">
        <v>1.0283500000000001</v>
      </c>
      <c r="I59" s="15">
        <f t="shared" si="2"/>
        <v>9666.7985050000007</v>
      </c>
      <c r="J59" s="16">
        <f t="shared" si="3"/>
        <v>0.37240871402646453</v>
      </c>
      <c r="K59" s="15"/>
      <c r="L59" s="14"/>
      <c r="M59" s="15">
        <f t="shared" si="4"/>
        <v>0</v>
      </c>
      <c r="N59" s="1"/>
      <c r="O59" s="8">
        <v>8.66</v>
      </c>
      <c r="P59" s="15">
        <f t="shared" si="5"/>
        <v>538.16999999999996</v>
      </c>
      <c r="Q59" s="15"/>
      <c r="U59">
        <f t="shared" si="6"/>
        <v>1</v>
      </c>
      <c r="V59" t="str">
        <f t="shared" si="24"/>
        <v>min</v>
      </c>
      <c r="W59" s="35">
        <f t="shared" si="7"/>
        <v>0</v>
      </c>
      <c r="X59" s="36">
        <f t="shared" si="8"/>
        <v>0</v>
      </c>
      <c r="Y59" s="35">
        <f t="shared" si="9"/>
        <v>0</v>
      </c>
      <c r="Z59" s="36">
        <f t="shared" si="10"/>
        <v>0</v>
      </c>
      <c r="AB59" s="35">
        <f t="shared" si="11"/>
        <v>0</v>
      </c>
      <c r="AC59" s="36">
        <f t="shared" si="12"/>
        <v>0</v>
      </c>
      <c r="AD59" s="35">
        <f t="shared" si="13"/>
        <v>0</v>
      </c>
      <c r="AE59" s="36">
        <f t="shared" si="14"/>
        <v>0</v>
      </c>
      <c r="AG59" s="35">
        <f t="shared" si="15"/>
        <v>0</v>
      </c>
      <c r="AH59" s="36">
        <f t="shared" si="16"/>
        <v>0</v>
      </c>
      <c r="AI59" s="35">
        <f t="shared" si="17"/>
        <v>0</v>
      </c>
      <c r="AJ59" s="36">
        <f t="shared" si="18"/>
        <v>0</v>
      </c>
      <c r="AL59" s="35">
        <f t="shared" si="19"/>
        <v>0</v>
      </c>
      <c r="AM59" s="36">
        <f t="shared" si="20"/>
        <v>0</v>
      </c>
      <c r="AN59" s="35">
        <f t="shared" si="21"/>
        <v>0</v>
      </c>
      <c r="AO59" s="36">
        <f t="shared" si="22"/>
        <v>0</v>
      </c>
    </row>
    <row r="60" spans="3:41" x14ac:dyDescent="0.3">
      <c r="C60" s="1">
        <v>70.989999999999995</v>
      </c>
      <c r="D60" s="1"/>
      <c r="E60" s="1">
        <v>0.96901800000000005</v>
      </c>
      <c r="F60" s="15">
        <f t="shared" si="23"/>
        <v>31.245985409999999</v>
      </c>
      <c r="G60" s="1"/>
      <c r="H60" s="1">
        <v>1.02901</v>
      </c>
      <c r="I60" s="15">
        <f t="shared" si="2"/>
        <v>9673.0027029999983</v>
      </c>
      <c r="J60" s="16">
        <f t="shared" si="3"/>
        <v>0.3721698536157228</v>
      </c>
      <c r="K60" s="15"/>
      <c r="L60" s="14"/>
      <c r="M60" s="15">
        <f t="shared" si="4"/>
        <v>0</v>
      </c>
      <c r="N60" s="1"/>
      <c r="O60" s="8">
        <v>8.86</v>
      </c>
      <c r="P60" s="15">
        <f t="shared" si="5"/>
        <v>538.37</v>
      </c>
      <c r="Q60" s="15"/>
      <c r="U60">
        <f t="shared" si="6"/>
        <v>1</v>
      </c>
      <c r="V60" t="str">
        <f t="shared" si="24"/>
        <v>min</v>
      </c>
      <c r="W60" s="35">
        <f t="shared" si="7"/>
        <v>0</v>
      </c>
      <c r="X60" s="36">
        <f t="shared" si="8"/>
        <v>0</v>
      </c>
      <c r="Y60" s="35">
        <f t="shared" si="9"/>
        <v>0</v>
      </c>
      <c r="Z60" s="36">
        <f t="shared" si="10"/>
        <v>0</v>
      </c>
      <c r="AB60" s="35">
        <f t="shared" si="11"/>
        <v>0</v>
      </c>
      <c r="AC60" s="36">
        <f t="shared" si="12"/>
        <v>0</v>
      </c>
      <c r="AD60" s="35">
        <f t="shared" si="13"/>
        <v>0</v>
      </c>
      <c r="AE60" s="36">
        <f t="shared" si="14"/>
        <v>0</v>
      </c>
      <c r="AG60" s="35">
        <f t="shared" si="15"/>
        <v>0</v>
      </c>
      <c r="AH60" s="36">
        <f t="shared" si="16"/>
        <v>0</v>
      </c>
      <c r="AI60" s="35">
        <f t="shared" si="17"/>
        <v>0</v>
      </c>
      <c r="AJ60" s="36">
        <f t="shared" si="18"/>
        <v>0</v>
      </c>
      <c r="AL60" s="35">
        <f t="shared" si="19"/>
        <v>0</v>
      </c>
      <c r="AM60" s="36">
        <f t="shared" si="20"/>
        <v>0</v>
      </c>
      <c r="AN60" s="35">
        <f t="shared" si="21"/>
        <v>0</v>
      </c>
      <c r="AO60" s="36">
        <f t="shared" si="22"/>
        <v>0</v>
      </c>
    </row>
    <row r="61" spans="3:41" x14ac:dyDescent="0.3">
      <c r="C61" s="1">
        <v>72.239999999999995</v>
      </c>
      <c r="D61" s="1"/>
      <c r="E61" s="1">
        <v>0.96833599999999997</v>
      </c>
      <c r="F61" s="15">
        <f t="shared" si="23"/>
        <v>31.223994319999996</v>
      </c>
      <c r="G61" s="1"/>
      <c r="H61" s="1">
        <v>1.0296689999999999</v>
      </c>
      <c r="I61" s="15">
        <f t="shared" si="2"/>
        <v>9679.1975006999983</v>
      </c>
      <c r="J61" s="16">
        <f t="shared" si="3"/>
        <v>0.37193166062988675</v>
      </c>
      <c r="L61" s="1"/>
      <c r="M61" s="15">
        <f t="shared" si="4"/>
        <v>0</v>
      </c>
      <c r="N61" s="1"/>
      <c r="O61" s="8">
        <v>9.06</v>
      </c>
      <c r="P61" s="15">
        <f t="shared" si="5"/>
        <v>538.56999999999994</v>
      </c>
      <c r="U61">
        <f t="shared" si="6"/>
        <v>1</v>
      </c>
      <c r="V61" t="str">
        <f t="shared" si="24"/>
        <v>min</v>
      </c>
      <c r="W61" s="35">
        <f t="shared" si="7"/>
        <v>0</v>
      </c>
      <c r="X61" s="36">
        <f t="shared" si="8"/>
        <v>0</v>
      </c>
      <c r="Y61" s="35">
        <f t="shared" si="9"/>
        <v>0</v>
      </c>
      <c r="Z61" s="36">
        <f t="shared" si="10"/>
        <v>0</v>
      </c>
      <c r="AB61" s="35">
        <f t="shared" si="11"/>
        <v>0</v>
      </c>
      <c r="AC61" s="36">
        <f t="shared" si="12"/>
        <v>0</v>
      </c>
      <c r="AD61" s="35">
        <f t="shared" si="13"/>
        <v>0</v>
      </c>
      <c r="AE61" s="36">
        <f t="shared" si="14"/>
        <v>0</v>
      </c>
      <c r="AG61" s="35">
        <f t="shared" si="15"/>
        <v>0</v>
      </c>
      <c r="AH61" s="36">
        <f t="shared" si="16"/>
        <v>0</v>
      </c>
      <c r="AI61" s="35">
        <f t="shared" si="17"/>
        <v>0</v>
      </c>
      <c r="AJ61" s="36">
        <f t="shared" si="18"/>
        <v>0</v>
      </c>
      <c r="AL61" s="35">
        <f t="shared" si="19"/>
        <v>0</v>
      </c>
      <c r="AM61" s="36">
        <f t="shared" si="20"/>
        <v>0</v>
      </c>
      <c r="AN61" s="35">
        <f t="shared" si="21"/>
        <v>0</v>
      </c>
      <c r="AO61" s="36">
        <f t="shared" si="22"/>
        <v>0</v>
      </c>
    </row>
    <row r="62" spans="3:41" x14ac:dyDescent="0.3">
      <c r="C62" s="1">
        <v>73.48</v>
      </c>
      <c r="D62" s="1"/>
      <c r="E62" s="1">
        <v>0.96762300000000001</v>
      </c>
      <c r="F62" s="15">
        <f t="shared" si="23"/>
        <v>31.201003634999999</v>
      </c>
      <c r="G62" s="1"/>
      <c r="H62" s="1">
        <v>1.0303290000000001</v>
      </c>
      <c r="I62" s="15">
        <f t="shared" si="2"/>
        <v>9685.4016986999995</v>
      </c>
      <c r="J62" s="16">
        <f t="shared" si="3"/>
        <v>0.37169341158903113</v>
      </c>
      <c r="L62" s="1"/>
      <c r="M62" s="15">
        <f t="shared" si="4"/>
        <v>0</v>
      </c>
      <c r="N62" s="1"/>
      <c r="O62" s="8">
        <v>9.25</v>
      </c>
      <c r="P62" s="15">
        <f t="shared" si="5"/>
        <v>538.76</v>
      </c>
      <c r="U62">
        <f t="shared" si="6"/>
        <v>1</v>
      </c>
      <c r="V62" t="str">
        <f t="shared" si="24"/>
        <v>min</v>
      </c>
      <c r="W62" s="35">
        <f t="shared" si="7"/>
        <v>0</v>
      </c>
      <c r="X62" s="36">
        <f t="shared" si="8"/>
        <v>0</v>
      </c>
      <c r="Y62" s="35">
        <f t="shared" si="9"/>
        <v>0</v>
      </c>
      <c r="Z62" s="36">
        <f t="shared" si="10"/>
        <v>0</v>
      </c>
      <c r="AB62" s="35">
        <f t="shared" si="11"/>
        <v>0</v>
      </c>
      <c r="AC62" s="36">
        <f t="shared" si="12"/>
        <v>0</v>
      </c>
      <c r="AD62" s="35">
        <f t="shared" si="13"/>
        <v>0</v>
      </c>
      <c r="AE62" s="36">
        <f t="shared" si="14"/>
        <v>0</v>
      </c>
      <c r="AG62" s="35">
        <f t="shared" si="15"/>
        <v>0</v>
      </c>
      <c r="AH62" s="36">
        <f t="shared" si="16"/>
        <v>0</v>
      </c>
      <c r="AI62" s="35">
        <f t="shared" si="17"/>
        <v>0</v>
      </c>
      <c r="AJ62" s="36">
        <f t="shared" si="18"/>
        <v>0</v>
      </c>
      <c r="AL62" s="35">
        <f t="shared" si="19"/>
        <v>0</v>
      </c>
      <c r="AM62" s="36">
        <f t="shared" si="20"/>
        <v>0</v>
      </c>
      <c r="AN62" s="35">
        <f t="shared" si="21"/>
        <v>0</v>
      </c>
      <c r="AO62" s="36">
        <f t="shared" si="22"/>
        <v>0</v>
      </c>
    </row>
    <row r="63" spans="3:41" x14ac:dyDescent="0.3">
      <c r="C63" s="1">
        <v>74.73</v>
      </c>
      <c r="D63" s="1"/>
      <c r="E63" s="1">
        <v>0.96691000000000005</v>
      </c>
      <c r="F63" s="15">
        <f t="shared" si="23"/>
        <v>31.178012949999999</v>
      </c>
      <c r="G63" s="1"/>
      <c r="H63" s="1">
        <v>1.030988</v>
      </c>
      <c r="I63" s="15">
        <f t="shared" si="2"/>
        <v>9691.5964963999995</v>
      </c>
      <c r="J63" s="16">
        <f t="shared" si="3"/>
        <v>0.37145582787492659</v>
      </c>
      <c r="L63" s="1"/>
      <c r="M63" s="15">
        <f t="shared" si="4"/>
        <v>0</v>
      </c>
      <c r="N63" s="1"/>
      <c r="O63" s="8">
        <v>9.4499999999999993</v>
      </c>
      <c r="P63" s="15">
        <f t="shared" si="5"/>
        <v>538.96</v>
      </c>
      <c r="U63">
        <f t="shared" si="6"/>
        <v>1</v>
      </c>
      <c r="V63">
        <f t="shared" si="24"/>
        <v>0</v>
      </c>
      <c r="W63" s="37">
        <f t="shared" si="7"/>
        <v>0</v>
      </c>
      <c r="X63" s="38">
        <f t="shared" si="8"/>
        <v>0</v>
      </c>
      <c r="Y63" s="37">
        <f t="shared" si="9"/>
        <v>0</v>
      </c>
      <c r="Z63" s="38">
        <f t="shared" si="10"/>
        <v>0</v>
      </c>
      <c r="AB63" s="37">
        <f t="shared" si="11"/>
        <v>0</v>
      </c>
      <c r="AC63" s="38">
        <f t="shared" si="12"/>
        <v>0</v>
      </c>
      <c r="AD63" s="37">
        <f t="shared" si="13"/>
        <v>0</v>
      </c>
      <c r="AE63" s="38">
        <f t="shared" si="14"/>
        <v>0</v>
      </c>
      <c r="AG63" s="37">
        <f t="shared" si="15"/>
        <v>0</v>
      </c>
      <c r="AH63" s="38">
        <f t="shared" si="16"/>
        <v>0</v>
      </c>
      <c r="AI63" s="37">
        <f t="shared" si="17"/>
        <v>0</v>
      </c>
      <c r="AJ63" s="38">
        <f t="shared" si="18"/>
        <v>0</v>
      </c>
      <c r="AL63" s="37">
        <f t="shared" si="19"/>
        <v>0</v>
      </c>
      <c r="AM63" s="38">
        <f t="shared" si="20"/>
        <v>0</v>
      </c>
      <c r="AN63" s="37">
        <f t="shared" si="21"/>
        <v>0</v>
      </c>
      <c r="AO63" s="38">
        <f t="shared" si="22"/>
        <v>0</v>
      </c>
    </row>
    <row r="64" spans="3:41" x14ac:dyDescent="0.3">
      <c r="C64" s="1"/>
      <c r="D64" s="1"/>
      <c r="E64" s="1"/>
      <c r="H64" s="1"/>
      <c r="L64" s="1"/>
      <c r="O64" s="1"/>
      <c r="W64" s="44">
        <f>SUM(W2:W63)</f>
        <v>32.244999999999997</v>
      </c>
      <c r="X64" s="44">
        <f>SUM(X2:X63)</f>
        <v>14.95</v>
      </c>
      <c r="Y64" s="44">
        <f>SUM(Y2:Y63)</f>
        <v>32.223008909999997</v>
      </c>
      <c r="Z64" s="44">
        <f>SUM(Z2:Z63)</f>
        <v>16.190000000000001</v>
      </c>
      <c r="AA64" s="43"/>
      <c r="AB64" s="44">
        <f>SUM(AB2:AB63)</f>
        <v>9400.2999999999993</v>
      </c>
      <c r="AC64" s="44">
        <f>SUM(AC2:AC63)</f>
        <v>14.95</v>
      </c>
      <c r="AD64" s="44">
        <f>SUM(AD2:AD63)</f>
        <v>9406.2033883999993</v>
      </c>
      <c r="AE64" s="44">
        <f>SUM(AE2:AE63)</f>
        <v>16.190000000000001</v>
      </c>
      <c r="AF64" s="43"/>
      <c r="AG64" s="44">
        <f>SUM(AG2:AG63)</f>
        <v>0</v>
      </c>
      <c r="AH64" s="44">
        <f>SUM(AH2:AH63)</f>
        <v>0</v>
      </c>
      <c r="AI64" s="44">
        <f>SUM(AI2:AI63)</f>
        <v>0</v>
      </c>
      <c r="AJ64" s="44">
        <f>SUM(AJ2:AJ63)</f>
        <v>0</v>
      </c>
      <c r="AK64" s="43"/>
      <c r="AL64" s="44">
        <f>SUM(AL2:AL63)</f>
        <v>529.51</v>
      </c>
      <c r="AM64" s="44">
        <f>SUM(AM2:AM63)</f>
        <v>14.95</v>
      </c>
      <c r="AN64" s="44">
        <f>SUM(AN2:AN63)</f>
        <v>529.71</v>
      </c>
      <c r="AO64" s="44">
        <f>SUM(AO2:AO63)</f>
        <v>16.190000000000001</v>
      </c>
    </row>
  </sheetData>
  <mergeCells count="9">
    <mergeCell ref="AL1:AM1"/>
    <mergeCell ref="AN1:AO1"/>
    <mergeCell ref="S6:T6"/>
    <mergeCell ref="W1:X1"/>
    <mergeCell ref="Y1:Z1"/>
    <mergeCell ref="AB1:AC1"/>
    <mergeCell ref="AD1:AE1"/>
    <mergeCell ref="AG1:AH1"/>
    <mergeCell ref="AI1:A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K90"/>
  <sheetViews>
    <sheetView topLeftCell="AK1" zoomScale="55" zoomScaleNormal="55" workbookViewId="0">
      <selection activeCell="BA29" sqref="BA29"/>
    </sheetView>
  </sheetViews>
  <sheetFormatPr defaultRowHeight="14.4" x14ac:dyDescent="0.3"/>
  <cols>
    <col min="4" max="4" width="12.109375" bestFit="1" customWidth="1"/>
    <col min="9" max="9" width="12.109375" bestFit="1" customWidth="1"/>
    <col min="14" max="14" width="12.109375" bestFit="1" customWidth="1"/>
    <col min="19" max="19" width="12.109375" bestFit="1" customWidth="1"/>
    <col min="24" max="24" width="12.109375" bestFit="1" customWidth="1"/>
    <col min="29" max="29" width="12.109375" bestFit="1" customWidth="1"/>
    <col min="34" max="34" width="12.109375" bestFit="1" customWidth="1"/>
    <col min="39" max="39" width="12.109375" bestFit="1" customWidth="1"/>
    <col min="44" max="44" width="12.109375" bestFit="1" customWidth="1"/>
    <col min="49" max="49" width="12.109375" bestFit="1" customWidth="1"/>
    <col min="53" max="54" width="11.33203125" customWidth="1"/>
    <col min="55" max="55" width="12.44140625" bestFit="1" customWidth="1"/>
  </cols>
  <sheetData>
    <row r="1" spans="2:115" x14ac:dyDescent="0.3">
      <c r="B1" s="3" t="s">
        <v>3</v>
      </c>
      <c r="C1">
        <v>-20</v>
      </c>
      <c r="D1" t="s">
        <v>4</v>
      </c>
      <c r="G1" s="3" t="s">
        <v>3</v>
      </c>
      <c r="H1">
        <v>-15</v>
      </c>
      <c r="I1" t="s">
        <v>4</v>
      </c>
      <c r="L1" s="3" t="s">
        <v>3</v>
      </c>
      <c r="M1">
        <v>-10</v>
      </c>
      <c r="N1" t="s">
        <v>4</v>
      </c>
      <c r="Q1" s="3" t="s">
        <v>3</v>
      </c>
      <c r="R1">
        <v>-5</v>
      </c>
      <c r="S1" t="s">
        <v>4</v>
      </c>
      <c r="V1" s="3" t="s">
        <v>3</v>
      </c>
      <c r="W1">
        <v>0</v>
      </c>
      <c r="X1" t="s">
        <v>4</v>
      </c>
      <c r="AA1" s="3" t="s">
        <v>3</v>
      </c>
      <c r="AB1">
        <v>5</v>
      </c>
      <c r="AC1" t="s">
        <v>4</v>
      </c>
      <c r="AF1" s="3" t="s">
        <v>3</v>
      </c>
      <c r="AG1">
        <v>10</v>
      </c>
      <c r="AH1" t="s">
        <v>4</v>
      </c>
      <c r="AK1" s="3" t="s">
        <v>3</v>
      </c>
      <c r="AL1">
        <v>15</v>
      </c>
      <c r="AM1" t="s">
        <v>4</v>
      </c>
      <c r="AP1" s="3" t="s">
        <v>3</v>
      </c>
      <c r="AQ1">
        <v>20</v>
      </c>
      <c r="AR1" t="s">
        <v>4</v>
      </c>
      <c r="AU1" s="3" t="s">
        <v>3</v>
      </c>
      <c r="AV1">
        <v>25</v>
      </c>
      <c r="AW1" t="s">
        <v>4</v>
      </c>
    </row>
    <row r="2" spans="2:115" ht="15" thickBot="1" x14ac:dyDescent="0.35">
      <c r="B2" s="3" t="s">
        <v>17</v>
      </c>
      <c r="C2">
        <f>'Tin_base load (1)'!I13</f>
        <v>9364.5976606000004</v>
      </c>
      <c r="D2" t="s">
        <v>2</v>
      </c>
      <c r="G2" s="3" t="s">
        <v>17</v>
      </c>
      <c r="H2">
        <f>'Tin_base load (1)'!I18</f>
        <v>9147.4037290999986</v>
      </c>
      <c r="I2" t="s">
        <v>2</v>
      </c>
      <c r="L2" s="3" t="s">
        <v>17</v>
      </c>
      <c r="M2">
        <f>'Tin_base load (1)'!I23</f>
        <v>9172.0983171999997</v>
      </c>
      <c r="N2" t="s">
        <v>2</v>
      </c>
      <c r="Q2" s="3" t="s">
        <v>17</v>
      </c>
      <c r="R2">
        <f>'Tin_base load (1)'!I28</f>
        <v>9172.0983171999997</v>
      </c>
      <c r="S2" t="s">
        <v>2</v>
      </c>
      <c r="V2" s="3" t="s">
        <v>17</v>
      </c>
      <c r="W2">
        <f>'Tin_base load (1)'!I33</f>
        <v>9226.4038502999992</v>
      </c>
      <c r="X2" t="s">
        <v>2</v>
      </c>
      <c r="AA2" s="3" t="s">
        <v>17</v>
      </c>
      <c r="AB2">
        <f>'Tin_base load (1)'!I38</f>
        <v>9273.9975691999989</v>
      </c>
      <c r="AC2" t="s">
        <v>2</v>
      </c>
      <c r="AF2" s="3" t="s">
        <v>17</v>
      </c>
      <c r="AG2">
        <f>'Tin_base load (1)'!I43</f>
        <v>9340.1004787999991</v>
      </c>
      <c r="AH2" t="s">
        <v>2</v>
      </c>
      <c r="AK2" s="3" t="s">
        <v>17</v>
      </c>
      <c r="AL2">
        <f>'Tin_base load (1)'!I48</f>
        <v>9400.2999999999993</v>
      </c>
      <c r="AM2" t="s">
        <v>2</v>
      </c>
      <c r="AP2" s="3" t="s">
        <v>17</v>
      </c>
      <c r="AQ2">
        <f>'Tin_base load (1)'!I53</f>
        <v>9462.8965976999989</v>
      </c>
      <c r="AR2" t="s">
        <v>2</v>
      </c>
      <c r="AU2" s="3" t="s">
        <v>17</v>
      </c>
      <c r="AV2">
        <f>'Tin_base load (1)'!I58</f>
        <v>9568.9977837999995</v>
      </c>
      <c r="AW2" t="s">
        <v>2</v>
      </c>
      <c r="BE2" s="41">
        <f>IF($BA$3&gt;=BE3,IF($BA$3&lt;BE4, "X",0),0)</f>
        <v>0</v>
      </c>
      <c r="BF2" s="41">
        <f t="shared" ref="BF2:BM2" si="0">IF($BA$3&gt;=BF3,IF($BA$3&lt;BF4, "X",0),0)</f>
        <v>0</v>
      </c>
      <c r="BG2" s="41">
        <f t="shared" si="0"/>
        <v>0</v>
      </c>
      <c r="BH2" s="41">
        <f>IF($BA$3&gt;=BH3,IF($BA$3&lt;BH4, "X",0),0)</f>
        <v>0</v>
      </c>
      <c r="BI2" s="41">
        <f t="shared" si="0"/>
        <v>0</v>
      </c>
      <c r="BJ2" s="41">
        <f t="shared" si="0"/>
        <v>0</v>
      </c>
      <c r="BK2" s="41" t="str">
        <f t="shared" si="0"/>
        <v>X</v>
      </c>
      <c r="BL2" s="41">
        <f t="shared" si="0"/>
        <v>0</v>
      </c>
      <c r="BM2" s="41">
        <f t="shared" si="0"/>
        <v>0</v>
      </c>
    </row>
    <row r="3" spans="2:115" x14ac:dyDescent="0.3">
      <c r="AZ3" s="51" t="s">
        <v>15</v>
      </c>
      <c r="BA3" s="52">
        <f>'GT maps'!G4</f>
        <v>10</v>
      </c>
      <c r="BB3" s="53" t="s">
        <v>4</v>
      </c>
      <c r="BD3" t="s">
        <v>48</v>
      </c>
      <c r="BE3">
        <v>-20</v>
      </c>
      <c r="BF3">
        <v>-15</v>
      </c>
      <c r="BG3">
        <v>-10</v>
      </c>
      <c r="BH3">
        <v>-5</v>
      </c>
      <c r="BI3">
        <v>0</v>
      </c>
      <c r="BJ3">
        <v>5</v>
      </c>
      <c r="BK3">
        <v>10</v>
      </c>
      <c r="BL3">
        <v>15</v>
      </c>
      <c r="BM3">
        <v>20</v>
      </c>
    </row>
    <row r="4" spans="2:115" ht="15" thickBot="1" x14ac:dyDescent="0.35">
      <c r="AZ4" s="54" t="s">
        <v>0</v>
      </c>
      <c r="BA4" s="76">
        <f>'GT maps'!I13</f>
        <v>0.9</v>
      </c>
      <c r="BB4" s="55"/>
      <c r="BD4" t="s">
        <v>49</v>
      </c>
      <c r="BE4">
        <v>-15</v>
      </c>
      <c r="BF4">
        <v>-10</v>
      </c>
      <c r="BG4">
        <v>-5</v>
      </c>
      <c r="BH4">
        <v>0</v>
      </c>
      <c r="BI4">
        <v>5</v>
      </c>
      <c r="BJ4">
        <v>10</v>
      </c>
      <c r="BK4">
        <v>15</v>
      </c>
      <c r="BL4">
        <v>20</v>
      </c>
      <c r="BM4">
        <v>25</v>
      </c>
    </row>
    <row r="5" spans="2:115" ht="15" thickBot="1" x14ac:dyDescent="0.35">
      <c r="AZ5" s="56"/>
      <c r="BA5" s="56"/>
      <c r="BB5" s="56"/>
    </row>
    <row r="6" spans="2:115" x14ac:dyDescent="0.3">
      <c r="B6" s="5" t="s">
        <v>0</v>
      </c>
      <c r="C6" s="5"/>
      <c r="D6" s="5" t="s">
        <v>5</v>
      </c>
      <c r="E6" s="5" t="s">
        <v>6</v>
      </c>
      <c r="F6" s="5"/>
      <c r="G6" s="5" t="s">
        <v>0</v>
      </c>
      <c r="H6" s="5"/>
      <c r="I6" s="5" t="s">
        <v>5</v>
      </c>
      <c r="J6" s="5" t="s">
        <v>6</v>
      </c>
      <c r="K6" s="5"/>
      <c r="L6" s="5" t="s">
        <v>0</v>
      </c>
      <c r="M6" s="5"/>
      <c r="N6" s="5" t="s">
        <v>5</v>
      </c>
      <c r="O6" s="5" t="s">
        <v>6</v>
      </c>
      <c r="P6" s="5"/>
      <c r="Q6" s="5" t="s">
        <v>0</v>
      </c>
      <c r="R6" s="5"/>
      <c r="S6" s="5" t="s">
        <v>5</v>
      </c>
      <c r="T6" s="5" t="s">
        <v>6</v>
      </c>
      <c r="U6" s="5"/>
      <c r="V6" s="5" t="s">
        <v>0</v>
      </c>
      <c r="W6" s="5"/>
      <c r="X6" s="5" t="s">
        <v>5</v>
      </c>
      <c r="Y6" s="5" t="s">
        <v>6</v>
      </c>
      <c r="Z6" s="5"/>
      <c r="AA6" s="5" t="s">
        <v>0</v>
      </c>
      <c r="AB6" s="5"/>
      <c r="AC6" s="5" t="s">
        <v>5</v>
      </c>
      <c r="AD6" s="5" t="s">
        <v>6</v>
      </c>
      <c r="AE6" s="5"/>
      <c r="AF6" s="5" t="s">
        <v>0</v>
      </c>
      <c r="AG6" s="5"/>
      <c r="AH6" s="5" t="s">
        <v>5</v>
      </c>
      <c r="AI6" s="5" t="s">
        <v>6</v>
      </c>
      <c r="AJ6" s="5"/>
      <c r="AK6" s="5" t="s">
        <v>0</v>
      </c>
      <c r="AL6" s="5"/>
      <c r="AM6" s="5" t="s">
        <v>5</v>
      </c>
      <c r="AN6" s="5" t="s">
        <v>6</v>
      </c>
      <c r="AO6" s="5"/>
      <c r="AP6" s="5" t="s">
        <v>0</v>
      </c>
      <c r="AQ6" s="5"/>
      <c r="AR6" s="5" t="s">
        <v>5</v>
      </c>
      <c r="AS6" s="5" t="s">
        <v>6</v>
      </c>
      <c r="AT6" s="5"/>
      <c r="AU6" s="5" t="s">
        <v>0</v>
      </c>
      <c r="AV6" s="5"/>
      <c r="AW6" s="5" t="s">
        <v>5</v>
      </c>
      <c r="AX6" s="5" t="s">
        <v>6</v>
      </c>
      <c r="AZ6" s="154" t="s">
        <v>92</v>
      </c>
      <c r="BA6" s="150" t="s">
        <v>42</v>
      </c>
      <c r="BB6" s="151"/>
      <c r="BD6" s="152" t="s">
        <v>52</v>
      </c>
      <c r="BE6" s="153"/>
      <c r="BF6" s="57">
        <v>0</v>
      </c>
      <c r="BG6" s="58"/>
      <c r="BH6" s="59"/>
      <c r="BI6" s="60"/>
      <c r="BJ6" s="152" t="s">
        <v>51</v>
      </c>
      <c r="BK6" s="153"/>
      <c r="BL6" s="57">
        <v>0</v>
      </c>
      <c r="BM6" s="58"/>
      <c r="BN6" s="59"/>
      <c r="BO6" s="60"/>
      <c r="BP6" s="70" t="s">
        <v>50</v>
      </c>
      <c r="BQ6" s="69"/>
      <c r="BR6" s="57">
        <v>0</v>
      </c>
      <c r="BS6" s="58"/>
      <c r="BT6" s="59"/>
      <c r="BU6" s="60"/>
      <c r="BV6" s="68" t="s">
        <v>53</v>
      </c>
      <c r="BW6" s="69"/>
      <c r="BX6" s="57">
        <v>0</v>
      </c>
      <c r="BY6" s="58"/>
      <c r="BZ6" s="59"/>
      <c r="CA6" s="60"/>
      <c r="CB6" s="68" t="s">
        <v>54</v>
      </c>
      <c r="CC6" s="69"/>
      <c r="CD6" s="57">
        <v>0</v>
      </c>
      <c r="CE6" s="58"/>
      <c r="CF6" s="59"/>
      <c r="CG6" s="60"/>
      <c r="CH6" s="68" t="s">
        <v>55</v>
      </c>
      <c r="CI6" s="69"/>
      <c r="CJ6" s="57">
        <v>0</v>
      </c>
      <c r="CK6" s="58"/>
      <c r="CL6" s="59"/>
      <c r="CM6" s="60"/>
      <c r="CN6" s="68" t="s">
        <v>56</v>
      </c>
      <c r="CO6" s="69"/>
      <c r="CP6" s="57">
        <v>0</v>
      </c>
      <c r="CQ6" s="58"/>
      <c r="CR6" s="59"/>
      <c r="CS6" s="60"/>
      <c r="CT6" s="97" t="s">
        <v>57</v>
      </c>
      <c r="CU6" s="98"/>
      <c r="CV6" s="57">
        <v>0</v>
      </c>
      <c r="CW6" s="58"/>
      <c r="CX6" s="59"/>
      <c r="CY6" s="60"/>
      <c r="CZ6" s="100" t="s">
        <v>58</v>
      </c>
      <c r="DA6" s="101"/>
      <c r="DB6" s="57">
        <v>0</v>
      </c>
      <c r="DC6" s="58"/>
      <c r="DD6" s="59"/>
      <c r="DE6" s="60"/>
      <c r="DF6" s="68" t="s">
        <v>59</v>
      </c>
      <c r="DG6" s="69"/>
      <c r="DH6" s="57">
        <v>0</v>
      </c>
      <c r="DI6" s="58"/>
      <c r="DJ6" s="59"/>
      <c r="DK6" s="60"/>
    </row>
    <row r="7" spans="2:115" ht="15" thickBot="1" x14ac:dyDescent="0.35">
      <c r="B7" s="1">
        <v>8.1281000000000006E-2</v>
      </c>
      <c r="C7" s="1">
        <v>2.893268</v>
      </c>
      <c r="D7">
        <f>C7*C$2</f>
        <v>27094.290744288843</v>
      </c>
      <c r="E7" s="4">
        <f>1/(D7/3600)</f>
        <v>0.13286932047700262</v>
      </c>
      <c r="G7" s="1">
        <v>8.0071000000000003E-2</v>
      </c>
      <c r="H7" s="1">
        <v>2.974332</v>
      </c>
      <c r="I7">
        <f>H7*H$2</f>
        <v>27207.415628381455</v>
      </c>
      <c r="J7" s="4">
        <f>1/(I7/3600)</f>
        <v>0.13231686717957344</v>
      </c>
      <c r="L7" s="1">
        <v>7.9613000000000003E-2</v>
      </c>
      <c r="M7" s="1">
        <v>2.9786519999999999</v>
      </c>
      <c r="N7">
        <f>M7*M$2</f>
        <v>27320.488996724413</v>
      </c>
      <c r="O7" s="4">
        <f>1/(N7/3600)</f>
        <v>0.13176923738193783</v>
      </c>
      <c r="Q7" s="1">
        <v>7.9230999999999996E-2</v>
      </c>
      <c r="R7" s="1">
        <v>2.9811730000000001</v>
      </c>
      <c r="S7">
        <f>R7*R$2</f>
        <v>27343.611856582076</v>
      </c>
      <c r="T7" s="4">
        <f>1/(S7/3600)</f>
        <v>0.1316578080058366</v>
      </c>
      <c r="V7" s="1">
        <v>7.9704999999999998E-2</v>
      </c>
      <c r="W7" s="1">
        <v>2.9438780000000002</v>
      </c>
      <c r="X7">
        <f>W7*W$2</f>
        <v>27161.407314013464</v>
      </c>
      <c r="Y7" s="4">
        <f>1/(X7/3600)</f>
        <v>0.13254099680404416</v>
      </c>
      <c r="AA7" s="1">
        <v>8.2241999999999996E-2</v>
      </c>
      <c r="AB7" s="1">
        <v>2.972019</v>
      </c>
      <c r="AC7">
        <f>AB7*AB$2</f>
        <v>27562.496981616212</v>
      </c>
      <c r="AD7" s="4">
        <f>1/(AC7/3600)</f>
        <v>0.13061225920137601</v>
      </c>
      <c r="AF7" s="1">
        <v>8.5211999999999996E-2</v>
      </c>
      <c r="AG7" s="1">
        <v>2.9614989999999999</v>
      </c>
      <c r="AH7">
        <f>AG7*AG$2</f>
        <v>27660.698227865716</v>
      </c>
      <c r="AI7" s="4">
        <f>1/(AH7/3600)</f>
        <v>0.13014855844720932</v>
      </c>
      <c r="AK7" s="1">
        <v>8.8044999999999998E-2</v>
      </c>
      <c r="AL7" s="1">
        <v>2.9534910000000001</v>
      </c>
      <c r="AM7">
        <f>AL7*AL$2</f>
        <v>27763.701447299998</v>
      </c>
      <c r="AN7" s="4">
        <f>1/(AM7/3600)</f>
        <v>0.12966570782477915</v>
      </c>
      <c r="AP7" s="1">
        <v>9.0969999999999995E-2</v>
      </c>
      <c r="AQ7" s="1">
        <v>2.9454479999999998</v>
      </c>
      <c r="AR7">
        <f>AQ7*AQ$2</f>
        <v>27872.469857902266</v>
      </c>
      <c r="AS7" s="4">
        <f>1/(AR7/3600)</f>
        <v>0.12915970555725062</v>
      </c>
      <c r="AU7" s="1">
        <v>9.5128000000000004E-2</v>
      </c>
      <c r="AV7" s="1">
        <v>2.9256869999999999</v>
      </c>
      <c r="AW7">
        <f>AV7*AV$2</f>
        <v>27995.89241909247</v>
      </c>
      <c r="AX7" s="4">
        <f>1/(AW7/3600)</f>
        <v>0.12859029267968231</v>
      </c>
      <c r="AZ7" s="155"/>
      <c r="BA7" s="49"/>
      <c r="BB7" s="75">
        <f>(BH90-BG90)/(BE90-BD90)*($BA$3-BD90)+BG90</f>
        <v>1.0104524302546045</v>
      </c>
      <c r="BD7" s="61">
        <f>IF($BA$4&gt;B7,0,1)</f>
        <v>0</v>
      </c>
      <c r="BE7" s="43">
        <f t="shared" ref="BE7" si="1">IF(BD8=1, "min",0)</f>
        <v>0</v>
      </c>
      <c r="BF7" s="35">
        <f>IF($BD7=0,IF($BE7="min",B7,0),0)</f>
        <v>0</v>
      </c>
      <c r="BG7" s="36">
        <f>IF(BF7=0,0,$C7)</f>
        <v>0</v>
      </c>
      <c r="BH7" s="35">
        <f>IF(BF6=0,0,B7)</f>
        <v>0</v>
      </c>
      <c r="BI7" s="62">
        <f>IF(BH7=0,0,C7)</f>
        <v>0</v>
      </c>
      <c r="BJ7" s="61">
        <f>IF($BA$4&gt;G7,0,1)</f>
        <v>0</v>
      </c>
      <c r="BK7" s="43">
        <f t="shared" ref="BK7" si="2">IF(BJ8=1, "min",0)</f>
        <v>0</v>
      </c>
      <c r="BL7" s="35">
        <f>IF($BJ7=0,IF($BK7="min",G7,0),0)</f>
        <v>0</v>
      </c>
      <c r="BM7" s="36">
        <f>IF(BL7=0,0,$H7)</f>
        <v>0</v>
      </c>
      <c r="BN7" s="35">
        <f>IF(BL6=0,0,G7)</f>
        <v>0</v>
      </c>
      <c r="BO7" s="62">
        <f>IF(BN7=0,0,H7)</f>
        <v>0</v>
      </c>
      <c r="BP7" s="61">
        <f>IF($BA$4&gt;L7,0,1)</f>
        <v>0</v>
      </c>
      <c r="BQ7" s="43">
        <f t="shared" ref="BQ7" si="3">IF(BP8=1, "min",0)</f>
        <v>0</v>
      </c>
      <c r="BR7" s="35">
        <f>IF($BP7=0,IF($BQ7="min",L7,0),0)</f>
        <v>0</v>
      </c>
      <c r="BS7" s="36">
        <f>IF(BR7=0,0,M7)</f>
        <v>0</v>
      </c>
      <c r="BT7" s="35">
        <f>IF(BR6=0,0,L7)</f>
        <v>0</v>
      </c>
      <c r="BU7" s="62">
        <f>IF(BT7=0,0,M7)</f>
        <v>0</v>
      </c>
      <c r="BV7" s="61">
        <f>IF($BA$4&gt;Q7,0,1)</f>
        <v>0</v>
      </c>
      <c r="BW7" s="43">
        <f>IF(BV8=1, "min",0)</f>
        <v>0</v>
      </c>
      <c r="BX7" s="35">
        <f>IF($BV7=0,IF($BW7="min",Q7,0),0)</f>
        <v>0</v>
      </c>
      <c r="BY7" s="36">
        <f>IF(BX7=0,0,$R7)</f>
        <v>0</v>
      </c>
      <c r="BZ7" s="35">
        <f>IF(BX6=0,0,Q7)</f>
        <v>0</v>
      </c>
      <c r="CA7" s="62">
        <f>IF(BZ7=0,0,R7)</f>
        <v>0</v>
      </c>
      <c r="CB7" s="61">
        <f>IF($BA$4&gt;V7,0,1)</f>
        <v>0</v>
      </c>
      <c r="CC7" s="43">
        <f t="shared" ref="CC7" si="4">IF(CB8=1, "min",0)</f>
        <v>0</v>
      </c>
      <c r="CD7" s="35">
        <f>IF($CB7=0,IF($CC7="min",V7,0),0)</f>
        <v>0</v>
      </c>
      <c r="CE7" s="36">
        <f>IF(CD7=0,0,$W7)</f>
        <v>0</v>
      </c>
      <c r="CF7" s="35">
        <f>IF(CD6=0,0,V7)</f>
        <v>0</v>
      </c>
      <c r="CG7" s="62">
        <f>IF(CF7=0,0,W7)</f>
        <v>0</v>
      </c>
      <c r="CH7" s="61">
        <f>IF($BA$4&gt;AA7,0,1)</f>
        <v>0</v>
      </c>
      <c r="CI7" s="43">
        <f>IF(CH8=1, "min",0)</f>
        <v>0</v>
      </c>
      <c r="CJ7" s="35">
        <f>IF($CH7=0,IF($CI7="min",AA7,0),0)</f>
        <v>0</v>
      </c>
      <c r="CK7" s="36">
        <f>IF(CJ7=0,0,$AB7)</f>
        <v>0</v>
      </c>
      <c r="CL7" s="35">
        <f>IF(CJ6=0,0,AA7)</f>
        <v>0</v>
      </c>
      <c r="CM7" s="62">
        <f>IF(CL7=0,0,AB7)</f>
        <v>0</v>
      </c>
      <c r="CN7" s="61">
        <f>IF($BA$4&gt;AF7,0,1)</f>
        <v>0</v>
      </c>
      <c r="CO7" s="43">
        <f t="shared" ref="CO7" si="5">IF(CN8=1, "min",0)</f>
        <v>0</v>
      </c>
      <c r="CP7" s="35">
        <f>IF($CN7=0,IF($CO7="min",AF7,0),0)</f>
        <v>0</v>
      </c>
      <c r="CQ7" s="36">
        <f>IF(CP7=0,0,$AG7)</f>
        <v>0</v>
      </c>
      <c r="CR7" s="35">
        <f>IF(CP6=0,0,AF7)</f>
        <v>0</v>
      </c>
      <c r="CS7" s="62">
        <f>IF(CR7=0,0,AG7)</f>
        <v>0</v>
      </c>
      <c r="CT7" s="61">
        <f>IF($BA$4&gt;AK7,0,1)</f>
        <v>0</v>
      </c>
      <c r="CU7" s="43">
        <f>IF(CT8=1, "min",0)</f>
        <v>0</v>
      </c>
      <c r="CV7" s="35">
        <f>IF($CT7=0,IF($CU7="min",AK7,0),0)</f>
        <v>0</v>
      </c>
      <c r="CW7" s="36">
        <f>IF(CV7=0,0,$AL7)</f>
        <v>0</v>
      </c>
      <c r="CX7" s="35">
        <f t="shared" ref="CX7:CX59" si="6">IF(CV6=0,0,AK7)</f>
        <v>0</v>
      </c>
      <c r="CY7" s="62">
        <f>IF(CX7=0,0,AL7)</f>
        <v>0</v>
      </c>
      <c r="CZ7" s="61">
        <f>IF($BA$4&gt;AP7,0,1)</f>
        <v>0</v>
      </c>
      <c r="DA7" s="43">
        <f>IF(CZ8=1, "min",0)</f>
        <v>0</v>
      </c>
      <c r="DB7" s="35">
        <f>IF($CZ7=0,IF($DA7="min",AP7,0),0)</f>
        <v>0</v>
      </c>
      <c r="DC7" s="36">
        <f>IF(DB7=0,0,$AQ7)</f>
        <v>0</v>
      </c>
      <c r="DD7" s="35">
        <f>IF(DB6=0,0,AP7)</f>
        <v>0</v>
      </c>
      <c r="DE7" s="62">
        <f t="shared" ref="DE7:DE57" si="7">IF(DD7=0,0,AQ7)</f>
        <v>0</v>
      </c>
      <c r="DF7" s="61">
        <f>IF($BA$4&gt;AU7,0,1)</f>
        <v>0</v>
      </c>
      <c r="DG7" s="43">
        <f>IF(DF8=1, "min",0)</f>
        <v>0</v>
      </c>
      <c r="DH7" s="35">
        <f>IF($DF7=0,IF($DG7="min",AU7,0),0)</f>
        <v>0</v>
      </c>
      <c r="DI7" s="36">
        <f>IF(DH7=0,0,$AV7)</f>
        <v>0</v>
      </c>
      <c r="DJ7" s="35">
        <f>IF(DH6=0,0,AU7)</f>
        <v>0</v>
      </c>
      <c r="DK7" s="62">
        <f>IF(DJ7=0,0,AV7)</f>
        <v>0</v>
      </c>
    </row>
    <row r="8" spans="2:115" x14ac:dyDescent="0.3">
      <c r="B8" s="1">
        <v>9.5568E-2</v>
      </c>
      <c r="C8" s="1">
        <v>2.6384470000000002</v>
      </c>
      <c r="D8">
        <f>C8*C$2</f>
        <v>24707.994603817093</v>
      </c>
      <c r="E8" s="4">
        <f t="shared" ref="E8:E71" si="8">1/(D8/3600)</f>
        <v>0.14570182880984775</v>
      </c>
      <c r="G8" s="1">
        <v>9.4145000000000006E-2</v>
      </c>
      <c r="H8" s="1">
        <v>2.7122350000000002</v>
      </c>
      <c r="I8">
        <f t="shared" ref="I8:I71" si="9">H8*H$2</f>
        <v>24809.908553195535</v>
      </c>
      <c r="J8" s="4">
        <f t="shared" ref="J8:J71" si="10">1/(I8/3600)</f>
        <v>0.14510331597076029</v>
      </c>
      <c r="L8" s="1">
        <v>9.3605999999999995E-2</v>
      </c>
      <c r="M8" s="1">
        <v>2.7160820000000001</v>
      </c>
      <c r="N8">
        <f t="shared" ref="N8:N71" si="11">M8*M$2</f>
        <v>24912.171141577212</v>
      </c>
      <c r="O8" s="4">
        <f t="shared" ref="O8:O71" si="12">1/(N8/3600)</f>
        <v>0.14450767777489187</v>
      </c>
      <c r="Q8" s="1">
        <v>9.3157000000000004E-2</v>
      </c>
      <c r="R8" s="1">
        <v>2.6791849999999999</v>
      </c>
      <c r="S8">
        <f t="shared" ref="S8:S71" si="13">R8*R$2</f>
        <v>24573.748229967481</v>
      </c>
      <c r="T8" s="4">
        <f t="shared" ref="T8:T71" si="14">1/(S8/3600)</f>
        <v>0.14649779782515351</v>
      </c>
      <c r="V8" s="1">
        <v>9.3714000000000006E-2</v>
      </c>
      <c r="W8" s="1">
        <v>2.712434</v>
      </c>
      <c r="X8">
        <f t="shared" ref="X8:X71" si="15">W8*W$2</f>
        <v>25026.011501284629</v>
      </c>
      <c r="Y8" s="4">
        <f t="shared" ref="Y8:Y71" si="16">1/(X8/3600)</f>
        <v>0.14385032947879872</v>
      </c>
      <c r="AA8" s="1">
        <v>9.6698000000000006E-2</v>
      </c>
      <c r="AB8" s="1">
        <v>2.7076129999999998</v>
      </c>
      <c r="AC8">
        <f t="shared" ref="AC8:AC71" si="17">AB8*AB$2</f>
        <v>25110.396380334314</v>
      </c>
      <c r="AD8" s="4">
        <f t="shared" ref="AD8:AD71" si="18">1/(AC8/3600)</f>
        <v>0.14336691247213479</v>
      </c>
      <c r="AF8" s="1">
        <v>0.100189</v>
      </c>
      <c r="AG8" s="1">
        <v>2.6977869999999999</v>
      </c>
      <c r="AH8">
        <f t="shared" ref="AH8:AH71" si="19">AG8*AG$2</f>
        <v>25197.601650400411</v>
      </c>
      <c r="AI8" s="4">
        <f t="shared" ref="AI8:AI71" si="20">1/(AH8/3600)</f>
        <v>0.1428707402374064</v>
      </c>
      <c r="AK8" s="1">
        <v>0.10352</v>
      </c>
      <c r="AL8" s="1">
        <v>2.690169</v>
      </c>
      <c r="AM8">
        <f t="shared" ref="AM8:AM68" si="21">AL8*AL$2</f>
        <v>25288.395650699997</v>
      </c>
      <c r="AN8" s="4">
        <f t="shared" ref="AN8:AN68" si="22">1/(AM8/3600)</f>
        <v>0.14235778535442006</v>
      </c>
      <c r="AP8" s="1">
        <v>0.10696</v>
      </c>
      <c r="AQ8" s="1">
        <v>2.6833320000000001</v>
      </c>
      <c r="AR8">
        <f t="shared" ref="AR8:AR65" si="23">AQ8*AQ$2</f>
        <v>25392.093253299536</v>
      </c>
      <c r="AS8" s="4">
        <f t="shared" ref="AS8:AS65" si="24">1/(AR8/3600)</f>
        <v>0.14177641693767029</v>
      </c>
      <c r="AU8" s="1">
        <v>0.111848</v>
      </c>
      <c r="AV8" s="1">
        <v>2.6240459999999999</v>
      </c>
      <c r="AW8">
        <f t="shared" ref="AW8:AW64" si="25">AV8*AV$2</f>
        <v>25109.490358589253</v>
      </c>
      <c r="AX8" s="4">
        <f t="shared" ref="AX8:AX64" si="26">1/(AW8/3600)</f>
        <v>0.14337208555762426</v>
      </c>
      <c r="BD8" s="61">
        <f t="shared" ref="BD8:BD71" si="27">IF($BA$4&gt;B8,0,1)</f>
        <v>0</v>
      </c>
      <c r="BE8" s="43">
        <f t="shared" ref="BE8:BE71" si="28">IF(BD9=1, "min",0)</f>
        <v>0</v>
      </c>
      <c r="BF8" s="35">
        <f t="shared" ref="BF8:BF71" si="29">IF($BD8=0,IF($BE8="min",B8,0),0)</f>
        <v>0</v>
      </c>
      <c r="BG8" s="36">
        <f t="shared" ref="BG8:BG71" si="30">IF(BF8=0,0,$C8)</f>
        <v>0</v>
      </c>
      <c r="BH8" s="35">
        <f t="shared" ref="BH8:BH71" si="31">IF(BF7=0,0,B8)</f>
        <v>0</v>
      </c>
      <c r="BI8" s="62">
        <f t="shared" ref="BI8:BI71" si="32">IF(BH8=0,0,C8)</f>
        <v>0</v>
      </c>
      <c r="BJ8" s="61">
        <f t="shared" ref="BJ8:BJ71" si="33">IF($BA$4&gt;G8,0,1)</f>
        <v>0</v>
      </c>
      <c r="BK8" s="43">
        <f t="shared" ref="BK8:BK71" si="34">IF(BJ9=1, "min",0)</f>
        <v>0</v>
      </c>
      <c r="BL8" s="35">
        <f t="shared" ref="BL8:BL71" si="35">IF($BJ8=0,IF($BK8="min",G8,0),0)</f>
        <v>0</v>
      </c>
      <c r="BM8" s="36">
        <f t="shared" ref="BM8:BM71" si="36">IF(BL8=0,0,$H8)</f>
        <v>0</v>
      </c>
      <c r="BN8" s="35">
        <f t="shared" ref="BN8:BN71" si="37">IF(BL7=0,0,G8)</f>
        <v>0</v>
      </c>
      <c r="BO8" s="62">
        <f t="shared" ref="BO8:BO71" si="38">IF(BN8=0,0,H8)</f>
        <v>0</v>
      </c>
      <c r="BP8" s="61">
        <f t="shared" ref="BP8:BP71" si="39">IF($BA$4&gt;L8,0,1)</f>
        <v>0</v>
      </c>
      <c r="BQ8" s="43">
        <f t="shared" ref="BQ8:BQ71" si="40">IF(BP9=1, "min",0)</f>
        <v>0</v>
      </c>
      <c r="BR8" s="35">
        <f t="shared" ref="BR8:BR71" si="41">IF($BP8=0,IF($BQ8="min",L8,0),0)</f>
        <v>0</v>
      </c>
      <c r="BS8" s="36">
        <f t="shared" ref="BS8:BS71" si="42">IF(BR8=0,0,M8)</f>
        <v>0</v>
      </c>
      <c r="BT8" s="35">
        <f t="shared" ref="BT8:BT71" si="43">IF(BR7=0,0,L8)</f>
        <v>0</v>
      </c>
      <c r="BU8" s="62">
        <f t="shared" ref="BU8:BU71" si="44">IF(BT8=0,0,M8)</f>
        <v>0</v>
      </c>
      <c r="BV8" s="61">
        <f t="shared" ref="BV8:BV71" si="45">IF($BA$4&gt;Q8,0,1)</f>
        <v>0</v>
      </c>
      <c r="BW8" s="43">
        <f t="shared" ref="BW8:BW71" si="46">IF(BV9=1, "min",0)</f>
        <v>0</v>
      </c>
      <c r="BX8" s="35">
        <f t="shared" ref="BX8:BX71" si="47">IF($BV8=0,IF($BW8="min",Q8,0),0)</f>
        <v>0</v>
      </c>
      <c r="BY8" s="36">
        <f t="shared" ref="BY8:BY71" si="48">IF(BX8=0,0,$R8)</f>
        <v>0</v>
      </c>
      <c r="BZ8" s="35">
        <f t="shared" ref="BZ8:BZ71" si="49">IF(BX7=0,0,Q8)</f>
        <v>0</v>
      </c>
      <c r="CA8" s="62">
        <f t="shared" ref="CA8:CA71" si="50">IF(BZ8=0,0,R8)</f>
        <v>0</v>
      </c>
      <c r="CB8" s="61">
        <f t="shared" ref="CB8:CB71" si="51">IF($BA$4&gt;V8,0,1)</f>
        <v>0</v>
      </c>
      <c r="CC8" s="43">
        <f t="shared" ref="CC8:CC71" si="52">IF(CB9=1, "min",0)</f>
        <v>0</v>
      </c>
      <c r="CD8" s="35">
        <f t="shared" ref="CD8:CD71" si="53">IF($CB8=0,IF($CC8="min",V8,0),0)</f>
        <v>0</v>
      </c>
      <c r="CE8" s="36">
        <f t="shared" ref="CE8:CE71" si="54">IF(CD8=0,0,$W8)</f>
        <v>0</v>
      </c>
      <c r="CF8" s="35">
        <f t="shared" ref="CF8:CF71" si="55">IF(CD7=0,0,V8)</f>
        <v>0</v>
      </c>
      <c r="CG8" s="62">
        <f t="shared" ref="CG8:CG71" si="56">IF(CF8=0,0,W8)</f>
        <v>0</v>
      </c>
      <c r="CH8" s="61">
        <f t="shared" ref="CH8:CH71" si="57">IF($BA$4&gt;AA8,0,1)</f>
        <v>0</v>
      </c>
      <c r="CI8" s="43">
        <f t="shared" ref="CI8:CI71" si="58">IF(CH9=1, "min",0)</f>
        <v>0</v>
      </c>
      <c r="CJ8" s="35">
        <f t="shared" ref="CJ8:CJ71" si="59">IF($CH8=0,IF($CI8="min",AA8,0),0)</f>
        <v>0</v>
      </c>
      <c r="CK8" s="36">
        <f t="shared" ref="CK8:CK71" si="60">IF(CJ8=0,0,$AB8)</f>
        <v>0</v>
      </c>
      <c r="CL8" s="35">
        <f t="shared" ref="CL8:CL71" si="61">IF(CJ7=0,0,AA8)</f>
        <v>0</v>
      </c>
      <c r="CM8" s="62">
        <f t="shared" ref="CM8:CM71" si="62">IF(CL8=0,0,AB8)</f>
        <v>0</v>
      </c>
      <c r="CN8" s="61">
        <f t="shared" ref="CN8:CN71" si="63">IF($BA$4&gt;AF8,0,1)</f>
        <v>0</v>
      </c>
      <c r="CO8" s="43">
        <f t="shared" ref="CO8:CO71" si="64">IF(CN9=1, "min",0)</f>
        <v>0</v>
      </c>
      <c r="CP8" s="35">
        <f t="shared" ref="CP8:CP71" si="65">IF($CN8=0,IF($CO8="min",AF8,0),0)</f>
        <v>0</v>
      </c>
      <c r="CQ8" s="36">
        <f t="shared" ref="CQ8:CQ71" si="66">IF(CP8=0,0,$AG8)</f>
        <v>0</v>
      </c>
      <c r="CR8" s="35">
        <f t="shared" ref="CR8:CR71" si="67">IF(CP7=0,0,AF8)</f>
        <v>0</v>
      </c>
      <c r="CS8" s="62">
        <f t="shared" ref="CS8:CS71" si="68">IF(CR8=0,0,AG8)</f>
        <v>0</v>
      </c>
      <c r="CT8" s="61">
        <f t="shared" ref="CT8:CT71" si="69">IF($BA$4&gt;AK8,0,1)</f>
        <v>0</v>
      </c>
      <c r="CU8" s="43">
        <f t="shared" ref="CU8:CU71" si="70">IF(CT9=1, "min",0)</f>
        <v>0</v>
      </c>
      <c r="CV8" s="35">
        <f t="shared" ref="CV8:CV71" si="71">IF($CT8=0,IF($CU8="min",AK8,0),0)</f>
        <v>0</v>
      </c>
      <c r="CW8" s="36">
        <f t="shared" ref="CW8:CW71" si="72">IF(CV8=0,0,$AL8)</f>
        <v>0</v>
      </c>
      <c r="CX8" s="35">
        <f t="shared" si="6"/>
        <v>0</v>
      </c>
      <c r="CY8" s="62">
        <f t="shared" ref="CY8:CY71" si="73">IF(CX8=0,0,AL8)</f>
        <v>0</v>
      </c>
      <c r="CZ8" s="61">
        <f t="shared" ref="CZ8:CZ71" si="74">IF($BA$4&gt;AP8,0,1)</f>
        <v>0</v>
      </c>
      <c r="DA8" s="43">
        <f t="shared" ref="DA8:DA71" si="75">IF(CZ9=1, "min",0)</f>
        <v>0</v>
      </c>
      <c r="DB8" s="35">
        <f t="shared" ref="DB8:DB71" si="76">IF($CZ8=0,IF($DA8="min",AP8,0),0)</f>
        <v>0</v>
      </c>
      <c r="DC8" s="36">
        <f t="shared" ref="DC8:DC71" si="77">IF(DB8=0,0,$AQ8)</f>
        <v>0</v>
      </c>
      <c r="DD8" s="35">
        <f t="shared" ref="DD8:DD71" si="78">IF(DB7=0,0,AP8)</f>
        <v>0</v>
      </c>
      <c r="DE8" s="62">
        <f t="shared" si="7"/>
        <v>0</v>
      </c>
      <c r="DF8" s="61">
        <f t="shared" ref="DF8:DF71" si="79">IF($BA$4&gt;AU8,0,1)</f>
        <v>0</v>
      </c>
      <c r="DG8" s="43">
        <f t="shared" ref="DG8:DG71" si="80">IF(DF9=1, "min",0)</f>
        <v>0</v>
      </c>
      <c r="DH8" s="35">
        <f t="shared" ref="DH8:DH71" si="81">IF($DF8=0,IF($DG8="min",AU8,0),0)</f>
        <v>0</v>
      </c>
      <c r="DI8" s="36">
        <f t="shared" ref="DI8:DI71" si="82">IF(DH8=0,0,$AV8)</f>
        <v>0</v>
      </c>
      <c r="DJ8" s="35">
        <f t="shared" ref="DJ8:DJ71" si="83">IF(DH7=0,0,AU8)</f>
        <v>0</v>
      </c>
      <c r="DK8" s="62">
        <f t="shared" ref="DK8:DK71" si="84">IF(DJ8=0,0,AV8)</f>
        <v>0</v>
      </c>
    </row>
    <row r="9" spans="2:115" x14ac:dyDescent="0.3">
      <c r="B9" s="1">
        <v>0.10982599999999999</v>
      </c>
      <c r="C9" s="1">
        <v>2.4369540000000001</v>
      </c>
      <c r="D9">
        <f t="shared" ref="D9:D72" si="85">C9*C$2</f>
        <v>22821.093727389813</v>
      </c>
      <c r="E9" s="4">
        <f t="shared" si="8"/>
        <v>0.15774879341910286</v>
      </c>
      <c r="G9" s="1">
        <v>0.10818999999999999</v>
      </c>
      <c r="H9" s="1">
        <v>2.5055320000000001</v>
      </c>
      <c r="I9">
        <f t="shared" si="9"/>
        <v>22919.112760179378</v>
      </c>
      <c r="J9" s="4">
        <f t="shared" si="10"/>
        <v>0.15707414321268098</v>
      </c>
      <c r="L9" s="1">
        <v>0.107572</v>
      </c>
      <c r="M9" s="1">
        <v>2.4696030000000002</v>
      </c>
      <c r="N9">
        <f t="shared" si="11"/>
        <v>22651.441520452074</v>
      </c>
      <c r="O9" s="4">
        <f t="shared" si="12"/>
        <v>0.1589302825054002</v>
      </c>
      <c r="Q9" s="1">
        <v>0.107055</v>
      </c>
      <c r="R9" s="1">
        <v>2.504016</v>
      </c>
      <c r="S9">
        <f t="shared" si="13"/>
        <v>22967.080939841875</v>
      </c>
      <c r="T9" s="4">
        <f t="shared" si="14"/>
        <v>0.15674608407701224</v>
      </c>
      <c r="V9" s="1">
        <v>0.107695</v>
      </c>
      <c r="W9" s="1">
        <v>2.505528</v>
      </c>
      <c r="X9">
        <f t="shared" si="15"/>
        <v>23117.013186234457</v>
      </c>
      <c r="Y9" s="4">
        <f t="shared" si="16"/>
        <v>0.15572946085196251</v>
      </c>
      <c r="AA9" s="1">
        <v>0.111124</v>
      </c>
      <c r="AB9" s="1">
        <v>2.5015640000000001</v>
      </c>
      <c r="AC9">
        <f t="shared" si="17"/>
        <v>23199.498455198227</v>
      </c>
      <c r="AD9" s="4">
        <f t="shared" si="18"/>
        <v>0.15517576843103525</v>
      </c>
      <c r="AF9" s="1">
        <v>0.115136</v>
      </c>
      <c r="AG9" s="1">
        <v>2.4929389999999998</v>
      </c>
      <c r="AH9">
        <f t="shared" si="19"/>
        <v>23284.300747519188</v>
      </c>
      <c r="AI9" s="4">
        <f t="shared" si="20"/>
        <v>0.15461061249106053</v>
      </c>
      <c r="AK9" s="1">
        <v>0.118964</v>
      </c>
      <c r="AL9" s="1">
        <v>2.4821759999999999</v>
      </c>
      <c r="AM9">
        <f t="shared" si="21"/>
        <v>23333.199052799999</v>
      </c>
      <c r="AN9" s="4">
        <f t="shared" si="22"/>
        <v>0.15428660218659548</v>
      </c>
      <c r="AP9" s="1">
        <v>0.122917</v>
      </c>
      <c r="AQ9" s="1">
        <v>2.4359160000000002</v>
      </c>
      <c r="AR9">
        <f t="shared" si="23"/>
        <v>23050.821228682991</v>
      </c>
      <c r="AS9" s="4">
        <f t="shared" si="24"/>
        <v>0.15617664829747524</v>
      </c>
      <c r="AU9" s="1">
        <v>0.12853500000000001</v>
      </c>
      <c r="AV9" s="1">
        <v>2.378692</v>
      </c>
      <c r="AW9">
        <f t="shared" si="25"/>
        <v>22761.69847634279</v>
      </c>
      <c r="AX9" s="4">
        <f t="shared" si="26"/>
        <v>0.15816042918509068</v>
      </c>
      <c r="BD9" s="61">
        <f t="shared" si="27"/>
        <v>0</v>
      </c>
      <c r="BE9" s="43">
        <f t="shared" si="28"/>
        <v>0</v>
      </c>
      <c r="BF9" s="35">
        <f t="shared" si="29"/>
        <v>0</v>
      </c>
      <c r="BG9" s="36">
        <f t="shared" si="30"/>
        <v>0</v>
      </c>
      <c r="BH9" s="35">
        <f t="shared" si="31"/>
        <v>0</v>
      </c>
      <c r="BI9" s="62">
        <f t="shared" si="32"/>
        <v>0</v>
      </c>
      <c r="BJ9" s="61">
        <f t="shared" si="33"/>
        <v>0</v>
      </c>
      <c r="BK9" s="43">
        <f t="shared" si="34"/>
        <v>0</v>
      </c>
      <c r="BL9" s="35">
        <f t="shared" si="35"/>
        <v>0</v>
      </c>
      <c r="BM9" s="36">
        <f t="shared" si="36"/>
        <v>0</v>
      </c>
      <c r="BN9" s="35">
        <f t="shared" si="37"/>
        <v>0</v>
      </c>
      <c r="BO9" s="62">
        <f t="shared" si="38"/>
        <v>0</v>
      </c>
      <c r="BP9" s="61">
        <f t="shared" si="39"/>
        <v>0</v>
      </c>
      <c r="BQ9" s="43">
        <f t="shared" si="40"/>
        <v>0</v>
      </c>
      <c r="BR9" s="35">
        <f t="shared" si="41"/>
        <v>0</v>
      </c>
      <c r="BS9" s="36">
        <f t="shared" si="42"/>
        <v>0</v>
      </c>
      <c r="BT9" s="35">
        <f t="shared" si="43"/>
        <v>0</v>
      </c>
      <c r="BU9" s="62">
        <f t="shared" si="44"/>
        <v>0</v>
      </c>
      <c r="BV9" s="61">
        <f t="shared" si="45"/>
        <v>0</v>
      </c>
      <c r="BW9" s="43">
        <f t="shared" si="46"/>
        <v>0</v>
      </c>
      <c r="BX9" s="35">
        <f t="shared" si="47"/>
        <v>0</v>
      </c>
      <c r="BY9" s="36">
        <f t="shared" si="48"/>
        <v>0</v>
      </c>
      <c r="BZ9" s="35">
        <f t="shared" si="49"/>
        <v>0</v>
      </c>
      <c r="CA9" s="62">
        <f t="shared" si="50"/>
        <v>0</v>
      </c>
      <c r="CB9" s="61">
        <f t="shared" si="51"/>
        <v>0</v>
      </c>
      <c r="CC9" s="43">
        <f t="shared" si="52"/>
        <v>0</v>
      </c>
      <c r="CD9" s="35">
        <f t="shared" si="53"/>
        <v>0</v>
      </c>
      <c r="CE9" s="36">
        <f t="shared" si="54"/>
        <v>0</v>
      </c>
      <c r="CF9" s="35">
        <f t="shared" si="55"/>
        <v>0</v>
      </c>
      <c r="CG9" s="62">
        <f t="shared" si="56"/>
        <v>0</v>
      </c>
      <c r="CH9" s="61">
        <f t="shared" si="57"/>
        <v>0</v>
      </c>
      <c r="CI9" s="43">
        <f t="shared" si="58"/>
        <v>0</v>
      </c>
      <c r="CJ9" s="35">
        <f t="shared" si="59"/>
        <v>0</v>
      </c>
      <c r="CK9" s="36">
        <f t="shared" si="60"/>
        <v>0</v>
      </c>
      <c r="CL9" s="35">
        <f t="shared" si="61"/>
        <v>0</v>
      </c>
      <c r="CM9" s="62">
        <f t="shared" si="62"/>
        <v>0</v>
      </c>
      <c r="CN9" s="61">
        <f t="shared" si="63"/>
        <v>0</v>
      </c>
      <c r="CO9" s="43">
        <f t="shared" si="64"/>
        <v>0</v>
      </c>
      <c r="CP9" s="35">
        <f t="shared" si="65"/>
        <v>0</v>
      </c>
      <c r="CQ9" s="36">
        <f t="shared" si="66"/>
        <v>0</v>
      </c>
      <c r="CR9" s="35">
        <f t="shared" si="67"/>
        <v>0</v>
      </c>
      <c r="CS9" s="62">
        <f t="shared" si="68"/>
        <v>0</v>
      </c>
      <c r="CT9" s="61">
        <f t="shared" si="69"/>
        <v>0</v>
      </c>
      <c r="CU9" s="43">
        <f t="shared" si="70"/>
        <v>0</v>
      </c>
      <c r="CV9" s="35">
        <f t="shared" si="71"/>
        <v>0</v>
      </c>
      <c r="CW9" s="36">
        <f t="shared" si="72"/>
        <v>0</v>
      </c>
      <c r="CX9" s="35">
        <f t="shared" si="6"/>
        <v>0</v>
      </c>
      <c r="CY9" s="62">
        <f t="shared" si="73"/>
        <v>0</v>
      </c>
      <c r="CZ9" s="61">
        <f t="shared" si="74"/>
        <v>0</v>
      </c>
      <c r="DA9" s="43">
        <f t="shared" si="75"/>
        <v>0</v>
      </c>
      <c r="DB9" s="35">
        <f t="shared" si="76"/>
        <v>0</v>
      </c>
      <c r="DC9" s="36">
        <f t="shared" si="77"/>
        <v>0</v>
      </c>
      <c r="DD9" s="35">
        <f t="shared" si="78"/>
        <v>0</v>
      </c>
      <c r="DE9" s="62">
        <f t="shared" si="7"/>
        <v>0</v>
      </c>
      <c r="DF9" s="61">
        <f t="shared" si="79"/>
        <v>0</v>
      </c>
      <c r="DG9" s="43">
        <f t="shared" si="80"/>
        <v>0</v>
      </c>
      <c r="DH9" s="35">
        <f t="shared" si="81"/>
        <v>0</v>
      </c>
      <c r="DI9" s="36">
        <f t="shared" si="82"/>
        <v>0</v>
      </c>
      <c r="DJ9" s="35">
        <f t="shared" si="83"/>
        <v>0</v>
      </c>
      <c r="DK9" s="62">
        <f t="shared" si="84"/>
        <v>0</v>
      </c>
    </row>
    <row r="10" spans="2:115" x14ac:dyDescent="0.3">
      <c r="B10" s="1">
        <v>0.124112</v>
      </c>
      <c r="C10" s="1">
        <v>2.2802579999999999</v>
      </c>
      <c r="D10">
        <f t="shared" si="85"/>
        <v>21353.698732364435</v>
      </c>
      <c r="E10" s="4">
        <f t="shared" si="8"/>
        <v>0.16858906014927103</v>
      </c>
      <c r="G10" s="1">
        <v>0.122264</v>
      </c>
      <c r="H10" s="1">
        <v>2.3057810000000001</v>
      </c>
      <c r="I10">
        <f t="shared" si="9"/>
        <v>21091.909717887924</v>
      </c>
      <c r="J10" s="4">
        <f t="shared" si="10"/>
        <v>0.1706815574384363</v>
      </c>
      <c r="L10" s="1">
        <v>0.12156500000000001</v>
      </c>
      <c r="M10" s="1">
        <v>2.3407650000000002</v>
      </c>
      <c r="N10">
        <f t="shared" si="11"/>
        <v>21469.72671746066</v>
      </c>
      <c r="O10" s="4">
        <f t="shared" si="12"/>
        <v>0.16767796103674817</v>
      </c>
      <c r="Q10" s="1">
        <v>0.12098100000000001</v>
      </c>
      <c r="R10" s="1">
        <v>2.3419460000000001</v>
      </c>
      <c r="S10">
        <f t="shared" si="13"/>
        <v>21480.558965573273</v>
      </c>
      <c r="T10" s="4">
        <f t="shared" si="14"/>
        <v>0.16759340414603233</v>
      </c>
      <c r="V10" s="1">
        <v>0.12170499999999999</v>
      </c>
      <c r="W10" s="1">
        <v>2.3436659999999998</v>
      </c>
      <c r="X10">
        <f t="shared" si="15"/>
        <v>21623.609006217197</v>
      </c>
      <c r="Y10" s="4">
        <f t="shared" si="16"/>
        <v>0.16648469730306961</v>
      </c>
      <c r="AA10" s="1">
        <v>0.125579</v>
      </c>
      <c r="AB10" s="1">
        <v>2.33995</v>
      </c>
      <c r="AC10">
        <f t="shared" si="17"/>
        <v>21700.690612049537</v>
      </c>
      <c r="AD10" s="4">
        <f t="shared" si="18"/>
        <v>0.16589333788303778</v>
      </c>
      <c r="AF10" s="1">
        <v>0.13011400000000001</v>
      </c>
      <c r="AG10" s="1">
        <v>2.3253499999999998</v>
      </c>
      <c r="AH10">
        <f t="shared" si="19"/>
        <v>21719.002648377576</v>
      </c>
      <c r="AI10" s="4">
        <f t="shared" si="20"/>
        <v>0.16575346751794434</v>
      </c>
      <c r="AK10" s="1">
        <v>0.134439</v>
      </c>
      <c r="AL10" s="1">
        <v>2.281183</v>
      </c>
      <c r="AM10">
        <f t="shared" si="21"/>
        <v>21443.804554899998</v>
      </c>
      <c r="AN10" s="4">
        <f t="shared" si="22"/>
        <v>0.16788065712795283</v>
      </c>
      <c r="AP10" s="1">
        <v>0.138907</v>
      </c>
      <c r="AQ10" s="1">
        <v>2.2369119999999998</v>
      </c>
      <c r="AR10">
        <f t="shared" si="23"/>
        <v>21167.666954154298</v>
      </c>
      <c r="AS10" s="4">
        <f t="shared" si="24"/>
        <v>0.1700707030112015</v>
      </c>
      <c r="AU10" s="1">
        <v>0.145255</v>
      </c>
      <c r="AV10" s="1">
        <v>2.1831119999999999</v>
      </c>
      <c r="AW10">
        <f t="shared" si="25"/>
        <v>20890.193889787184</v>
      </c>
      <c r="AX10" s="4">
        <f t="shared" si="26"/>
        <v>0.17232965950402074</v>
      </c>
      <c r="AZ10" s="56"/>
      <c r="BA10" s="56"/>
      <c r="BB10" s="56"/>
      <c r="BD10" s="61">
        <f t="shared" si="27"/>
        <v>0</v>
      </c>
      <c r="BE10" s="43">
        <f t="shared" si="28"/>
        <v>0</v>
      </c>
      <c r="BF10" s="35">
        <f t="shared" si="29"/>
        <v>0</v>
      </c>
      <c r="BG10" s="36">
        <f t="shared" si="30"/>
        <v>0</v>
      </c>
      <c r="BH10" s="35">
        <f t="shared" si="31"/>
        <v>0</v>
      </c>
      <c r="BI10" s="62">
        <f t="shared" si="32"/>
        <v>0</v>
      </c>
      <c r="BJ10" s="61">
        <f t="shared" si="33"/>
        <v>0</v>
      </c>
      <c r="BK10" s="43">
        <f t="shared" si="34"/>
        <v>0</v>
      </c>
      <c r="BL10" s="35">
        <f t="shared" si="35"/>
        <v>0</v>
      </c>
      <c r="BM10" s="36">
        <f t="shared" si="36"/>
        <v>0</v>
      </c>
      <c r="BN10" s="35">
        <f t="shared" si="37"/>
        <v>0</v>
      </c>
      <c r="BO10" s="62">
        <f t="shared" si="38"/>
        <v>0</v>
      </c>
      <c r="BP10" s="61">
        <f t="shared" si="39"/>
        <v>0</v>
      </c>
      <c r="BQ10" s="43">
        <f t="shared" si="40"/>
        <v>0</v>
      </c>
      <c r="BR10" s="35">
        <f t="shared" si="41"/>
        <v>0</v>
      </c>
      <c r="BS10" s="36">
        <f t="shared" si="42"/>
        <v>0</v>
      </c>
      <c r="BT10" s="35">
        <f t="shared" si="43"/>
        <v>0</v>
      </c>
      <c r="BU10" s="62">
        <f t="shared" si="44"/>
        <v>0</v>
      </c>
      <c r="BV10" s="61">
        <f t="shared" si="45"/>
        <v>0</v>
      </c>
      <c r="BW10" s="43">
        <f t="shared" si="46"/>
        <v>0</v>
      </c>
      <c r="BX10" s="35">
        <f t="shared" si="47"/>
        <v>0</v>
      </c>
      <c r="BY10" s="36">
        <f t="shared" si="48"/>
        <v>0</v>
      </c>
      <c r="BZ10" s="35">
        <f t="shared" si="49"/>
        <v>0</v>
      </c>
      <c r="CA10" s="62">
        <f t="shared" si="50"/>
        <v>0</v>
      </c>
      <c r="CB10" s="61">
        <f t="shared" si="51"/>
        <v>0</v>
      </c>
      <c r="CC10" s="43">
        <f t="shared" si="52"/>
        <v>0</v>
      </c>
      <c r="CD10" s="35">
        <f t="shared" si="53"/>
        <v>0</v>
      </c>
      <c r="CE10" s="36">
        <f t="shared" si="54"/>
        <v>0</v>
      </c>
      <c r="CF10" s="35">
        <f t="shared" si="55"/>
        <v>0</v>
      </c>
      <c r="CG10" s="62">
        <f t="shared" si="56"/>
        <v>0</v>
      </c>
      <c r="CH10" s="61">
        <f t="shared" si="57"/>
        <v>0</v>
      </c>
      <c r="CI10" s="43">
        <f t="shared" si="58"/>
        <v>0</v>
      </c>
      <c r="CJ10" s="35">
        <f t="shared" si="59"/>
        <v>0</v>
      </c>
      <c r="CK10" s="36">
        <f t="shared" si="60"/>
        <v>0</v>
      </c>
      <c r="CL10" s="35">
        <f t="shared" si="61"/>
        <v>0</v>
      </c>
      <c r="CM10" s="62">
        <f t="shared" si="62"/>
        <v>0</v>
      </c>
      <c r="CN10" s="61">
        <f t="shared" si="63"/>
        <v>0</v>
      </c>
      <c r="CO10" s="43">
        <f t="shared" si="64"/>
        <v>0</v>
      </c>
      <c r="CP10" s="35">
        <f t="shared" si="65"/>
        <v>0</v>
      </c>
      <c r="CQ10" s="36">
        <f t="shared" si="66"/>
        <v>0</v>
      </c>
      <c r="CR10" s="35">
        <f t="shared" si="67"/>
        <v>0</v>
      </c>
      <c r="CS10" s="62">
        <f t="shared" si="68"/>
        <v>0</v>
      </c>
      <c r="CT10" s="61">
        <f t="shared" si="69"/>
        <v>0</v>
      </c>
      <c r="CU10" s="43">
        <f t="shared" si="70"/>
        <v>0</v>
      </c>
      <c r="CV10" s="35">
        <f t="shared" si="71"/>
        <v>0</v>
      </c>
      <c r="CW10" s="36">
        <f t="shared" si="72"/>
        <v>0</v>
      </c>
      <c r="CX10" s="35">
        <f t="shared" si="6"/>
        <v>0</v>
      </c>
      <c r="CY10" s="62">
        <f t="shared" si="73"/>
        <v>0</v>
      </c>
      <c r="CZ10" s="61">
        <f t="shared" si="74"/>
        <v>0</v>
      </c>
      <c r="DA10" s="43">
        <f t="shared" si="75"/>
        <v>0</v>
      </c>
      <c r="DB10" s="35">
        <f t="shared" si="76"/>
        <v>0</v>
      </c>
      <c r="DC10" s="36">
        <f t="shared" si="77"/>
        <v>0</v>
      </c>
      <c r="DD10" s="35">
        <f t="shared" si="78"/>
        <v>0</v>
      </c>
      <c r="DE10" s="62">
        <f t="shared" si="7"/>
        <v>0</v>
      </c>
      <c r="DF10" s="61">
        <f t="shared" si="79"/>
        <v>0</v>
      </c>
      <c r="DG10" s="43">
        <f t="shared" si="80"/>
        <v>0</v>
      </c>
      <c r="DH10" s="35">
        <f t="shared" si="81"/>
        <v>0</v>
      </c>
      <c r="DI10" s="36">
        <f t="shared" si="82"/>
        <v>0</v>
      </c>
      <c r="DJ10" s="35">
        <f t="shared" si="83"/>
        <v>0</v>
      </c>
      <c r="DK10" s="62">
        <f t="shared" si="84"/>
        <v>0</v>
      </c>
    </row>
    <row r="11" spans="2:115" x14ac:dyDescent="0.3">
      <c r="B11" s="1">
        <v>0.13836999999999999</v>
      </c>
      <c r="C11" s="1">
        <v>2.120069</v>
      </c>
      <c r="D11">
        <f t="shared" si="85"/>
        <v>19853.593197710583</v>
      </c>
      <c r="E11" s="4">
        <f t="shared" si="8"/>
        <v>0.18132737807960797</v>
      </c>
      <c r="G11" s="1">
        <v>0.13630999999999999</v>
      </c>
      <c r="H11" s="1">
        <v>2.2082229999999998</v>
      </c>
      <c r="I11">
        <f t="shared" si="9"/>
        <v>20199.507304884384</v>
      </c>
      <c r="J11" s="4">
        <f t="shared" si="10"/>
        <v>0.17822216877188357</v>
      </c>
      <c r="L11" s="1">
        <v>0.13553000000000001</v>
      </c>
      <c r="M11" s="1">
        <v>2.2097579999999999</v>
      </c>
      <c r="N11">
        <f t="shared" si="11"/>
        <v>20268.117633219237</v>
      </c>
      <c r="O11" s="4">
        <f t="shared" si="12"/>
        <v>0.1776188625479278</v>
      </c>
      <c r="Q11" s="1">
        <v>0.134879</v>
      </c>
      <c r="R11" s="1">
        <v>2.210518</v>
      </c>
      <c r="S11">
        <f t="shared" si="13"/>
        <v>20275.088427940307</v>
      </c>
      <c r="T11" s="4">
        <f t="shared" si="14"/>
        <v>0.17755779526164633</v>
      </c>
      <c r="V11" s="1">
        <v>0.135686</v>
      </c>
      <c r="W11" s="1">
        <v>2.2116319999999998</v>
      </c>
      <c r="X11">
        <f t="shared" si="15"/>
        <v>20405.410000246688</v>
      </c>
      <c r="Y11" s="4">
        <f t="shared" si="16"/>
        <v>0.17642380133290528</v>
      </c>
      <c r="AA11" s="1">
        <v>0.14000599999999999</v>
      </c>
      <c r="AB11" s="1">
        <v>2.2016610000000001</v>
      </c>
      <c r="AC11">
        <f t="shared" si="17"/>
        <v>20418.198762202439</v>
      </c>
      <c r="AD11" s="4">
        <f t="shared" si="18"/>
        <v>0.17631329981292046</v>
      </c>
      <c r="AF11" s="1">
        <v>0.145061</v>
      </c>
      <c r="AG11" s="1">
        <v>2.1582750000000002</v>
      </c>
      <c r="AH11">
        <f t="shared" si="19"/>
        <v>20158.505360882071</v>
      </c>
      <c r="AI11" s="4">
        <f t="shared" si="20"/>
        <v>0.17858466863251987</v>
      </c>
      <c r="AK11" s="1">
        <v>0.14988399999999999</v>
      </c>
      <c r="AL11" s="1">
        <v>2.1166559999999999</v>
      </c>
      <c r="AM11">
        <f t="shared" si="21"/>
        <v>19897.201396799996</v>
      </c>
      <c r="AN11" s="4">
        <f t="shared" si="22"/>
        <v>0.18092996739626793</v>
      </c>
      <c r="AP11" s="1">
        <v>0.154864</v>
      </c>
      <c r="AQ11" s="1">
        <v>2.074176</v>
      </c>
      <c r="AR11">
        <f t="shared" si="23"/>
        <v>19627.713013430992</v>
      </c>
      <c r="AS11" s="4">
        <f t="shared" si="24"/>
        <v>0.18341413477650537</v>
      </c>
      <c r="AU11" s="1">
        <v>0.161942</v>
      </c>
      <c r="AV11" s="1">
        <v>2.0234719999999999</v>
      </c>
      <c r="AW11">
        <f t="shared" si="25"/>
        <v>19362.599083581354</v>
      </c>
      <c r="AX11" s="4">
        <f t="shared" si="26"/>
        <v>0.18592545269672212</v>
      </c>
      <c r="AZ11" s="56"/>
      <c r="BA11" s="77"/>
      <c r="BB11" s="56"/>
      <c r="BD11" s="61">
        <f t="shared" si="27"/>
        <v>0</v>
      </c>
      <c r="BE11" s="43">
        <f t="shared" si="28"/>
        <v>0</v>
      </c>
      <c r="BF11" s="35">
        <f t="shared" si="29"/>
        <v>0</v>
      </c>
      <c r="BG11" s="36">
        <f t="shared" si="30"/>
        <v>0</v>
      </c>
      <c r="BH11" s="35">
        <f t="shared" si="31"/>
        <v>0</v>
      </c>
      <c r="BI11" s="62">
        <f t="shared" si="32"/>
        <v>0</v>
      </c>
      <c r="BJ11" s="61">
        <f t="shared" si="33"/>
        <v>0</v>
      </c>
      <c r="BK11" s="43">
        <f t="shared" si="34"/>
        <v>0</v>
      </c>
      <c r="BL11" s="35">
        <f t="shared" si="35"/>
        <v>0</v>
      </c>
      <c r="BM11" s="36">
        <f t="shared" si="36"/>
        <v>0</v>
      </c>
      <c r="BN11" s="35">
        <f t="shared" si="37"/>
        <v>0</v>
      </c>
      <c r="BO11" s="62">
        <f t="shared" si="38"/>
        <v>0</v>
      </c>
      <c r="BP11" s="61">
        <f t="shared" si="39"/>
        <v>0</v>
      </c>
      <c r="BQ11" s="43">
        <f t="shared" si="40"/>
        <v>0</v>
      </c>
      <c r="BR11" s="35">
        <f t="shared" si="41"/>
        <v>0</v>
      </c>
      <c r="BS11" s="36">
        <f t="shared" si="42"/>
        <v>0</v>
      </c>
      <c r="BT11" s="35">
        <f t="shared" si="43"/>
        <v>0</v>
      </c>
      <c r="BU11" s="62">
        <f t="shared" si="44"/>
        <v>0</v>
      </c>
      <c r="BV11" s="61">
        <f t="shared" si="45"/>
        <v>0</v>
      </c>
      <c r="BW11" s="43">
        <f t="shared" si="46"/>
        <v>0</v>
      </c>
      <c r="BX11" s="35">
        <f t="shared" si="47"/>
        <v>0</v>
      </c>
      <c r="BY11" s="36">
        <f t="shared" si="48"/>
        <v>0</v>
      </c>
      <c r="BZ11" s="35">
        <f t="shared" si="49"/>
        <v>0</v>
      </c>
      <c r="CA11" s="62">
        <f t="shared" si="50"/>
        <v>0</v>
      </c>
      <c r="CB11" s="61">
        <f t="shared" si="51"/>
        <v>0</v>
      </c>
      <c r="CC11" s="43">
        <f t="shared" si="52"/>
        <v>0</v>
      </c>
      <c r="CD11" s="35">
        <f t="shared" si="53"/>
        <v>0</v>
      </c>
      <c r="CE11" s="36">
        <f t="shared" si="54"/>
        <v>0</v>
      </c>
      <c r="CF11" s="35">
        <f t="shared" si="55"/>
        <v>0</v>
      </c>
      <c r="CG11" s="62">
        <f t="shared" si="56"/>
        <v>0</v>
      </c>
      <c r="CH11" s="61">
        <f t="shared" si="57"/>
        <v>0</v>
      </c>
      <c r="CI11" s="43">
        <f t="shared" si="58"/>
        <v>0</v>
      </c>
      <c r="CJ11" s="35">
        <f t="shared" si="59"/>
        <v>0</v>
      </c>
      <c r="CK11" s="36">
        <f t="shared" si="60"/>
        <v>0</v>
      </c>
      <c r="CL11" s="35">
        <f t="shared" si="61"/>
        <v>0</v>
      </c>
      <c r="CM11" s="62">
        <f t="shared" si="62"/>
        <v>0</v>
      </c>
      <c r="CN11" s="61">
        <f t="shared" si="63"/>
        <v>0</v>
      </c>
      <c r="CO11" s="43">
        <f t="shared" si="64"/>
        <v>0</v>
      </c>
      <c r="CP11" s="35">
        <f t="shared" si="65"/>
        <v>0</v>
      </c>
      <c r="CQ11" s="36">
        <f t="shared" si="66"/>
        <v>0</v>
      </c>
      <c r="CR11" s="35">
        <f t="shared" si="67"/>
        <v>0</v>
      </c>
      <c r="CS11" s="62">
        <f t="shared" si="68"/>
        <v>0</v>
      </c>
      <c r="CT11" s="61">
        <f t="shared" si="69"/>
        <v>0</v>
      </c>
      <c r="CU11" s="43">
        <f t="shared" si="70"/>
        <v>0</v>
      </c>
      <c r="CV11" s="35">
        <f t="shared" si="71"/>
        <v>0</v>
      </c>
      <c r="CW11" s="36">
        <f t="shared" si="72"/>
        <v>0</v>
      </c>
      <c r="CX11" s="35">
        <f t="shared" si="6"/>
        <v>0</v>
      </c>
      <c r="CY11" s="62">
        <f t="shared" si="73"/>
        <v>0</v>
      </c>
      <c r="CZ11" s="61">
        <f t="shared" si="74"/>
        <v>0</v>
      </c>
      <c r="DA11" s="43">
        <f t="shared" si="75"/>
        <v>0</v>
      </c>
      <c r="DB11" s="35">
        <f t="shared" si="76"/>
        <v>0</v>
      </c>
      <c r="DC11" s="36">
        <f t="shared" si="77"/>
        <v>0</v>
      </c>
      <c r="DD11" s="35">
        <f t="shared" si="78"/>
        <v>0</v>
      </c>
      <c r="DE11" s="62">
        <f t="shared" si="7"/>
        <v>0</v>
      </c>
      <c r="DF11" s="61">
        <f t="shared" si="79"/>
        <v>0</v>
      </c>
      <c r="DG11" s="43">
        <f t="shared" si="80"/>
        <v>0</v>
      </c>
      <c r="DH11" s="35">
        <f t="shared" si="81"/>
        <v>0</v>
      </c>
      <c r="DI11" s="36">
        <f t="shared" si="82"/>
        <v>0</v>
      </c>
      <c r="DJ11" s="35">
        <f t="shared" si="83"/>
        <v>0</v>
      </c>
      <c r="DK11" s="62">
        <f t="shared" si="84"/>
        <v>0</v>
      </c>
    </row>
    <row r="12" spans="2:115" x14ac:dyDescent="0.3">
      <c r="B12" s="1">
        <v>0.15262800000000001</v>
      </c>
      <c r="C12" s="1">
        <v>2.0429059999999999</v>
      </c>
      <c r="D12">
        <f t="shared" si="85"/>
        <v>19130.992748425702</v>
      </c>
      <c r="E12" s="4">
        <f t="shared" si="8"/>
        <v>0.18817632975665863</v>
      </c>
      <c r="G12" s="1">
        <v>0.15035499999999999</v>
      </c>
      <c r="H12" s="1">
        <v>2.0986289999999999</v>
      </c>
      <c r="I12">
        <f t="shared" si="9"/>
        <v>19197.0067405974</v>
      </c>
      <c r="J12" s="4">
        <f t="shared" si="10"/>
        <v>0.18752923560665322</v>
      </c>
      <c r="L12" s="1">
        <v>0.14949499999999999</v>
      </c>
      <c r="M12" s="1">
        <v>2.1002399999999999</v>
      </c>
      <c r="N12">
        <f t="shared" si="11"/>
        <v>19263.607769716127</v>
      </c>
      <c r="O12" s="4">
        <f t="shared" si="12"/>
        <v>0.186880881454588</v>
      </c>
      <c r="Q12" s="1">
        <v>0.14877799999999999</v>
      </c>
      <c r="R12" s="1">
        <v>2.101308</v>
      </c>
      <c r="S12">
        <f t="shared" si="13"/>
        <v>19273.403570718896</v>
      </c>
      <c r="T12" s="4">
        <f t="shared" si="14"/>
        <v>0.1867858983386462</v>
      </c>
      <c r="V12" s="1">
        <v>0.14966699999999999</v>
      </c>
      <c r="W12" s="1">
        <v>2.0989010000000001</v>
      </c>
      <c r="X12">
        <f t="shared" si="15"/>
        <v>19365.308267798519</v>
      </c>
      <c r="Y12" s="4">
        <f t="shared" si="16"/>
        <v>0.18589944194104244</v>
      </c>
      <c r="AA12" s="1">
        <v>0.15443200000000001</v>
      </c>
      <c r="AB12" s="1">
        <v>2.0624760000000002</v>
      </c>
      <c r="AC12">
        <f t="shared" si="17"/>
        <v>19127.39741053334</v>
      </c>
      <c r="AD12" s="4">
        <f t="shared" si="18"/>
        <v>0.18821170087768985</v>
      </c>
      <c r="AF12" s="1">
        <v>0.16000800000000001</v>
      </c>
      <c r="AG12" s="1">
        <v>2.020235</v>
      </c>
      <c r="AH12">
        <f t="shared" si="19"/>
        <v>18869.197890788517</v>
      </c>
      <c r="AI12" s="4">
        <f t="shared" si="20"/>
        <v>0.19078712411816046</v>
      </c>
      <c r="AK12" s="1">
        <v>0.165328</v>
      </c>
      <c r="AL12" s="1">
        <v>1.9797450000000001</v>
      </c>
      <c r="AM12">
        <f t="shared" si="21"/>
        <v>18610.1969235</v>
      </c>
      <c r="AN12" s="4">
        <f t="shared" si="22"/>
        <v>0.19344233781073564</v>
      </c>
      <c r="AP12" s="1">
        <v>0.170822</v>
      </c>
      <c r="AQ12" s="1">
        <v>1.9390339999999999</v>
      </c>
      <c r="AR12">
        <f t="shared" si="23"/>
        <v>18348.87824142462</v>
      </c>
      <c r="AS12" s="4">
        <f t="shared" si="24"/>
        <v>0.1961972798899827</v>
      </c>
      <c r="AU12" s="1">
        <v>0.17862900000000001</v>
      </c>
      <c r="AV12" s="1">
        <v>1.8912629999999999</v>
      </c>
      <c r="AW12">
        <f t="shared" si="25"/>
        <v>18097.491455582938</v>
      </c>
      <c r="AX12" s="4">
        <f t="shared" si="26"/>
        <v>0.19892259702597773</v>
      </c>
      <c r="AZ12" s="56"/>
      <c r="BA12" s="108"/>
      <c r="BB12" s="108"/>
      <c r="BD12" s="61">
        <f t="shared" si="27"/>
        <v>0</v>
      </c>
      <c r="BE12" s="43">
        <f t="shared" si="28"/>
        <v>0</v>
      </c>
      <c r="BF12" s="35">
        <f t="shared" si="29"/>
        <v>0</v>
      </c>
      <c r="BG12" s="36">
        <f t="shared" si="30"/>
        <v>0</v>
      </c>
      <c r="BH12" s="35">
        <f t="shared" si="31"/>
        <v>0</v>
      </c>
      <c r="BI12" s="62">
        <f t="shared" si="32"/>
        <v>0</v>
      </c>
      <c r="BJ12" s="61">
        <f t="shared" si="33"/>
        <v>0</v>
      </c>
      <c r="BK12" s="43">
        <f t="shared" si="34"/>
        <v>0</v>
      </c>
      <c r="BL12" s="35">
        <f t="shared" si="35"/>
        <v>0</v>
      </c>
      <c r="BM12" s="36">
        <f t="shared" si="36"/>
        <v>0</v>
      </c>
      <c r="BN12" s="35">
        <f t="shared" si="37"/>
        <v>0</v>
      </c>
      <c r="BO12" s="62">
        <f t="shared" si="38"/>
        <v>0</v>
      </c>
      <c r="BP12" s="61">
        <f t="shared" si="39"/>
        <v>0</v>
      </c>
      <c r="BQ12" s="43">
        <f t="shared" si="40"/>
        <v>0</v>
      </c>
      <c r="BR12" s="35">
        <f t="shared" si="41"/>
        <v>0</v>
      </c>
      <c r="BS12" s="36">
        <f t="shared" si="42"/>
        <v>0</v>
      </c>
      <c r="BT12" s="35">
        <f t="shared" si="43"/>
        <v>0</v>
      </c>
      <c r="BU12" s="62">
        <f t="shared" si="44"/>
        <v>0</v>
      </c>
      <c r="BV12" s="61">
        <f t="shared" si="45"/>
        <v>0</v>
      </c>
      <c r="BW12" s="43">
        <f t="shared" si="46"/>
        <v>0</v>
      </c>
      <c r="BX12" s="35">
        <f t="shared" si="47"/>
        <v>0</v>
      </c>
      <c r="BY12" s="36">
        <f t="shared" si="48"/>
        <v>0</v>
      </c>
      <c r="BZ12" s="35">
        <f t="shared" si="49"/>
        <v>0</v>
      </c>
      <c r="CA12" s="62">
        <f t="shared" si="50"/>
        <v>0</v>
      </c>
      <c r="CB12" s="61">
        <f t="shared" si="51"/>
        <v>0</v>
      </c>
      <c r="CC12" s="43">
        <f t="shared" si="52"/>
        <v>0</v>
      </c>
      <c r="CD12" s="35">
        <f t="shared" si="53"/>
        <v>0</v>
      </c>
      <c r="CE12" s="36">
        <f t="shared" si="54"/>
        <v>0</v>
      </c>
      <c r="CF12" s="35">
        <f t="shared" si="55"/>
        <v>0</v>
      </c>
      <c r="CG12" s="62">
        <f t="shared" si="56"/>
        <v>0</v>
      </c>
      <c r="CH12" s="61">
        <f t="shared" si="57"/>
        <v>0</v>
      </c>
      <c r="CI12" s="43">
        <f t="shared" si="58"/>
        <v>0</v>
      </c>
      <c r="CJ12" s="35">
        <f t="shared" si="59"/>
        <v>0</v>
      </c>
      <c r="CK12" s="36">
        <f t="shared" si="60"/>
        <v>0</v>
      </c>
      <c r="CL12" s="35">
        <f t="shared" si="61"/>
        <v>0</v>
      </c>
      <c r="CM12" s="62">
        <f t="shared" si="62"/>
        <v>0</v>
      </c>
      <c r="CN12" s="61">
        <f t="shared" si="63"/>
        <v>0</v>
      </c>
      <c r="CO12" s="43">
        <f t="shared" si="64"/>
        <v>0</v>
      </c>
      <c r="CP12" s="35">
        <f t="shared" si="65"/>
        <v>0</v>
      </c>
      <c r="CQ12" s="36">
        <f t="shared" si="66"/>
        <v>0</v>
      </c>
      <c r="CR12" s="35">
        <f t="shared" si="67"/>
        <v>0</v>
      </c>
      <c r="CS12" s="62">
        <f t="shared" si="68"/>
        <v>0</v>
      </c>
      <c r="CT12" s="61">
        <f t="shared" si="69"/>
        <v>0</v>
      </c>
      <c r="CU12" s="43">
        <f t="shared" si="70"/>
        <v>0</v>
      </c>
      <c r="CV12" s="35">
        <f t="shared" si="71"/>
        <v>0</v>
      </c>
      <c r="CW12" s="36">
        <f t="shared" si="72"/>
        <v>0</v>
      </c>
      <c r="CX12" s="35">
        <f t="shared" si="6"/>
        <v>0</v>
      </c>
      <c r="CY12" s="62">
        <f t="shared" si="73"/>
        <v>0</v>
      </c>
      <c r="CZ12" s="61">
        <f t="shared" si="74"/>
        <v>0</v>
      </c>
      <c r="DA12" s="43">
        <f t="shared" si="75"/>
        <v>0</v>
      </c>
      <c r="DB12" s="35">
        <f t="shared" si="76"/>
        <v>0</v>
      </c>
      <c r="DC12" s="36">
        <f t="shared" si="77"/>
        <v>0</v>
      </c>
      <c r="DD12" s="35">
        <f t="shared" si="78"/>
        <v>0</v>
      </c>
      <c r="DE12" s="62">
        <f t="shared" si="7"/>
        <v>0</v>
      </c>
      <c r="DF12" s="61">
        <f t="shared" si="79"/>
        <v>0</v>
      </c>
      <c r="DG12" s="43">
        <f t="shared" si="80"/>
        <v>0</v>
      </c>
      <c r="DH12" s="35">
        <f t="shared" si="81"/>
        <v>0</v>
      </c>
      <c r="DI12" s="36">
        <f t="shared" si="82"/>
        <v>0</v>
      </c>
      <c r="DJ12" s="35">
        <f t="shared" si="83"/>
        <v>0</v>
      </c>
      <c r="DK12" s="62">
        <f t="shared" si="84"/>
        <v>0</v>
      </c>
    </row>
    <row r="13" spans="2:115" x14ac:dyDescent="0.3">
      <c r="B13" s="1">
        <v>0.16688600000000001</v>
      </c>
      <c r="C13" s="1">
        <v>1.952844</v>
      </c>
      <c r="D13">
        <f t="shared" si="85"/>
        <v>18287.598353916746</v>
      </c>
      <c r="E13" s="4">
        <f t="shared" si="8"/>
        <v>0.19685471707819796</v>
      </c>
      <c r="G13" s="1">
        <v>0.16440099999999999</v>
      </c>
      <c r="H13" s="1">
        <v>2.006373</v>
      </c>
      <c r="I13">
        <f t="shared" si="9"/>
        <v>18353.10386216555</v>
      </c>
      <c r="J13" s="4">
        <f t="shared" si="10"/>
        <v>0.19615210740572916</v>
      </c>
      <c r="L13" s="1">
        <v>0.16345999999999999</v>
      </c>
      <c r="M13" s="1">
        <v>2.0082749999999998</v>
      </c>
      <c r="N13">
        <f t="shared" si="11"/>
        <v>18420.095747974829</v>
      </c>
      <c r="O13" s="4">
        <f t="shared" si="12"/>
        <v>0.19543872351455052</v>
      </c>
      <c r="Q13" s="1">
        <v>0.16267599999999999</v>
      </c>
      <c r="R13" s="1">
        <v>2.0096090000000002</v>
      </c>
      <c r="S13">
        <f t="shared" si="13"/>
        <v>18432.331327129978</v>
      </c>
      <c r="T13" s="4">
        <f t="shared" si="14"/>
        <v>0.1953089891945069</v>
      </c>
      <c r="V13" s="1">
        <v>0.16364899999999999</v>
      </c>
      <c r="W13" s="1">
        <v>1.981044</v>
      </c>
      <c r="X13">
        <f t="shared" si="15"/>
        <v>18277.911989213713</v>
      </c>
      <c r="Y13" s="4">
        <f t="shared" si="16"/>
        <v>0.1969590400765939</v>
      </c>
      <c r="AA13" s="1">
        <v>0.16885900000000001</v>
      </c>
      <c r="AB13" s="1">
        <v>1.943757</v>
      </c>
      <c r="AC13">
        <f t="shared" si="17"/>
        <v>18026.397693115483</v>
      </c>
      <c r="AD13" s="4">
        <f t="shared" si="18"/>
        <v>0.1997071218158516</v>
      </c>
      <c r="AF13" s="1">
        <v>0.174956</v>
      </c>
      <c r="AG13" s="1">
        <v>1.903491</v>
      </c>
      <c r="AH13">
        <f t="shared" si="19"/>
        <v>17778.797200491488</v>
      </c>
      <c r="AI13" s="4">
        <f t="shared" si="20"/>
        <v>0.20248838880396697</v>
      </c>
      <c r="AK13" s="1">
        <v>0.18077199999999999</v>
      </c>
      <c r="AL13" s="1">
        <v>1.863845</v>
      </c>
      <c r="AM13">
        <f t="shared" si="21"/>
        <v>17520.702153499999</v>
      </c>
      <c r="AN13" s="4">
        <f t="shared" si="22"/>
        <v>0.20547121733251147</v>
      </c>
      <c r="AP13" s="1">
        <v>0.186779</v>
      </c>
      <c r="AQ13" s="1">
        <v>1.8251329999999999</v>
      </c>
      <c r="AR13">
        <f t="shared" si="23"/>
        <v>17271.04485604999</v>
      </c>
      <c r="AS13" s="4">
        <f t="shared" si="24"/>
        <v>0.20844135545968037</v>
      </c>
      <c r="AU13" s="1">
        <v>0.19531599999999999</v>
      </c>
      <c r="AV13" s="1">
        <v>1.7796430000000001</v>
      </c>
      <c r="AW13">
        <f t="shared" si="25"/>
        <v>17029.399922955185</v>
      </c>
      <c r="AX13" s="4">
        <f t="shared" si="26"/>
        <v>0.21139911073127682</v>
      </c>
      <c r="AZ13" s="138"/>
      <c r="BA13" s="108"/>
      <c r="BB13" s="108"/>
      <c r="BD13" s="61">
        <f t="shared" si="27"/>
        <v>0</v>
      </c>
      <c r="BE13" s="43">
        <f t="shared" si="28"/>
        <v>0</v>
      </c>
      <c r="BF13" s="35">
        <f t="shared" si="29"/>
        <v>0</v>
      </c>
      <c r="BG13" s="36">
        <f t="shared" si="30"/>
        <v>0</v>
      </c>
      <c r="BH13" s="35">
        <f t="shared" si="31"/>
        <v>0</v>
      </c>
      <c r="BI13" s="62">
        <f t="shared" si="32"/>
        <v>0</v>
      </c>
      <c r="BJ13" s="61">
        <f t="shared" si="33"/>
        <v>0</v>
      </c>
      <c r="BK13" s="43">
        <f t="shared" si="34"/>
        <v>0</v>
      </c>
      <c r="BL13" s="35">
        <f t="shared" si="35"/>
        <v>0</v>
      </c>
      <c r="BM13" s="36">
        <f t="shared" si="36"/>
        <v>0</v>
      </c>
      <c r="BN13" s="35">
        <f t="shared" si="37"/>
        <v>0</v>
      </c>
      <c r="BO13" s="62">
        <f t="shared" si="38"/>
        <v>0</v>
      </c>
      <c r="BP13" s="61">
        <f t="shared" si="39"/>
        <v>0</v>
      </c>
      <c r="BQ13" s="43">
        <f t="shared" si="40"/>
        <v>0</v>
      </c>
      <c r="BR13" s="35">
        <f t="shared" si="41"/>
        <v>0</v>
      </c>
      <c r="BS13" s="36">
        <f t="shared" si="42"/>
        <v>0</v>
      </c>
      <c r="BT13" s="35">
        <f t="shared" si="43"/>
        <v>0</v>
      </c>
      <c r="BU13" s="62">
        <f t="shared" si="44"/>
        <v>0</v>
      </c>
      <c r="BV13" s="61">
        <f t="shared" si="45"/>
        <v>0</v>
      </c>
      <c r="BW13" s="43">
        <f t="shared" si="46"/>
        <v>0</v>
      </c>
      <c r="BX13" s="35">
        <f t="shared" si="47"/>
        <v>0</v>
      </c>
      <c r="BY13" s="36">
        <f t="shared" si="48"/>
        <v>0</v>
      </c>
      <c r="BZ13" s="35">
        <f t="shared" si="49"/>
        <v>0</v>
      </c>
      <c r="CA13" s="62">
        <f t="shared" si="50"/>
        <v>0</v>
      </c>
      <c r="CB13" s="61">
        <f t="shared" si="51"/>
        <v>0</v>
      </c>
      <c r="CC13" s="43">
        <f t="shared" si="52"/>
        <v>0</v>
      </c>
      <c r="CD13" s="35">
        <f t="shared" si="53"/>
        <v>0</v>
      </c>
      <c r="CE13" s="36">
        <f t="shared" si="54"/>
        <v>0</v>
      </c>
      <c r="CF13" s="35">
        <f t="shared" si="55"/>
        <v>0</v>
      </c>
      <c r="CG13" s="62">
        <f t="shared" si="56"/>
        <v>0</v>
      </c>
      <c r="CH13" s="61">
        <f t="shared" si="57"/>
        <v>0</v>
      </c>
      <c r="CI13" s="43">
        <f t="shared" si="58"/>
        <v>0</v>
      </c>
      <c r="CJ13" s="35">
        <f t="shared" si="59"/>
        <v>0</v>
      </c>
      <c r="CK13" s="36">
        <f t="shared" si="60"/>
        <v>0</v>
      </c>
      <c r="CL13" s="35">
        <f t="shared" si="61"/>
        <v>0</v>
      </c>
      <c r="CM13" s="62">
        <f t="shared" si="62"/>
        <v>0</v>
      </c>
      <c r="CN13" s="61">
        <f t="shared" si="63"/>
        <v>0</v>
      </c>
      <c r="CO13" s="43">
        <f t="shared" si="64"/>
        <v>0</v>
      </c>
      <c r="CP13" s="35">
        <f t="shared" si="65"/>
        <v>0</v>
      </c>
      <c r="CQ13" s="36">
        <f t="shared" si="66"/>
        <v>0</v>
      </c>
      <c r="CR13" s="35">
        <f t="shared" si="67"/>
        <v>0</v>
      </c>
      <c r="CS13" s="62">
        <f t="shared" si="68"/>
        <v>0</v>
      </c>
      <c r="CT13" s="61">
        <f t="shared" si="69"/>
        <v>0</v>
      </c>
      <c r="CU13" s="43">
        <f t="shared" si="70"/>
        <v>0</v>
      </c>
      <c r="CV13" s="35">
        <f t="shared" si="71"/>
        <v>0</v>
      </c>
      <c r="CW13" s="36">
        <f t="shared" si="72"/>
        <v>0</v>
      </c>
      <c r="CX13" s="35">
        <f t="shared" si="6"/>
        <v>0</v>
      </c>
      <c r="CY13" s="62">
        <f t="shared" si="73"/>
        <v>0</v>
      </c>
      <c r="CZ13" s="61">
        <f t="shared" si="74"/>
        <v>0</v>
      </c>
      <c r="DA13" s="43">
        <f t="shared" si="75"/>
        <v>0</v>
      </c>
      <c r="DB13" s="35">
        <f t="shared" si="76"/>
        <v>0</v>
      </c>
      <c r="DC13" s="36">
        <f t="shared" si="77"/>
        <v>0</v>
      </c>
      <c r="DD13" s="35">
        <f t="shared" si="78"/>
        <v>0</v>
      </c>
      <c r="DE13" s="62">
        <f t="shared" si="7"/>
        <v>0</v>
      </c>
      <c r="DF13" s="61">
        <f t="shared" si="79"/>
        <v>0</v>
      </c>
      <c r="DG13" s="43">
        <f t="shared" si="80"/>
        <v>0</v>
      </c>
      <c r="DH13" s="35">
        <f t="shared" si="81"/>
        <v>0</v>
      </c>
      <c r="DI13" s="36">
        <f t="shared" si="82"/>
        <v>0</v>
      </c>
      <c r="DJ13" s="35">
        <f t="shared" si="83"/>
        <v>0</v>
      </c>
      <c r="DK13" s="62">
        <f t="shared" si="84"/>
        <v>0</v>
      </c>
    </row>
    <row r="14" spans="2:115" x14ac:dyDescent="0.3">
      <c r="B14" s="1">
        <v>0.181144</v>
      </c>
      <c r="C14" s="1">
        <v>1.8754029999999999</v>
      </c>
      <c r="D14">
        <f t="shared" si="85"/>
        <v>17562.394546482221</v>
      </c>
      <c r="E14" s="4">
        <f t="shared" si="8"/>
        <v>0.2049834372227497</v>
      </c>
      <c r="G14" s="1">
        <v>0.17844699999999999</v>
      </c>
      <c r="H14" s="1">
        <v>1.9270179999999999</v>
      </c>
      <c r="I14">
        <f t="shared" si="9"/>
        <v>17627.211639242822</v>
      </c>
      <c r="J14" s="4">
        <f t="shared" si="10"/>
        <v>0.20422969177867309</v>
      </c>
      <c r="L14" s="1">
        <v>0.177426</v>
      </c>
      <c r="M14" s="1">
        <v>1.929001</v>
      </c>
      <c r="N14">
        <f t="shared" si="11"/>
        <v>17692.986825977117</v>
      </c>
      <c r="O14" s="4">
        <f t="shared" si="12"/>
        <v>0.20347045049027135</v>
      </c>
      <c r="Q14" s="1">
        <v>0.17657400000000001</v>
      </c>
      <c r="R14" s="1">
        <v>1.9077040000000001</v>
      </c>
      <c r="S14">
        <f t="shared" si="13"/>
        <v>17497.648648115708</v>
      </c>
      <c r="T14" s="4">
        <f t="shared" si="14"/>
        <v>0.20574192980996209</v>
      </c>
      <c r="V14" s="1">
        <v>0.17763000000000001</v>
      </c>
      <c r="W14" s="1">
        <v>1.8775250000000001</v>
      </c>
      <c r="X14">
        <f t="shared" si="15"/>
        <v>17322.803889034509</v>
      </c>
      <c r="Y14" s="4">
        <f t="shared" si="16"/>
        <v>0.20781855079932141</v>
      </c>
      <c r="AA14" s="1">
        <v>0.183285</v>
      </c>
      <c r="AB14" s="1">
        <v>1.8419449999999999</v>
      </c>
      <c r="AC14">
        <f t="shared" si="17"/>
        <v>17082.193452600091</v>
      </c>
      <c r="AD14" s="4">
        <f t="shared" si="18"/>
        <v>0.21074576927075148</v>
      </c>
      <c r="AF14" s="1">
        <v>0.18990299999999999</v>
      </c>
      <c r="AG14" s="1">
        <v>1.8019829999999999</v>
      </c>
      <c r="AH14">
        <f t="shared" si="19"/>
        <v>16830.70228108946</v>
      </c>
      <c r="AI14" s="4">
        <f t="shared" si="20"/>
        <v>0.21389481792716791</v>
      </c>
      <c r="AK14" s="1">
        <v>0.196216</v>
      </c>
      <c r="AL14" s="1">
        <v>1.7640499999999999</v>
      </c>
      <c r="AM14">
        <f t="shared" si="21"/>
        <v>16582.599214999998</v>
      </c>
      <c r="AN14" s="4">
        <f t="shared" si="22"/>
        <v>0.21709503759480447</v>
      </c>
      <c r="AP14" s="1">
        <v>0.202736</v>
      </c>
      <c r="AQ14" s="1">
        <v>1.7268829999999999</v>
      </c>
      <c r="AR14">
        <f t="shared" si="23"/>
        <v>16341.315265325966</v>
      </c>
      <c r="AS14" s="4">
        <f t="shared" si="24"/>
        <v>0.22030050467471901</v>
      </c>
      <c r="AU14" s="1">
        <v>0.212002</v>
      </c>
      <c r="AV14" s="1">
        <v>1.7028110000000001</v>
      </c>
      <c r="AW14">
        <f t="shared" si="25"/>
        <v>16294.194685230261</v>
      </c>
      <c r="AX14" s="4">
        <f t="shared" si="26"/>
        <v>0.22093758357160112</v>
      </c>
      <c r="AZ14" s="138"/>
      <c r="BA14" s="108"/>
      <c r="BB14" s="108"/>
      <c r="BD14" s="61">
        <f t="shared" si="27"/>
        <v>0</v>
      </c>
      <c r="BE14" s="43">
        <f t="shared" si="28"/>
        <v>0</v>
      </c>
      <c r="BF14" s="35">
        <f t="shared" si="29"/>
        <v>0</v>
      </c>
      <c r="BG14" s="36">
        <f t="shared" si="30"/>
        <v>0</v>
      </c>
      <c r="BH14" s="35">
        <f t="shared" si="31"/>
        <v>0</v>
      </c>
      <c r="BI14" s="62">
        <f t="shared" si="32"/>
        <v>0</v>
      </c>
      <c r="BJ14" s="61">
        <f t="shared" si="33"/>
        <v>0</v>
      </c>
      <c r="BK14" s="43">
        <f t="shared" si="34"/>
        <v>0</v>
      </c>
      <c r="BL14" s="35">
        <f t="shared" si="35"/>
        <v>0</v>
      </c>
      <c r="BM14" s="36">
        <f t="shared" si="36"/>
        <v>0</v>
      </c>
      <c r="BN14" s="35">
        <f t="shared" si="37"/>
        <v>0</v>
      </c>
      <c r="BO14" s="62">
        <f t="shared" si="38"/>
        <v>0</v>
      </c>
      <c r="BP14" s="61">
        <f t="shared" si="39"/>
        <v>0</v>
      </c>
      <c r="BQ14" s="43">
        <f t="shared" si="40"/>
        <v>0</v>
      </c>
      <c r="BR14" s="35">
        <f t="shared" si="41"/>
        <v>0</v>
      </c>
      <c r="BS14" s="36">
        <f t="shared" si="42"/>
        <v>0</v>
      </c>
      <c r="BT14" s="35">
        <f t="shared" si="43"/>
        <v>0</v>
      </c>
      <c r="BU14" s="62">
        <f t="shared" si="44"/>
        <v>0</v>
      </c>
      <c r="BV14" s="61">
        <f t="shared" si="45"/>
        <v>0</v>
      </c>
      <c r="BW14" s="43">
        <f t="shared" si="46"/>
        <v>0</v>
      </c>
      <c r="BX14" s="35">
        <f t="shared" si="47"/>
        <v>0</v>
      </c>
      <c r="BY14" s="36">
        <f t="shared" si="48"/>
        <v>0</v>
      </c>
      <c r="BZ14" s="35">
        <f t="shared" si="49"/>
        <v>0</v>
      </c>
      <c r="CA14" s="62">
        <f t="shared" si="50"/>
        <v>0</v>
      </c>
      <c r="CB14" s="61">
        <f t="shared" si="51"/>
        <v>0</v>
      </c>
      <c r="CC14" s="43">
        <f t="shared" si="52"/>
        <v>0</v>
      </c>
      <c r="CD14" s="35">
        <f t="shared" si="53"/>
        <v>0</v>
      </c>
      <c r="CE14" s="36">
        <f t="shared" si="54"/>
        <v>0</v>
      </c>
      <c r="CF14" s="35">
        <f t="shared" si="55"/>
        <v>0</v>
      </c>
      <c r="CG14" s="62">
        <f t="shared" si="56"/>
        <v>0</v>
      </c>
      <c r="CH14" s="61">
        <f t="shared" si="57"/>
        <v>0</v>
      </c>
      <c r="CI14" s="43">
        <f t="shared" si="58"/>
        <v>0</v>
      </c>
      <c r="CJ14" s="35">
        <f t="shared" si="59"/>
        <v>0</v>
      </c>
      <c r="CK14" s="36">
        <f t="shared" si="60"/>
        <v>0</v>
      </c>
      <c r="CL14" s="35">
        <f t="shared" si="61"/>
        <v>0</v>
      </c>
      <c r="CM14" s="62">
        <f t="shared" si="62"/>
        <v>0</v>
      </c>
      <c r="CN14" s="61">
        <f t="shared" si="63"/>
        <v>0</v>
      </c>
      <c r="CO14" s="43">
        <f t="shared" si="64"/>
        <v>0</v>
      </c>
      <c r="CP14" s="35">
        <f t="shared" si="65"/>
        <v>0</v>
      </c>
      <c r="CQ14" s="36">
        <f t="shared" si="66"/>
        <v>0</v>
      </c>
      <c r="CR14" s="35">
        <f t="shared" si="67"/>
        <v>0</v>
      </c>
      <c r="CS14" s="62">
        <f t="shared" si="68"/>
        <v>0</v>
      </c>
      <c r="CT14" s="61">
        <f t="shared" si="69"/>
        <v>0</v>
      </c>
      <c r="CU14" s="43">
        <f t="shared" si="70"/>
        <v>0</v>
      </c>
      <c r="CV14" s="35">
        <f t="shared" si="71"/>
        <v>0</v>
      </c>
      <c r="CW14" s="36">
        <f t="shared" si="72"/>
        <v>0</v>
      </c>
      <c r="CX14" s="35">
        <f t="shared" si="6"/>
        <v>0</v>
      </c>
      <c r="CY14" s="62">
        <f t="shared" si="73"/>
        <v>0</v>
      </c>
      <c r="CZ14" s="61">
        <f t="shared" si="74"/>
        <v>0</v>
      </c>
      <c r="DA14" s="43">
        <f t="shared" si="75"/>
        <v>0</v>
      </c>
      <c r="DB14" s="35">
        <f t="shared" si="76"/>
        <v>0</v>
      </c>
      <c r="DC14" s="36">
        <f t="shared" si="77"/>
        <v>0</v>
      </c>
      <c r="DD14" s="35">
        <f t="shared" si="78"/>
        <v>0</v>
      </c>
      <c r="DE14" s="62">
        <f t="shared" si="7"/>
        <v>0</v>
      </c>
      <c r="DF14" s="61">
        <f t="shared" si="79"/>
        <v>0</v>
      </c>
      <c r="DG14" s="43">
        <f t="shared" si="80"/>
        <v>0</v>
      </c>
      <c r="DH14" s="35">
        <f t="shared" si="81"/>
        <v>0</v>
      </c>
      <c r="DI14" s="36">
        <f t="shared" si="82"/>
        <v>0</v>
      </c>
      <c r="DJ14" s="35">
        <f t="shared" si="83"/>
        <v>0</v>
      </c>
      <c r="DK14" s="62">
        <f t="shared" si="84"/>
        <v>0</v>
      </c>
    </row>
    <row r="15" spans="2:115" x14ac:dyDescent="0.3">
      <c r="B15" s="1">
        <v>0.19540199999999999</v>
      </c>
      <c r="C15" s="1">
        <v>1.808395</v>
      </c>
      <c r="D15">
        <f t="shared" si="85"/>
        <v>16934.891586440739</v>
      </c>
      <c r="E15" s="4">
        <f t="shared" si="8"/>
        <v>0.21257886309011934</v>
      </c>
      <c r="G15" s="1">
        <v>0.192492</v>
      </c>
      <c r="H15" s="1">
        <v>1.8583419999999999</v>
      </c>
      <c r="I15">
        <f t="shared" si="9"/>
        <v>16999.00454074315</v>
      </c>
      <c r="J15" s="4">
        <f t="shared" si="10"/>
        <v>0.21177710679302034</v>
      </c>
      <c r="L15" s="1">
        <v>0.19139100000000001</v>
      </c>
      <c r="M15" s="1">
        <v>1.845901</v>
      </c>
      <c r="N15">
        <f t="shared" si="11"/>
        <v>16930.785455817797</v>
      </c>
      <c r="O15" s="4">
        <f t="shared" si="12"/>
        <v>0.21263041867694091</v>
      </c>
      <c r="Q15" s="1">
        <v>0.190472</v>
      </c>
      <c r="R15" s="1">
        <v>1.817777</v>
      </c>
      <c r="S15">
        <f t="shared" si="13"/>
        <v>16672.829362744862</v>
      </c>
      <c r="T15" s="4">
        <f t="shared" si="14"/>
        <v>0.21592016098024341</v>
      </c>
      <c r="V15" s="1">
        <v>0.191611</v>
      </c>
      <c r="W15" s="1">
        <v>1.7871649999999999</v>
      </c>
      <c r="X15">
        <f t="shared" si="15"/>
        <v>16489.106037121397</v>
      </c>
      <c r="Y15" s="4">
        <f t="shared" si="16"/>
        <v>0.21832596575553792</v>
      </c>
      <c r="AA15" s="1">
        <v>0.197711</v>
      </c>
      <c r="AB15" s="1">
        <v>1.752448</v>
      </c>
      <c r="AC15">
        <f t="shared" si="17"/>
        <v>16252.1984921494</v>
      </c>
      <c r="AD15" s="4">
        <f t="shared" si="18"/>
        <v>0.22150849325025007</v>
      </c>
      <c r="AF15" s="1">
        <v>0.20485</v>
      </c>
      <c r="AG15" s="1">
        <v>1.7136750000000001</v>
      </c>
      <c r="AH15">
        <f t="shared" si="19"/>
        <v>16005.89668800759</v>
      </c>
      <c r="AI15" s="4">
        <f t="shared" si="20"/>
        <v>0.22491710837402179</v>
      </c>
      <c r="AK15" s="1">
        <v>0.21166099999999999</v>
      </c>
      <c r="AL15" s="1">
        <v>1.6772659999999999</v>
      </c>
      <c r="AM15">
        <f t="shared" si="21"/>
        <v>15766.803579799998</v>
      </c>
      <c r="AN15" s="4">
        <f t="shared" si="22"/>
        <v>0.22832782699292473</v>
      </c>
      <c r="AP15" s="1">
        <v>0.218694</v>
      </c>
      <c r="AQ15" s="1">
        <v>1.6543760000000001</v>
      </c>
      <c r="AR15">
        <f t="shared" si="23"/>
        <v>15655.189021716535</v>
      </c>
      <c r="AS15" s="4">
        <f t="shared" si="24"/>
        <v>0.22995570318609113</v>
      </c>
      <c r="AU15" s="1">
        <v>0.228689</v>
      </c>
      <c r="AV15" s="1">
        <v>1.6432439999999999</v>
      </c>
      <c r="AW15">
        <f t="shared" si="25"/>
        <v>15724.198194242646</v>
      </c>
      <c r="AX15" s="4">
        <f t="shared" si="26"/>
        <v>0.22894649097708053</v>
      </c>
      <c r="AZ15" s="108"/>
      <c r="BA15" s="108"/>
      <c r="BB15" s="108"/>
      <c r="BD15" s="61">
        <f t="shared" si="27"/>
        <v>0</v>
      </c>
      <c r="BE15" s="43">
        <f t="shared" si="28"/>
        <v>0</v>
      </c>
      <c r="BF15" s="35">
        <f t="shared" si="29"/>
        <v>0</v>
      </c>
      <c r="BG15" s="36">
        <f t="shared" si="30"/>
        <v>0</v>
      </c>
      <c r="BH15" s="35">
        <f t="shared" si="31"/>
        <v>0</v>
      </c>
      <c r="BI15" s="62">
        <f t="shared" si="32"/>
        <v>0</v>
      </c>
      <c r="BJ15" s="61">
        <f t="shared" si="33"/>
        <v>0</v>
      </c>
      <c r="BK15" s="43">
        <f t="shared" si="34"/>
        <v>0</v>
      </c>
      <c r="BL15" s="35">
        <f t="shared" si="35"/>
        <v>0</v>
      </c>
      <c r="BM15" s="36">
        <f t="shared" si="36"/>
        <v>0</v>
      </c>
      <c r="BN15" s="35">
        <f t="shared" si="37"/>
        <v>0</v>
      </c>
      <c r="BO15" s="62">
        <f t="shared" si="38"/>
        <v>0</v>
      </c>
      <c r="BP15" s="61">
        <f t="shared" si="39"/>
        <v>0</v>
      </c>
      <c r="BQ15" s="43">
        <f t="shared" si="40"/>
        <v>0</v>
      </c>
      <c r="BR15" s="35">
        <f t="shared" si="41"/>
        <v>0</v>
      </c>
      <c r="BS15" s="36">
        <f t="shared" si="42"/>
        <v>0</v>
      </c>
      <c r="BT15" s="35">
        <f t="shared" si="43"/>
        <v>0</v>
      </c>
      <c r="BU15" s="62">
        <f t="shared" si="44"/>
        <v>0</v>
      </c>
      <c r="BV15" s="61">
        <f t="shared" si="45"/>
        <v>0</v>
      </c>
      <c r="BW15" s="43">
        <f t="shared" si="46"/>
        <v>0</v>
      </c>
      <c r="BX15" s="35">
        <f t="shared" si="47"/>
        <v>0</v>
      </c>
      <c r="BY15" s="36">
        <f t="shared" si="48"/>
        <v>0</v>
      </c>
      <c r="BZ15" s="35">
        <f t="shared" si="49"/>
        <v>0</v>
      </c>
      <c r="CA15" s="62">
        <f t="shared" si="50"/>
        <v>0</v>
      </c>
      <c r="CB15" s="61">
        <f t="shared" si="51"/>
        <v>0</v>
      </c>
      <c r="CC15" s="43">
        <f t="shared" si="52"/>
        <v>0</v>
      </c>
      <c r="CD15" s="35">
        <f t="shared" si="53"/>
        <v>0</v>
      </c>
      <c r="CE15" s="36">
        <f t="shared" si="54"/>
        <v>0</v>
      </c>
      <c r="CF15" s="35">
        <f t="shared" si="55"/>
        <v>0</v>
      </c>
      <c r="CG15" s="62">
        <f t="shared" si="56"/>
        <v>0</v>
      </c>
      <c r="CH15" s="61">
        <f t="shared" si="57"/>
        <v>0</v>
      </c>
      <c r="CI15" s="43">
        <f t="shared" si="58"/>
        <v>0</v>
      </c>
      <c r="CJ15" s="35">
        <f t="shared" si="59"/>
        <v>0</v>
      </c>
      <c r="CK15" s="36">
        <f t="shared" si="60"/>
        <v>0</v>
      </c>
      <c r="CL15" s="35">
        <f t="shared" si="61"/>
        <v>0</v>
      </c>
      <c r="CM15" s="62">
        <f t="shared" si="62"/>
        <v>0</v>
      </c>
      <c r="CN15" s="61">
        <f t="shared" si="63"/>
        <v>0</v>
      </c>
      <c r="CO15" s="43">
        <f t="shared" si="64"/>
        <v>0</v>
      </c>
      <c r="CP15" s="35">
        <f t="shared" si="65"/>
        <v>0</v>
      </c>
      <c r="CQ15" s="36">
        <f t="shared" si="66"/>
        <v>0</v>
      </c>
      <c r="CR15" s="35">
        <f t="shared" si="67"/>
        <v>0</v>
      </c>
      <c r="CS15" s="62">
        <f t="shared" si="68"/>
        <v>0</v>
      </c>
      <c r="CT15" s="61">
        <f t="shared" si="69"/>
        <v>0</v>
      </c>
      <c r="CU15" s="43">
        <f t="shared" si="70"/>
        <v>0</v>
      </c>
      <c r="CV15" s="35">
        <f t="shared" si="71"/>
        <v>0</v>
      </c>
      <c r="CW15" s="36">
        <f t="shared" si="72"/>
        <v>0</v>
      </c>
      <c r="CX15" s="35">
        <f t="shared" si="6"/>
        <v>0</v>
      </c>
      <c r="CY15" s="62">
        <f t="shared" si="73"/>
        <v>0</v>
      </c>
      <c r="CZ15" s="61">
        <f t="shared" si="74"/>
        <v>0</v>
      </c>
      <c r="DA15" s="43">
        <f t="shared" si="75"/>
        <v>0</v>
      </c>
      <c r="DB15" s="35">
        <f t="shared" si="76"/>
        <v>0</v>
      </c>
      <c r="DC15" s="36">
        <f t="shared" si="77"/>
        <v>0</v>
      </c>
      <c r="DD15" s="35">
        <f t="shared" si="78"/>
        <v>0</v>
      </c>
      <c r="DE15" s="62">
        <f t="shared" si="7"/>
        <v>0</v>
      </c>
      <c r="DF15" s="61">
        <f t="shared" si="79"/>
        <v>0</v>
      </c>
      <c r="DG15" s="43">
        <f t="shared" si="80"/>
        <v>0</v>
      </c>
      <c r="DH15" s="35">
        <f t="shared" si="81"/>
        <v>0</v>
      </c>
      <c r="DI15" s="36">
        <f t="shared" si="82"/>
        <v>0</v>
      </c>
      <c r="DJ15" s="35">
        <f t="shared" si="83"/>
        <v>0</v>
      </c>
      <c r="DK15" s="62">
        <f t="shared" si="84"/>
        <v>0</v>
      </c>
    </row>
    <row r="16" spans="2:115" x14ac:dyDescent="0.3">
      <c r="B16" s="1">
        <v>0.20966000000000001</v>
      </c>
      <c r="C16" s="1">
        <v>1.750262</v>
      </c>
      <c r="D16">
        <f t="shared" si="85"/>
        <v>16390.499430637079</v>
      </c>
      <c r="E16" s="4">
        <f t="shared" si="8"/>
        <v>0.21963943290653423</v>
      </c>
      <c r="G16" s="1">
        <v>0.206538</v>
      </c>
      <c r="H16" s="1">
        <v>1.793865</v>
      </c>
      <c r="I16">
        <f t="shared" si="9"/>
        <v>16409.207390501968</v>
      </c>
      <c r="J16" s="4">
        <f t="shared" si="10"/>
        <v>0.21938902436468466</v>
      </c>
      <c r="L16" s="1">
        <v>0.20535600000000001</v>
      </c>
      <c r="M16" s="1">
        <v>1.767128</v>
      </c>
      <c r="N16">
        <f t="shared" si="11"/>
        <v>16208.271755077001</v>
      </c>
      <c r="O16" s="4">
        <f t="shared" si="12"/>
        <v>0.22210881298139346</v>
      </c>
      <c r="Q16" s="1">
        <v>0.20437</v>
      </c>
      <c r="R16" s="1">
        <v>1.7381979999999999</v>
      </c>
      <c r="S16">
        <f t="shared" si="13"/>
        <v>15942.922950760405</v>
      </c>
      <c r="T16" s="4">
        <f t="shared" si="14"/>
        <v>0.22580551954736106</v>
      </c>
      <c r="V16" s="1">
        <v>0.205593</v>
      </c>
      <c r="W16" s="1">
        <v>1.7085539999999999</v>
      </c>
      <c r="X16">
        <f t="shared" si="15"/>
        <v>15763.809204045465</v>
      </c>
      <c r="Y16" s="4">
        <f t="shared" si="16"/>
        <v>0.22837119844587639</v>
      </c>
      <c r="AA16" s="1">
        <v>0.21213799999999999</v>
      </c>
      <c r="AB16" s="1">
        <v>1.673916</v>
      </c>
      <c r="AC16">
        <f t="shared" si="17"/>
        <v>15523.892915044986</v>
      </c>
      <c r="AD16" s="4">
        <f t="shared" si="18"/>
        <v>0.23190059476067754</v>
      </c>
      <c r="AF16" s="1">
        <v>0.21979799999999999</v>
      </c>
      <c r="AG16" s="1">
        <v>1.636674</v>
      </c>
      <c r="AH16">
        <f t="shared" si="19"/>
        <v>15286.69961103951</v>
      </c>
      <c r="AI16" s="4">
        <f t="shared" si="20"/>
        <v>0.23549883831040991</v>
      </c>
      <c r="AK16" s="1">
        <v>0.227105</v>
      </c>
      <c r="AL16" s="1">
        <v>1.6056509999999999</v>
      </c>
      <c r="AM16">
        <f t="shared" si="21"/>
        <v>15093.601095299999</v>
      </c>
      <c r="AN16" s="4">
        <f t="shared" si="22"/>
        <v>0.23851166976454713</v>
      </c>
      <c r="AP16" s="1">
        <v>0.234651</v>
      </c>
      <c r="AQ16" s="1">
        <v>1.6019060000000001</v>
      </c>
      <c r="AR16">
        <f t="shared" si="23"/>
        <v>15158.670837235215</v>
      </c>
      <c r="AS16" s="4">
        <f t="shared" si="24"/>
        <v>0.23748784036903087</v>
      </c>
      <c r="AU16" s="1">
        <v>0.24537600000000001</v>
      </c>
      <c r="AV16" s="1">
        <v>1.7798620000000001</v>
      </c>
      <c r="AW16">
        <f t="shared" si="25"/>
        <v>17031.495533469835</v>
      </c>
      <c r="AX16" s="4">
        <f t="shared" si="26"/>
        <v>0.21137309949824298</v>
      </c>
      <c r="AZ16" s="108"/>
      <c r="BA16" s="108"/>
      <c r="BB16" s="108"/>
      <c r="BD16" s="61">
        <f t="shared" si="27"/>
        <v>0</v>
      </c>
      <c r="BE16" s="43">
        <f t="shared" si="28"/>
        <v>0</v>
      </c>
      <c r="BF16" s="35">
        <f t="shared" si="29"/>
        <v>0</v>
      </c>
      <c r="BG16" s="36">
        <f t="shared" si="30"/>
        <v>0</v>
      </c>
      <c r="BH16" s="35">
        <f t="shared" si="31"/>
        <v>0</v>
      </c>
      <c r="BI16" s="62">
        <f t="shared" si="32"/>
        <v>0</v>
      </c>
      <c r="BJ16" s="61">
        <f t="shared" si="33"/>
        <v>0</v>
      </c>
      <c r="BK16" s="43">
        <f t="shared" si="34"/>
        <v>0</v>
      </c>
      <c r="BL16" s="35">
        <f t="shared" si="35"/>
        <v>0</v>
      </c>
      <c r="BM16" s="36">
        <f t="shared" si="36"/>
        <v>0</v>
      </c>
      <c r="BN16" s="35">
        <f t="shared" si="37"/>
        <v>0</v>
      </c>
      <c r="BO16" s="62">
        <f t="shared" si="38"/>
        <v>0</v>
      </c>
      <c r="BP16" s="61">
        <f t="shared" si="39"/>
        <v>0</v>
      </c>
      <c r="BQ16" s="43">
        <f t="shared" si="40"/>
        <v>0</v>
      </c>
      <c r="BR16" s="35">
        <f t="shared" si="41"/>
        <v>0</v>
      </c>
      <c r="BS16" s="36">
        <f t="shared" si="42"/>
        <v>0</v>
      </c>
      <c r="BT16" s="35">
        <f t="shared" si="43"/>
        <v>0</v>
      </c>
      <c r="BU16" s="62">
        <f t="shared" si="44"/>
        <v>0</v>
      </c>
      <c r="BV16" s="61">
        <f t="shared" si="45"/>
        <v>0</v>
      </c>
      <c r="BW16" s="43">
        <f t="shared" si="46"/>
        <v>0</v>
      </c>
      <c r="BX16" s="35">
        <f t="shared" si="47"/>
        <v>0</v>
      </c>
      <c r="BY16" s="36">
        <f t="shared" si="48"/>
        <v>0</v>
      </c>
      <c r="BZ16" s="35">
        <f t="shared" si="49"/>
        <v>0</v>
      </c>
      <c r="CA16" s="62">
        <f t="shared" si="50"/>
        <v>0</v>
      </c>
      <c r="CB16" s="61">
        <f t="shared" si="51"/>
        <v>0</v>
      </c>
      <c r="CC16" s="43">
        <f t="shared" si="52"/>
        <v>0</v>
      </c>
      <c r="CD16" s="35">
        <f t="shared" si="53"/>
        <v>0</v>
      </c>
      <c r="CE16" s="36">
        <f t="shared" si="54"/>
        <v>0</v>
      </c>
      <c r="CF16" s="35">
        <f t="shared" si="55"/>
        <v>0</v>
      </c>
      <c r="CG16" s="62">
        <f t="shared" si="56"/>
        <v>0</v>
      </c>
      <c r="CH16" s="61">
        <f t="shared" si="57"/>
        <v>0</v>
      </c>
      <c r="CI16" s="43">
        <f t="shared" si="58"/>
        <v>0</v>
      </c>
      <c r="CJ16" s="35">
        <f t="shared" si="59"/>
        <v>0</v>
      </c>
      <c r="CK16" s="36">
        <f t="shared" si="60"/>
        <v>0</v>
      </c>
      <c r="CL16" s="35">
        <f t="shared" si="61"/>
        <v>0</v>
      </c>
      <c r="CM16" s="62">
        <f t="shared" si="62"/>
        <v>0</v>
      </c>
      <c r="CN16" s="61">
        <f t="shared" si="63"/>
        <v>0</v>
      </c>
      <c r="CO16" s="43">
        <f t="shared" si="64"/>
        <v>0</v>
      </c>
      <c r="CP16" s="35">
        <f t="shared" si="65"/>
        <v>0</v>
      </c>
      <c r="CQ16" s="36">
        <f t="shared" si="66"/>
        <v>0</v>
      </c>
      <c r="CR16" s="35">
        <f t="shared" si="67"/>
        <v>0</v>
      </c>
      <c r="CS16" s="62">
        <f t="shared" si="68"/>
        <v>0</v>
      </c>
      <c r="CT16" s="61">
        <f t="shared" si="69"/>
        <v>0</v>
      </c>
      <c r="CU16" s="43">
        <f t="shared" si="70"/>
        <v>0</v>
      </c>
      <c r="CV16" s="35">
        <f t="shared" si="71"/>
        <v>0</v>
      </c>
      <c r="CW16" s="36">
        <f t="shared" si="72"/>
        <v>0</v>
      </c>
      <c r="CX16" s="35">
        <f t="shared" si="6"/>
        <v>0</v>
      </c>
      <c r="CY16" s="62">
        <f t="shared" si="73"/>
        <v>0</v>
      </c>
      <c r="CZ16" s="61">
        <f t="shared" si="74"/>
        <v>0</v>
      </c>
      <c r="DA16" s="43">
        <f t="shared" si="75"/>
        <v>0</v>
      </c>
      <c r="DB16" s="35">
        <f t="shared" si="76"/>
        <v>0</v>
      </c>
      <c r="DC16" s="36">
        <f t="shared" si="77"/>
        <v>0</v>
      </c>
      <c r="DD16" s="35">
        <f t="shared" si="78"/>
        <v>0</v>
      </c>
      <c r="DE16" s="62">
        <f t="shared" si="7"/>
        <v>0</v>
      </c>
      <c r="DF16" s="61">
        <f t="shared" si="79"/>
        <v>0</v>
      </c>
      <c r="DG16" s="43">
        <f t="shared" si="80"/>
        <v>0</v>
      </c>
      <c r="DH16" s="35">
        <f t="shared" si="81"/>
        <v>0</v>
      </c>
      <c r="DI16" s="36">
        <f t="shared" si="82"/>
        <v>0</v>
      </c>
      <c r="DJ16" s="35">
        <f t="shared" si="83"/>
        <v>0</v>
      </c>
      <c r="DK16" s="62">
        <f t="shared" si="84"/>
        <v>0</v>
      </c>
    </row>
    <row r="17" spans="2:115" x14ac:dyDescent="0.3">
      <c r="B17" s="1">
        <v>0.22391800000000001</v>
      </c>
      <c r="C17" s="1">
        <v>1.698834</v>
      </c>
      <c r="D17">
        <f t="shared" si="85"/>
        <v>15908.896902147741</v>
      </c>
      <c r="E17" s="4">
        <f t="shared" si="8"/>
        <v>0.22628847381077635</v>
      </c>
      <c r="G17" s="1">
        <v>0.220583</v>
      </c>
      <c r="H17" s="1">
        <v>1.7234080000000001</v>
      </c>
      <c r="I17">
        <f t="shared" si="9"/>
        <v>15764.708765960771</v>
      </c>
      <c r="J17" s="4">
        <f t="shared" si="10"/>
        <v>0.22835816718499333</v>
      </c>
      <c r="L17" s="14">
        <v>0.21932099999999999</v>
      </c>
      <c r="M17" s="20">
        <v>1.6971000000000001</v>
      </c>
      <c r="N17" s="15">
        <f t="shared" si="11"/>
        <v>15565.96805412012</v>
      </c>
      <c r="O17" s="16">
        <f t="shared" si="12"/>
        <v>0.23127376257508922</v>
      </c>
      <c r="Q17" s="1">
        <v>0.21826899999999999</v>
      </c>
      <c r="R17" s="1">
        <v>1.66788</v>
      </c>
      <c r="S17">
        <f t="shared" si="13"/>
        <v>15297.959341291536</v>
      </c>
      <c r="T17" s="4">
        <f t="shared" si="14"/>
        <v>0.23532550451242529</v>
      </c>
      <c r="V17" s="1">
        <v>0.21957399999999999</v>
      </c>
      <c r="W17" s="1">
        <v>1.638266</v>
      </c>
      <c r="X17">
        <f t="shared" si="15"/>
        <v>15115.303730215579</v>
      </c>
      <c r="Y17" s="4">
        <f t="shared" si="16"/>
        <v>0.23816921341802608</v>
      </c>
      <c r="AA17" s="1">
        <v>0.22656399999999999</v>
      </c>
      <c r="AB17" s="1">
        <v>1.6045609999999999</v>
      </c>
      <c r="AC17">
        <f t="shared" si="17"/>
        <v>14880.694813633119</v>
      </c>
      <c r="AD17" s="4">
        <f t="shared" si="18"/>
        <v>0.2419241873505677</v>
      </c>
      <c r="AF17" s="1">
        <v>0.23474500000000001</v>
      </c>
      <c r="AG17" s="1">
        <v>1.568441</v>
      </c>
      <c r="AH17">
        <f t="shared" si="19"/>
        <v>14649.396535069549</v>
      </c>
      <c r="AI17" s="4">
        <f t="shared" si="20"/>
        <v>0.24574391111482796</v>
      </c>
      <c r="AK17" s="1">
        <v>0.24254899999999999</v>
      </c>
      <c r="AL17" s="1">
        <v>1.559482</v>
      </c>
      <c r="AM17">
        <f t="shared" si="21"/>
        <v>14659.598644599999</v>
      </c>
      <c r="AN17" s="4">
        <f t="shared" si="22"/>
        <v>0.24557288963201551</v>
      </c>
      <c r="AP17" s="1">
        <v>0.25060900000000003</v>
      </c>
      <c r="AQ17" s="1">
        <v>1.5557989999999999</v>
      </c>
      <c r="AR17">
        <f t="shared" si="23"/>
        <v>14722.36506380506</v>
      </c>
      <c r="AS17" s="4">
        <f t="shared" si="24"/>
        <v>0.24452592938688916</v>
      </c>
      <c r="AU17" s="1">
        <v>0.26206299999999999</v>
      </c>
      <c r="AV17" s="1">
        <v>1.727913</v>
      </c>
      <c r="AW17">
        <f t="shared" si="25"/>
        <v>16534.395667599209</v>
      </c>
      <c r="AX17" s="4">
        <f t="shared" si="26"/>
        <v>0.21772794557315198</v>
      </c>
      <c r="AZ17" s="56"/>
      <c r="BA17" s="108"/>
      <c r="BB17" s="108"/>
      <c r="BD17" s="61">
        <f t="shared" si="27"/>
        <v>0</v>
      </c>
      <c r="BE17" s="43">
        <f t="shared" si="28"/>
        <v>0</v>
      </c>
      <c r="BF17" s="35">
        <f t="shared" si="29"/>
        <v>0</v>
      </c>
      <c r="BG17" s="36">
        <f t="shared" si="30"/>
        <v>0</v>
      </c>
      <c r="BH17" s="35">
        <f t="shared" si="31"/>
        <v>0</v>
      </c>
      <c r="BI17" s="62">
        <f t="shared" si="32"/>
        <v>0</v>
      </c>
      <c r="BJ17" s="61">
        <f t="shared" si="33"/>
        <v>0</v>
      </c>
      <c r="BK17" s="43">
        <f t="shared" si="34"/>
        <v>0</v>
      </c>
      <c r="BL17" s="35">
        <f t="shared" si="35"/>
        <v>0</v>
      </c>
      <c r="BM17" s="36">
        <f t="shared" si="36"/>
        <v>0</v>
      </c>
      <c r="BN17" s="35">
        <f t="shared" si="37"/>
        <v>0</v>
      </c>
      <c r="BO17" s="62">
        <f t="shared" si="38"/>
        <v>0</v>
      </c>
      <c r="BP17" s="61">
        <f t="shared" si="39"/>
        <v>0</v>
      </c>
      <c r="BQ17" s="43">
        <f t="shared" si="40"/>
        <v>0</v>
      </c>
      <c r="BR17" s="35">
        <f t="shared" si="41"/>
        <v>0</v>
      </c>
      <c r="BS17" s="36">
        <f t="shared" si="42"/>
        <v>0</v>
      </c>
      <c r="BT17" s="35">
        <f t="shared" si="43"/>
        <v>0</v>
      </c>
      <c r="BU17" s="62">
        <f t="shared" si="44"/>
        <v>0</v>
      </c>
      <c r="BV17" s="61">
        <f t="shared" si="45"/>
        <v>0</v>
      </c>
      <c r="BW17" s="43">
        <f t="shared" si="46"/>
        <v>0</v>
      </c>
      <c r="BX17" s="35">
        <f t="shared" si="47"/>
        <v>0</v>
      </c>
      <c r="BY17" s="36">
        <f t="shared" si="48"/>
        <v>0</v>
      </c>
      <c r="BZ17" s="35">
        <f t="shared" si="49"/>
        <v>0</v>
      </c>
      <c r="CA17" s="62">
        <f t="shared" si="50"/>
        <v>0</v>
      </c>
      <c r="CB17" s="61">
        <f t="shared" si="51"/>
        <v>0</v>
      </c>
      <c r="CC17" s="43">
        <f t="shared" si="52"/>
        <v>0</v>
      </c>
      <c r="CD17" s="35">
        <f t="shared" si="53"/>
        <v>0</v>
      </c>
      <c r="CE17" s="36">
        <f t="shared" si="54"/>
        <v>0</v>
      </c>
      <c r="CF17" s="35">
        <f t="shared" si="55"/>
        <v>0</v>
      </c>
      <c r="CG17" s="62">
        <f t="shared" si="56"/>
        <v>0</v>
      </c>
      <c r="CH17" s="61">
        <f t="shared" si="57"/>
        <v>0</v>
      </c>
      <c r="CI17" s="43">
        <f t="shared" si="58"/>
        <v>0</v>
      </c>
      <c r="CJ17" s="35">
        <f t="shared" si="59"/>
        <v>0</v>
      </c>
      <c r="CK17" s="36">
        <f t="shared" si="60"/>
        <v>0</v>
      </c>
      <c r="CL17" s="35">
        <f t="shared" si="61"/>
        <v>0</v>
      </c>
      <c r="CM17" s="62">
        <f t="shared" si="62"/>
        <v>0</v>
      </c>
      <c r="CN17" s="61">
        <f t="shared" si="63"/>
        <v>0</v>
      </c>
      <c r="CO17" s="43">
        <f t="shared" si="64"/>
        <v>0</v>
      </c>
      <c r="CP17" s="35">
        <f t="shared" si="65"/>
        <v>0</v>
      </c>
      <c r="CQ17" s="36">
        <f t="shared" si="66"/>
        <v>0</v>
      </c>
      <c r="CR17" s="35">
        <f t="shared" si="67"/>
        <v>0</v>
      </c>
      <c r="CS17" s="62">
        <f t="shared" si="68"/>
        <v>0</v>
      </c>
      <c r="CT17" s="61">
        <f t="shared" si="69"/>
        <v>0</v>
      </c>
      <c r="CU17" s="43">
        <f t="shared" si="70"/>
        <v>0</v>
      </c>
      <c r="CV17" s="35">
        <f t="shared" si="71"/>
        <v>0</v>
      </c>
      <c r="CW17" s="36">
        <f t="shared" si="72"/>
        <v>0</v>
      </c>
      <c r="CX17" s="35">
        <f t="shared" si="6"/>
        <v>0</v>
      </c>
      <c r="CY17" s="62">
        <f t="shared" si="73"/>
        <v>0</v>
      </c>
      <c r="CZ17" s="61">
        <f t="shared" si="74"/>
        <v>0</v>
      </c>
      <c r="DA17" s="43">
        <f t="shared" si="75"/>
        <v>0</v>
      </c>
      <c r="DB17" s="35">
        <f t="shared" si="76"/>
        <v>0</v>
      </c>
      <c r="DC17" s="36">
        <f t="shared" si="77"/>
        <v>0</v>
      </c>
      <c r="DD17" s="35">
        <f t="shared" si="78"/>
        <v>0</v>
      </c>
      <c r="DE17" s="62">
        <f t="shared" si="7"/>
        <v>0</v>
      </c>
      <c r="DF17" s="61">
        <f t="shared" si="79"/>
        <v>0</v>
      </c>
      <c r="DG17" s="43">
        <f t="shared" si="80"/>
        <v>0</v>
      </c>
      <c r="DH17" s="35">
        <f t="shared" si="81"/>
        <v>0</v>
      </c>
      <c r="DI17" s="36">
        <f t="shared" si="82"/>
        <v>0</v>
      </c>
      <c r="DJ17" s="35">
        <f t="shared" si="83"/>
        <v>0</v>
      </c>
      <c r="DK17" s="62">
        <f t="shared" si="84"/>
        <v>0</v>
      </c>
    </row>
    <row r="18" spans="2:115" x14ac:dyDescent="0.3">
      <c r="B18" s="1">
        <v>0.238147</v>
      </c>
      <c r="C18" s="1">
        <v>1.6424939999999999</v>
      </c>
      <c r="D18">
        <f t="shared" si="85"/>
        <v>15381.295469949537</v>
      </c>
      <c r="E18" s="4">
        <f t="shared" si="8"/>
        <v>0.23405050680115508</v>
      </c>
      <c r="G18" s="1">
        <v>0.234601</v>
      </c>
      <c r="H18" s="1">
        <v>1.6602749999999999</v>
      </c>
      <c r="I18">
        <f t="shared" si="9"/>
        <v>15187.2057263315</v>
      </c>
      <c r="J18" s="4">
        <f t="shared" si="10"/>
        <v>0.23704162996609296</v>
      </c>
      <c r="L18" s="1">
        <v>0.23325899999999999</v>
      </c>
      <c r="M18" s="1">
        <v>1.6336790000000001</v>
      </c>
      <c r="N18">
        <f t="shared" si="11"/>
        <v>14984.26440674498</v>
      </c>
      <c r="O18" s="4">
        <f t="shared" si="12"/>
        <v>0.24025203388559432</v>
      </c>
      <c r="Q18" s="20">
        <v>0.23213900000000001</v>
      </c>
      <c r="R18" s="20">
        <v>1.6049</v>
      </c>
      <c r="S18" s="96">
        <f t="shared" si="13"/>
        <v>14720.300589274279</v>
      </c>
      <c r="T18" s="16">
        <f t="shared" si="14"/>
        <v>0.2445602233573331</v>
      </c>
      <c r="V18" s="1">
        <v>0.23352700000000001</v>
      </c>
      <c r="W18" s="1">
        <v>1.5753379999999999</v>
      </c>
      <c r="X18">
        <f t="shared" si="15"/>
        <v>14534.7045887239</v>
      </c>
      <c r="Y18" s="4">
        <f t="shared" si="16"/>
        <v>0.24768305251920281</v>
      </c>
      <c r="AA18" s="1">
        <v>0.24096200000000001</v>
      </c>
      <c r="AB18" s="1">
        <v>1.5425709999999999</v>
      </c>
      <c r="AC18">
        <f t="shared" si="17"/>
        <v>14305.799704318411</v>
      </c>
      <c r="AD18" s="4">
        <f t="shared" si="18"/>
        <v>0.25164619066442601</v>
      </c>
      <c r="AF18" s="1">
        <v>0.249662</v>
      </c>
      <c r="AG18" s="1">
        <v>1.521622</v>
      </c>
      <c r="AH18">
        <f t="shared" si="19"/>
        <v>14212.102370752613</v>
      </c>
      <c r="AI18" s="4">
        <f t="shared" si="20"/>
        <v>0.25330523986433678</v>
      </c>
      <c r="AK18" s="1">
        <v>0.25796200000000002</v>
      </c>
      <c r="AL18" s="1">
        <v>1.518281</v>
      </c>
      <c r="AM18">
        <f t="shared" si="21"/>
        <v>14272.296884299998</v>
      </c>
      <c r="AN18" s="4">
        <f t="shared" si="22"/>
        <v>0.25223690546685024</v>
      </c>
      <c r="AP18" s="1">
        <v>0.26653399999999999</v>
      </c>
      <c r="AQ18" s="1">
        <v>1.6926639999999999</v>
      </c>
      <c r="AR18">
        <f t="shared" si="23"/>
        <v>16017.50440664927</v>
      </c>
      <c r="AS18" s="4">
        <f t="shared" si="24"/>
        <v>0.22475411328780712</v>
      </c>
      <c r="AU18" s="1">
        <v>0.27871600000000002</v>
      </c>
      <c r="AV18" s="1">
        <v>1.6814819999999999</v>
      </c>
      <c r="AW18">
        <f t="shared" si="25"/>
        <v>16090.09753149959</v>
      </c>
      <c r="AX18" s="4">
        <f t="shared" si="26"/>
        <v>0.22374009809152984</v>
      </c>
      <c r="AZ18" s="56"/>
      <c r="BA18" s="108"/>
      <c r="BB18" s="108"/>
      <c r="BD18" s="61">
        <f t="shared" si="27"/>
        <v>0</v>
      </c>
      <c r="BE18" s="43">
        <f t="shared" si="28"/>
        <v>0</v>
      </c>
      <c r="BF18" s="35">
        <f t="shared" si="29"/>
        <v>0</v>
      </c>
      <c r="BG18" s="36">
        <f t="shared" si="30"/>
        <v>0</v>
      </c>
      <c r="BH18" s="35">
        <f t="shared" si="31"/>
        <v>0</v>
      </c>
      <c r="BI18" s="62">
        <f t="shared" si="32"/>
        <v>0</v>
      </c>
      <c r="BJ18" s="61">
        <f t="shared" si="33"/>
        <v>0</v>
      </c>
      <c r="BK18" s="43">
        <f t="shared" si="34"/>
        <v>0</v>
      </c>
      <c r="BL18" s="35">
        <f t="shared" si="35"/>
        <v>0</v>
      </c>
      <c r="BM18" s="36">
        <f t="shared" si="36"/>
        <v>0</v>
      </c>
      <c r="BN18" s="35">
        <f t="shared" si="37"/>
        <v>0</v>
      </c>
      <c r="BO18" s="62">
        <f t="shared" si="38"/>
        <v>0</v>
      </c>
      <c r="BP18" s="61">
        <f t="shared" si="39"/>
        <v>0</v>
      </c>
      <c r="BQ18" s="43">
        <f t="shared" si="40"/>
        <v>0</v>
      </c>
      <c r="BR18" s="35">
        <f t="shared" si="41"/>
        <v>0</v>
      </c>
      <c r="BS18" s="36">
        <f t="shared" si="42"/>
        <v>0</v>
      </c>
      <c r="BT18" s="35">
        <f t="shared" si="43"/>
        <v>0</v>
      </c>
      <c r="BU18" s="62">
        <f t="shared" si="44"/>
        <v>0</v>
      </c>
      <c r="BV18" s="61">
        <f t="shared" si="45"/>
        <v>0</v>
      </c>
      <c r="BW18" s="43">
        <f t="shared" si="46"/>
        <v>0</v>
      </c>
      <c r="BX18" s="35">
        <f t="shared" si="47"/>
        <v>0</v>
      </c>
      <c r="BY18" s="36">
        <f t="shared" si="48"/>
        <v>0</v>
      </c>
      <c r="BZ18" s="35">
        <f t="shared" si="49"/>
        <v>0</v>
      </c>
      <c r="CA18" s="62">
        <f t="shared" si="50"/>
        <v>0</v>
      </c>
      <c r="CB18" s="61">
        <f t="shared" si="51"/>
        <v>0</v>
      </c>
      <c r="CC18" s="43">
        <f t="shared" si="52"/>
        <v>0</v>
      </c>
      <c r="CD18" s="35">
        <f t="shared" si="53"/>
        <v>0</v>
      </c>
      <c r="CE18" s="36">
        <f t="shared" si="54"/>
        <v>0</v>
      </c>
      <c r="CF18" s="35">
        <f t="shared" si="55"/>
        <v>0</v>
      </c>
      <c r="CG18" s="62">
        <f t="shared" si="56"/>
        <v>0</v>
      </c>
      <c r="CH18" s="61">
        <f t="shared" si="57"/>
        <v>0</v>
      </c>
      <c r="CI18" s="43">
        <f t="shared" si="58"/>
        <v>0</v>
      </c>
      <c r="CJ18" s="35">
        <f t="shared" si="59"/>
        <v>0</v>
      </c>
      <c r="CK18" s="36">
        <f t="shared" si="60"/>
        <v>0</v>
      </c>
      <c r="CL18" s="35">
        <f t="shared" si="61"/>
        <v>0</v>
      </c>
      <c r="CM18" s="62">
        <f t="shared" si="62"/>
        <v>0</v>
      </c>
      <c r="CN18" s="61">
        <f t="shared" si="63"/>
        <v>0</v>
      </c>
      <c r="CO18" s="43">
        <f t="shared" si="64"/>
        <v>0</v>
      </c>
      <c r="CP18" s="35">
        <f t="shared" si="65"/>
        <v>0</v>
      </c>
      <c r="CQ18" s="36">
        <f t="shared" si="66"/>
        <v>0</v>
      </c>
      <c r="CR18" s="35">
        <f t="shared" si="67"/>
        <v>0</v>
      </c>
      <c r="CS18" s="62">
        <f t="shared" si="68"/>
        <v>0</v>
      </c>
      <c r="CT18" s="61">
        <f t="shared" si="69"/>
        <v>0</v>
      </c>
      <c r="CU18" s="43">
        <f t="shared" si="70"/>
        <v>0</v>
      </c>
      <c r="CV18" s="35">
        <f t="shared" si="71"/>
        <v>0</v>
      </c>
      <c r="CW18" s="36">
        <f t="shared" si="72"/>
        <v>0</v>
      </c>
      <c r="CX18" s="35">
        <f t="shared" si="6"/>
        <v>0</v>
      </c>
      <c r="CY18" s="62">
        <f t="shared" si="73"/>
        <v>0</v>
      </c>
      <c r="CZ18" s="61">
        <f t="shared" si="74"/>
        <v>0</v>
      </c>
      <c r="DA18" s="43">
        <f t="shared" si="75"/>
        <v>0</v>
      </c>
      <c r="DB18" s="35">
        <f t="shared" si="76"/>
        <v>0</v>
      </c>
      <c r="DC18" s="36">
        <f t="shared" si="77"/>
        <v>0</v>
      </c>
      <c r="DD18" s="35">
        <f t="shared" si="78"/>
        <v>0</v>
      </c>
      <c r="DE18" s="62">
        <f t="shared" si="7"/>
        <v>0</v>
      </c>
      <c r="DF18" s="61">
        <f t="shared" si="79"/>
        <v>0</v>
      </c>
      <c r="DG18" s="43">
        <f t="shared" si="80"/>
        <v>0</v>
      </c>
      <c r="DH18" s="35">
        <f t="shared" si="81"/>
        <v>0</v>
      </c>
      <c r="DI18" s="36">
        <f t="shared" si="82"/>
        <v>0</v>
      </c>
      <c r="DJ18" s="35">
        <f t="shared" si="83"/>
        <v>0</v>
      </c>
      <c r="DK18" s="62">
        <f t="shared" si="84"/>
        <v>0</v>
      </c>
    </row>
    <row r="19" spans="2:115" x14ac:dyDescent="0.3">
      <c r="B19" s="1">
        <v>0.25240499999999999</v>
      </c>
      <c r="C19" s="1">
        <v>1.5866880000000001</v>
      </c>
      <c r="D19">
        <f t="shared" si="85"/>
        <v>14858.694732902095</v>
      </c>
      <c r="E19" s="4">
        <f t="shared" si="8"/>
        <v>0.24228238514305042</v>
      </c>
      <c r="G19" s="1">
        <v>0.24864600000000001</v>
      </c>
      <c r="H19" s="1">
        <v>1.603396</v>
      </c>
      <c r="I19">
        <f t="shared" si="9"/>
        <v>14666.910549624021</v>
      </c>
      <c r="J19" s="4">
        <f t="shared" si="10"/>
        <v>0.24545046401011045</v>
      </c>
      <c r="L19" s="1">
        <v>0.247224</v>
      </c>
      <c r="M19" s="1">
        <v>1.576308</v>
      </c>
      <c r="N19">
        <f t="shared" si="11"/>
        <v>14458.051954188897</v>
      </c>
      <c r="O19" s="4">
        <f t="shared" si="12"/>
        <v>0.24899620027696615</v>
      </c>
      <c r="Q19" s="20">
        <v>0.24603700000000001</v>
      </c>
      <c r="R19" s="20">
        <v>1.5478000000000001</v>
      </c>
      <c r="S19" s="96">
        <f t="shared" si="13"/>
        <v>14196.57377536216</v>
      </c>
      <c r="T19" s="16">
        <f t="shared" si="14"/>
        <v>0.25358231196936548</v>
      </c>
      <c r="V19" s="1">
        <v>0.24750800000000001</v>
      </c>
      <c r="W19" s="1">
        <v>1.518675</v>
      </c>
      <c r="X19">
        <f t="shared" si="15"/>
        <v>14011.908867354352</v>
      </c>
      <c r="Y19" s="4">
        <f t="shared" si="16"/>
        <v>0.25692430874907135</v>
      </c>
      <c r="AA19" s="1">
        <v>0.255388</v>
      </c>
      <c r="AB19" s="1">
        <v>1.4889479999999999</v>
      </c>
      <c r="AC19">
        <f t="shared" si="17"/>
        <v>13808.5001326652</v>
      </c>
      <c r="AD19" s="4">
        <f t="shared" si="18"/>
        <v>0.26070898109229756</v>
      </c>
      <c r="AF19" s="1">
        <v>0.26461000000000001</v>
      </c>
      <c r="AG19" s="1">
        <v>1.4844379999999999</v>
      </c>
      <c r="AH19">
        <f t="shared" si="19"/>
        <v>13864.800074548912</v>
      </c>
      <c r="AI19" s="4">
        <f t="shared" si="20"/>
        <v>0.25965033614933858</v>
      </c>
      <c r="AK19" s="1">
        <v>0.27340700000000001</v>
      </c>
      <c r="AL19" s="1">
        <v>1.654096</v>
      </c>
      <c r="AM19">
        <f t="shared" si="21"/>
        <v>15548.998628799998</v>
      </c>
      <c r="AN19" s="4">
        <f t="shared" si="22"/>
        <v>0.23152616357763686</v>
      </c>
      <c r="AP19" s="1">
        <v>0.28249200000000002</v>
      </c>
      <c r="AQ19" s="1">
        <v>1.6505399999999999</v>
      </c>
      <c r="AR19">
        <f t="shared" si="23"/>
        <v>15618.889350367755</v>
      </c>
      <c r="AS19" s="4">
        <f t="shared" si="24"/>
        <v>0.23049014044748553</v>
      </c>
      <c r="AU19" s="1">
        <v>0.29540300000000003</v>
      </c>
      <c r="AV19" s="1">
        <v>1.6397219999999999</v>
      </c>
      <c r="AW19">
        <f t="shared" si="25"/>
        <v>15690.496184048101</v>
      </c>
      <c r="AX19" s="4">
        <f t="shared" si="26"/>
        <v>0.22943825088590733</v>
      </c>
      <c r="AZ19" s="56"/>
      <c r="BA19" s="108"/>
      <c r="BB19" s="108"/>
      <c r="BD19" s="61">
        <f t="shared" si="27"/>
        <v>0</v>
      </c>
      <c r="BE19" s="43">
        <f t="shared" si="28"/>
        <v>0</v>
      </c>
      <c r="BF19" s="35">
        <f t="shared" si="29"/>
        <v>0</v>
      </c>
      <c r="BG19" s="36">
        <f t="shared" si="30"/>
        <v>0</v>
      </c>
      <c r="BH19" s="35">
        <f t="shared" si="31"/>
        <v>0</v>
      </c>
      <c r="BI19" s="62">
        <f t="shared" si="32"/>
        <v>0</v>
      </c>
      <c r="BJ19" s="61">
        <f t="shared" si="33"/>
        <v>0</v>
      </c>
      <c r="BK19" s="43">
        <f t="shared" si="34"/>
        <v>0</v>
      </c>
      <c r="BL19" s="35">
        <f t="shared" si="35"/>
        <v>0</v>
      </c>
      <c r="BM19" s="36">
        <f t="shared" si="36"/>
        <v>0</v>
      </c>
      <c r="BN19" s="35">
        <f t="shared" si="37"/>
        <v>0</v>
      </c>
      <c r="BO19" s="62">
        <f t="shared" si="38"/>
        <v>0</v>
      </c>
      <c r="BP19" s="61">
        <f t="shared" si="39"/>
        <v>0</v>
      </c>
      <c r="BQ19" s="43">
        <f t="shared" si="40"/>
        <v>0</v>
      </c>
      <c r="BR19" s="35">
        <f t="shared" si="41"/>
        <v>0</v>
      </c>
      <c r="BS19" s="36">
        <f t="shared" si="42"/>
        <v>0</v>
      </c>
      <c r="BT19" s="35">
        <f t="shared" si="43"/>
        <v>0</v>
      </c>
      <c r="BU19" s="62">
        <f t="shared" si="44"/>
        <v>0</v>
      </c>
      <c r="BV19" s="61">
        <f t="shared" si="45"/>
        <v>0</v>
      </c>
      <c r="BW19" s="43">
        <f t="shared" si="46"/>
        <v>0</v>
      </c>
      <c r="BX19" s="35">
        <f t="shared" si="47"/>
        <v>0</v>
      </c>
      <c r="BY19" s="36">
        <f t="shared" si="48"/>
        <v>0</v>
      </c>
      <c r="BZ19" s="35">
        <f t="shared" si="49"/>
        <v>0</v>
      </c>
      <c r="CA19" s="62">
        <f t="shared" si="50"/>
        <v>0</v>
      </c>
      <c r="CB19" s="61">
        <f t="shared" si="51"/>
        <v>0</v>
      </c>
      <c r="CC19" s="43">
        <f t="shared" si="52"/>
        <v>0</v>
      </c>
      <c r="CD19" s="35">
        <f t="shared" si="53"/>
        <v>0</v>
      </c>
      <c r="CE19" s="36">
        <f t="shared" si="54"/>
        <v>0</v>
      </c>
      <c r="CF19" s="35">
        <f t="shared" si="55"/>
        <v>0</v>
      </c>
      <c r="CG19" s="62">
        <f t="shared" si="56"/>
        <v>0</v>
      </c>
      <c r="CH19" s="61">
        <f t="shared" si="57"/>
        <v>0</v>
      </c>
      <c r="CI19" s="43">
        <f t="shared" si="58"/>
        <v>0</v>
      </c>
      <c r="CJ19" s="35">
        <f t="shared" si="59"/>
        <v>0</v>
      </c>
      <c r="CK19" s="36">
        <f t="shared" si="60"/>
        <v>0</v>
      </c>
      <c r="CL19" s="35">
        <f t="shared" si="61"/>
        <v>0</v>
      </c>
      <c r="CM19" s="62">
        <f t="shared" si="62"/>
        <v>0</v>
      </c>
      <c r="CN19" s="61">
        <f t="shared" si="63"/>
        <v>0</v>
      </c>
      <c r="CO19" s="43">
        <f t="shared" si="64"/>
        <v>0</v>
      </c>
      <c r="CP19" s="35">
        <f t="shared" si="65"/>
        <v>0</v>
      </c>
      <c r="CQ19" s="36">
        <f t="shared" si="66"/>
        <v>0</v>
      </c>
      <c r="CR19" s="35">
        <f t="shared" si="67"/>
        <v>0</v>
      </c>
      <c r="CS19" s="62">
        <f t="shared" si="68"/>
        <v>0</v>
      </c>
      <c r="CT19" s="61">
        <f t="shared" si="69"/>
        <v>0</v>
      </c>
      <c r="CU19" s="43">
        <f t="shared" si="70"/>
        <v>0</v>
      </c>
      <c r="CV19" s="35">
        <f t="shared" si="71"/>
        <v>0</v>
      </c>
      <c r="CW19" s="36">
        <f t="shared" si="72"/>
        <v>0</v>
      </c>
      <c r="CX19" s="35">
        <f t="shared" si="6"/>
        <v>0</v>
      </c>
      <c r="CY19" s="62">
        <f t="shared" si="73"/>
        <v>0</v>
      </c>
      <c r="CZ19" s="61">
        <f t="shared" si="74"/>
        <v>0</v>
      </c>
      <c r="DA19" s="43">
        <f t="shared" si="75"/>
        <v>0</v>
      </c>
      <c r="DB19" s="35">
        <f t="shared" si="76"/>
        <v>0</v>
      </c>
      <c r="DC19" s="36">
        <f t="shared" si="77"/>
        <v>0</v>
      </c>
      <c r="DD19" s="35">
        <f t="shared" si="78"/>
        <v>0</v>
      </c>
      <c r="DE19" s="62">
        <f t="shared" si="7"/>
        <v>0</v>
      </c>
      <c r="DF19" s="61">
        <f t="shared" si="79"/>
        <v>0</v>
      </c>
      <c r="DG19" s="43">
        <f t="shared" si="80"/>
        <v>0</v>
      </c>
      <c r="DH19" s="35">
        <f t="shared" si="81"/>
        <v>0</v>
      </c>
      <c r="DI19" s="36">
        <f t="shared" si="82"/>
        <v>0</v>
      </c>
      <c r="DJ19" s="35">
        <f t="shared" si="83"/>
        <v>0</v>
      </c>
      <c r="DK19" s="62">
        <f t="shared" si="84"/>
        <v>0</v>
      </c>
    </row>
    <row r="20" spans="2:115" x14ac:dyDescent="0.3">
      <c r="B20" s="1">
        <v>0.26663399999999998</v>
      </c>
      <c r="C20" s="1">
        <v>1.535901</v>
      </c>
      <c r="D20">
        <f t="shared" si="85"/>
        <v>14383.094911513201</v>
      </c>
      <c r="E20" s="4">
        <f t="shared" si="8"/>
        <v>0.25029383607267425</v>
      </c>
      <c r="G20" s="1">
        <v>0.26266400000000001</v>
      </c>
      <c r="H20" s="1">
        <v>1.5515669999999999</v>
      </c>
      <c r="I20">
        <f t="shared" si="9"/>
        <v>14192.809761748496</v>
      </c>
      <c r="J20" s="4">
        <f t="shared" si="10"/>
        <v>0.25364956343616168</v>
      </c>
      <c r="L20" s="1">
        <v>0.26116099999999998</v>
      </c>
      <c r="M20" s="1">
        <v>1.524324</v>
      </c>
      <c r="N20">
        <f t="shared" si="11"/>
        <v>13981.249595267573</v>
      </c>
      <c r="O20" s="4">
        <f t="shared" si="12"/>
        <v>0.25748771420392508</v>
      </c>
      <c r="Q20" s="14">
        <v>0.259907</v>
      </c>
      <c r="R20" s="14">
        <v>1.4957549999999999</v>
      </c>
      <c r="S20" s="15">
        <f t="shared" si="13"/>
        <v>13719.211918443485</v>
      </c>
      <c r="T20" s="16">
        <f t="shared" si="14"/>
        <v>0.26240574323079913</v>
      </c>
      <c r="V20" s="1">
        <v>0.26146200000000003</v>
      </c>
      <c r="W20" s="1">
        <v>1.467322</v>
      </c>
      <c r="X20">
        <f t="shared" si="15"/>
        <v>13538.105350429896</v>
      </c>
      <c r="Y20" s="4">
        <f t="shared" si="16"/>
        <v>0.26591608698669816</v>
      </c>
      <c r="AA20" s="1">
        <v>0.26978600000000003</v>
      </c>
      <c r="AB20" s="1">
        <v>1.454712</v>
      </c>
      <c r="AC20">
        <f t="shared" si="17"/>
        <v>13490.99555188607</v>
      </c>
      <c r="AD20" s="4">
        <f t="shared" si="18"/>
        <v>0.26684465102330512</v>
      </c>
      <c r="AF20" s="1">
        <v>0.27952700000000003</v>
      </c>
      <c r="AG20" s="1">
        <v>1.450177</v>
      </c>
      <c r="AH20">
        <f t="shared" si="19"/>
        <v>13544.798892044746</v>
      </c>
      <c r="AI20" s="4">
        <f t="shared" si="20"/>
        <v>0.26578467710689929</v>
      </c>
      <c r="AK20" s="1">
        <v>0.28882000000000002</v>
      </c>
      <c r="AL20" s="1">
        <v>1.61598</v>
      </c>
      <c r="AM20">
        <f t="shared" si="21"/>
        <v>15190.696793999998</v>
      </c>
      <c r="AN20" s="4">
        <f t="shared" si="22"/>
        <v>0.23698715396794195</v>
      </c>
      <c r="AP20" s="1">
        <v>0.29841699999999999</v>
      </c>
      <c r="AQ20" s="1">
        <v>1.6125910000000001</v>
      </c>
      <c r="AR20">
        <f t="shared" si="23"/>
        <v>15259.78188738164</v>
      </c>
      <c r="AS20" s="4">
        <f t="shared" si="24"/>
        <v>0.23591425005732558</v>
      </c>
      <c r="AU20" s="1">
        <v>0.312056</v>
      </c>
      <c r="AV20" s="1">
        <v>1.6021529999999999</v>
      </c>
      <c r="AW20">
        <f t="shared" si="25"/>
        <v>15330.998506308521</v>
      </c>
      <c r="AX20" s="4">
        <f t="shared" si="26"/>
        <v>0.23481836479982979</v>
      </c>
      <c r="AZ20" s="138"/>
      <c r="BA20" s="108"/>
      <c r="BB20" s="108"/>
      <c r="BD20" s="61">
        <f t="shared" si="27"/>
        <v>0</v>
      </c>
      <c r="BE20" s="43">
        <f t="shared" si="28"/>
        <v>0</v>
      </c>
      <c r="BF20" s="35">
        <f t="shared" si="29"/>
        <v>0</v>
      </c>
      <c r="BG20" s="36">
        <f t="shared" si="30"/>
        <v>0</v>
      </c>
      <c r="BH20" s="35">
        <f t="shared" si="31"/>
        <v>0</v>
      </c>
      <c r="BI20" s="62">
        <f t="shared" si="32"/>
        <v>0</v>
      </c>
      <c r="BJ20" s="61">
        <f t="shared" si="33"/>
        <v>0</v>
      </c>
      <c r="BK20" s="43">
        <f t="shared" si="34"/>
        <v>0</v>
      </c>
      <c r="BL20" s="35">
        <f t="shared" si="35"/>
        <v>0</v>
      </c>
      <c r="BM20" s="36">
        <f t="shared" si="36"/>
        <v>0</v>
      </c>
      <c r="BN20" s="35">
        <f t="shared" si="37"/>
        <v>0</v>
      </c>
      <c r="BO20" s="62">
        <f t="shared" si="38"/>
        <v>0</v>
      </c>
      <c r="BP20" s="61">
        <f t="shared" si="39"/>
        <v>0</v>
      </c>
      <c r="BQ20" s="43">
        <f t="shared" si="40"/>
        <v>0</v>
      </c>
      <c r="BR20" s="35">
        <f t="shared" si="41"/>
        <v>0</v>
      </c>
      <c r="BS20" s="36">
        <f t="shared" si="42"/>
        <v>0</v>
      </c>
      <c r="BT20" s="35">
        <f t="shared" si="43"/>
        <v>0</v>
      </c>
      <c r="BU20" s="62">
        <f t="shared" si="44"/>
        <v>0</v>
      </c>
      <c r="BV20" s="61">
        <f t="shared" si="45"/>
        <v>0</v>
      </c>
      <c r="BW20" s="43">
        <f t="shared" si="46"/>
        <v>0</v>
      </c>
      <c r="BX20" s="35">
        <f t="shared" si="47"/>
        <v>0</v>
      </c>
      <c r="BY20" s="36">
        <f t="shared" si="48"/>
        <v>0</v>
      </c>
      <c r="BZ20" s="35">
        <f t="shared" si="49"/>
        <v>0</v>
      </c>
      <c r="CA20" s="62">
        <f t="shared" si="50"/>
        <v>0</v>
      </c>
      <c r="CB20" s="61">
        <f t="shared" si="51"/>
        <v>0</v>
      </c>
      <c r="CC20" s="43">
        <f t="shared" si="52"/>
        <v>0</v>
      </c>
      <c r="CD20" s="35">
        <f t="shared" si="53"/>
        <v>0</v>
      </c>
      <c r="CE20" s="36">
        <f t="shared" si="54"/>
        <v>0</v>
      </c>
      <c r="CF20" s="35">
        <f t="shared" si="55"/>
        <v>0</v>
      </c>
      <c r="CG20" s="62">
        <f t="shared" si="56"/>
        <v>0</v>
      </c>
      <c r="CH20" s="61">
        <f t="shared" si="57"/>
        <v>0</v>
      </c>
      <c r="CI20" s="43">
        <f t="shared" si="58"/>
        <v>0</v>
      </c>
      <c r="CJ20" s="35">
        <f t="shared" si="59"/>
        <v>0</v>
      </c>
      <c r="CK20" s="36">
        <f t="shared" si="60"/>
        <v>0</v>
      </c>
      <c r="CL20" s="35">
        <f t="shared" si="61"/>
        <v>0</v>
      </c>
      <c r="CM20" s="62">
        <f t="shared" si="62"/>
        <v>0</v>
      </c>
      <c r="CN20" s="61">
        <f t="shared" si="63"/>
        <v>0</v>
      </c>
      <c r="CO20" s="43">
        <f t="shared" si="64"/>
        <v>0</v>
      </c>
      <c r="CP20" s="35">
        <f t="shared" si="65"/>
        <v>0</v>
      </c>
      <c r="CQ20" s="36">
        <f t="shared" si="66"/>
        <v>0</v>
      </c>
      <c r="CR20" s="35">
        <f t="shared" si="67"/>
        <v>0</v>
      </c>
      <c r="CS20" s="62">
        <f t="shared" si="68"/>
        <v>0</v>
      </c>
      <c r="CT20" s="61">
        <f t="shared" si="69"/>
        <v>0</v>
      </c>
      <c r="CU20" s="43">
        <f t="shared" si="70"/>
        <v>0</v>
      </c>
      <c r="CV20" s="35">
        <f t="shared" si="71"/>
        <v>0</v>
      </c>
      <c r="CW20" s="36">
        <f t="shared" si="72"/>
        <v>0</v>
      </c>
      <c r="CX20" s="35">
        <f t="shared" si="6"/>
        <v>0</v>
      </c>
      <c r="CY20" s="62">
        <f t="shared" si="73"/>
        <v>0</v>
      </c>
      <c r="CZ20" s="61">
        <f t="shared" si="74"/>
        <v>0</v>
      </c>
      <c r="DA20" s="43">
        <f t="shared" si="75"/>
        <v>0</v>
      </c>
      <c r="DB20" s="35">
        <f t="shared" si="76"/>
        <v>0</v>
      </c>
      <c r="DC20" s="36">
        <f t="shared" si="77"/>
        <v>0</v>
      </c>
      <c r="DD20" s="35">
        <f t="shared" si="78"/>
        <v>0</v>
      </c>
      <c r="DE20" s="62">
        <f t="shared" si="7"/>
        <v>0</v>
      </c>
      <c r="DF20" s="61">
        <f t="shared" si="79"/>
        <v>0</v>
      </c>
      <c r="DG20" s="43">
        <f t="shared" si="80"/>
        <v>0</v>
      </c>
      <c r="DH20" s="35">
        <f t="shared" si="81"/>
        <v>0</v>
      </c>
      <c r="DI20" s="36">
        <f t="shared" si="82"/>
        <v>0</v>
      </c>
      <c r="DJ20" s="35">
        <f t="shared" si="83"/>
        <v>0</v>
      </c>
      <c r="DK20" s="62">
        <f t="shared" si="84"/>
        <v>0</v>
      </c>
    </row>
    <row r="21" spans="2:115" x14ac:dyDescent="0.3">
      <c r="B21" s="1">
        <v>0.28086299999999997</v>
      </c>
      <c r="C21" s="1">
        <v>1.4893320000000001</v>
      </c>
      <c r="D21">
        <f t="shared" si="85"/>
        <v>13946.994963056721</v>
      </c>
      <c r="E21" s="4">
        <f t="shared" si="8"/>
        <v>0.25812011903179172</v>
      </c>
      <c r="G21" s="1">
        <v>0.27668100000000001</v>
      </c>
      <c r="H21" s="1">
        <v>1.5031920000000001</v>
      </c>
      <c r="I21">
        <f t="shared" si="9"/>
        <v>13750.304106353286</v>
      </c>
      <c r="J21" s="4">
        <f t="shared" si="10"/>
        <v>0.26181239135915774</v>
      </c>
      <c r="L21" s="1">
        <v>0.27509800000000001</v>
      </c>
      <c r="M21" s="1">
        <v>1.4764170000000001</v>
      </c>
      <c r="N21">
        <f t="shared" si="11"/>
        <v>13541.841881185474</v>
      </c>
      <c r="O21" s="4">
        <f t="shared" si="12"/>
        <v>0.26584271412899191</v>
      </c>
      <c r="Q21" s="14">
        <v>0.27377800000000002</v>
      </c>
      <c r="R21" s="14">
        <v>1.4480150000000001</v>
      </c>
      <c r="S21" s="15">
        <f t="shared" si="13"/>
        <v>13281.335944780358</v>
      </c>
      <c r="T21" s="16">
        <f t="shared" si="14"/>
        <v>0.27105706948214203</v>
      </c>
      <c r="V21" s="1">
        <v>0.27541500000000002</v>
      </c>
      <c r="W21" s="1">
        <v>1.424965</v>
      </c>
      <c r="X21">
        <f t="shared" si="15"/>
        <v>13147.302562542738</v>
      </c>
      <c r="Y21" s="4">
        <f t="shared" si="16"/>
        <v>0.2738204268803065</v>
      </c>
      <c r="AA21" s="1">
        <v>0.28418300000000002</v>
      </c>
      <c r="AB21" s="1">
        <v>1.4231400000000001</v>
      </c>
      <c r="AC21">
        <f t="shared" si="17"/>
        <v>13198.196900631287</v>
      </c>
      <c r="AD21" s="4">
        <f t="shared" si="18"/>
        <v>0.27276453193601069</v>
      </c>
      <c r="AF21" s="1">
        <v>0.29444399999999998</v>
      </c>
      <c r="AG21" s="1">
        <v>1.584533</v>
      </c>
      <c r="AH21">
        <f t="shared" si="19"/>
        <v>14799.697431974399</v>
      </c>
      <c r="AI21" s="4">
        <f t="shared" si="20"/>
        <v>0.24324821615760095</v>
      </c>
      <c r="AK21" s="1">
        <v>0.30423299999999998</v>
      </c>
      <c r="AL21" s="1">
        <v>1.581386</v>
      </c>
      <c r="AM21">
        <f t="shared" si="21"/>
        <v>14865.502815799999</v>
      </c>
      <c r="AN21" s="4">
        <f t="shared" si="22"/>
        <v>0.24217142498359975</v>
      </c>
      <c r="AP21" s="1">
        <v>0.31434200000000001</v>
      </c>
      <c r="AQ21" s="1">
        <v>1.5781499999999999</v>
      </c>
      <c r="AR21">
        <f t="shared" si="23"/>
        <v>14933.870265660253</v>
      </c>
      <c r="AS21" s="4">
        <f t="shared" si="24"/>
        <v>0.24106276109000588</v>
      </c>
      <c r="AU21" s="1">
        <v>0.32870899999999997</v>
      </c>
      <c r="AV21" s="1">
        <v>1.568011</v>
      </c>
      <c r="AW21">
        <f t="shared" si="25"/>
        <v>15004.293783974021</v>
      </c>
      <c r="AX21" s="4">
        <f t="shared" si="26"/>
        <v>0.23993131911647414</v>
      </c>
      <c r="AZ21" s="138"/>
      <c r="BA21" s="44"/>
      <c r="BB21" s="137"/>
      <c r="BD21" s="61">
        <f t="shared" si="27"/>
        <v>0</v>
      </c>
      <c r="BE21" s="43">
        <f t="shared" si="28"/>
        <v>0</v>
      </c>
      <c r="BF21" s="35">
        <f t="shared" si="29"/>
        <v>0</v>
      </c>
      <c r="BG21" s="36">
        <f t="shared" si="30"/>
        <v>0</v>
      </c>
      <c r="BH21" s="35">
        <f t="shared" si="31"/>
        <v>0</v>
      </c>
      <c r="BI21" s="62">
        <f t="shared" si="32"/>
        <v>0</v>
      </c>
      <c r="BJ21" s="61">
        <f t="shared" si="33"/>
        <v>0</v>
      </c>
      <c r="BK21" s="43">
        <f t="shared" si="34"/>
        <v>0</v>
      </c>
      <c r="BL21" s="35">
        <f t="shared" si="35"/>
        <v>0</v>
      </c>
      <c r="BM21" s="36">
        <f t="shared" si="36"/>
        <v>0</v>
      </c>
      <c r="BN21" s="35">
        <f t="shared" si="37"/>
        <v>0</v>
      </c>
      <c r="BO21" s="62">
        <f t="shared" si="38"/>
        <v>0</v>
      </c>
      <c r="BP21" s="61">
        <f t="shared" si="39"/>
        <v>0</v>
      </c>
      <c r="BQ21" s="43">
        <f t="shared" si="40"/>
        <v>0</v>
      </c>
      <c r="BR21" s="35">
        <f t="shared" si="41"/>
        <v>0</v>
      </c>
      <c r="BS21" s="36">
        <f t="shared" si="42"/>
        <v>0</v>
      </c>
      <c r="BT21" s="35">
        <f t="shared" si="43"/>
        <v>0</v>
      </c>
      <c r="BU21" s="62">
        <f t="shared" si="44"/>
        <v>0</v>
      </c>
      <c r="BV21" s="61">
        <f t="shared" si="45"/>
        <v>0</v>
      </c>
      <c r="BW21" s="43">
        <f t="shared" si="46"/>
        <v>0</v>
      </c>
      <c r="BX21" s="35">
        <f t="shared" si="47"/>
        <v>0</v>
      </c>
      <c r="BY21" s="36">
        <f t="shared" si="48"/>
        <v>0</v>
      </c>
      <c r="BZ21" s="35">
        <f t="shared" si="49"/>
        <v>0</v>
      </c>
      <c r="CA21" s="62">
        <f t="shared" si="50"/>
        <v>0</v>
      </c>
      <c r="CB21" s="61">
        <f t="shared" si="51"/>
        <v>0</v>
      </c>
      <c r="CC21" s="43">
        <f t="shared" si="52"/>
        <v>0</v>
      </c>
      <c r="CD21" s="35">
        <f t="shared" si="53"/>
        <v>0</v>
      </c>
      <c r="CE21" s="36">
        <f t="shared" si="54"/>
        <v>0</v>
      </c>
      <c r="CF21" s="35">
        <f t="shared" si="55"/>
        <v>0</v>
      </c>
      <c r="CG21" s="62">
        <f t="shared" si="56"/>
        <v>0</v>
      </c>
      <c r="CH21" s="61">
        <f t="shared" si="57"/>
        <v>0</v>
      </c>
      <c r="CI21" s="43">
        <f t="shared" si="58"/>
        <v>0</v>
      </c>
      <c r="CJ21" s="35">
        <f t="shared" si="59"/>
        <v>0</v>
      </c>
      <c r="CK21" s="36">
        <f t="shared" si="60"/>
        <v>0</v>
      </c>
      <c r="CL21" s="35">
        <f t="shared" si="61"/>
        <v>0</v>
      </c>
      <c r="CM21" s="62">
        <f t="shared" si="62"/>
        <v>0</v>
      </c>
      <c r="CN21" s="61">
        <f t="shared" si="63"/>
        <v>0</v>
      </c>
      <c r="CO21" s="43">
        <f t="shared" si="64"/>
        <v>0</v>
      </c>
      <c r="CP21" s="35">
        <f t="shared" si="65"/>
        <v>0</v>
      </c>
      <c r="CQ21" s="36">
        <f t="shared" si="66"/>
        <v>0</v>
      </c>
      <c r="CR21" s="35">
        <f t="shared" si="67"/>
        <v>0</v>
      </c>
      <c r="CS21" s="62">
        <f t="shared" si="68"/>
        <v>0</v>
      </c>
      <c r="CT21" s="61">
        <f t="shared" si="69"/>
        <v>0</v>
      </c>
      <c r="CU21" s="43">
        <f t="shared" si="70"/>
        <v>0</v>
      </c>
      <c r="CV21" s="35">
        <f t="shared" si="71"/>
        <v>0</v>
      </c>
      <c r="CW21" s="36">
        <f t="shared" si="72"/>
        <v>0</v>
      </c>
      <c r="CX21" s="35">
        <f t="shared" si="6"/>
        <v>0</v>
      </c>
      <c r="CY21" s="62">
        <f t="shared" si="73"/>
        <v>0</v>
      </c>
      <c r="CZ21" s="61">
        <f t="shared" si="74"/>
        <v>0</v>
      </c>
      <c r="DA21" s="43">
        <f t="shared" si="75"/>
        <v>0</v>
      </c>
      <c r="DB21" s="35">
        <f t="shared" si="76"/>
        <v>0</v>
      </c>
      <c r="DC21" s="36">
        <f t="shared" si="77"/>
        <v>0</v>
      </c>
      <c r="DD21" s="35">
        <f t="shared" si="78"/>
        <v>0</v>
      </c>
      <c r="DE21" s="62">
        <f t="shared" si="7"/>
        <v>0</v>
      </c>
      <c r="DF21" s="61">
        <f t="shared" si="79"/>
        <v>0</v>
      </c>
      <c r="DG21" s="43">
        <f t="shared" si="80"/>
        <v>0</v>
      </c>
      <c r="DH21" s="35">
        <f t="shared" si="81"/>
        <v>0</v>
      </c>
      <c r="DI21" s="36">
        <f t="shared" si="82"/>
        <v>0</v>
      </c>
      <c r="DJ21" s="35">
        <f t="shared" si="83"/>
        <v>0</v>
      </c>
      <c r="DK21" s="62">
        <f t="shared" si="84"/>
        <v>0</v>
      </c>
    </row>
    <row r="22" spans="2:115" x14ac:dyDescent="0.3">
      <c r="B22" s="1">
        <v>0.29509299999999999</v>
      </c>
      <c r="C22" s="1">
        <v>1.446885</v>
      </c>
      <c r="D22">
        <f t="shared" si="85"/>
        <v>13549.495886157232</v>
      </c>
      <c r="E22" s="4">
        <f t="shared" si="8"/>
        <v>0.26569254164488287</v>
      </c>
      <c r="G22" s="1">
        <v>0.29069800000000001</v>
      </c>
      <c r="H22" s="1">
        <v>1.4590160000000001</v>
      </c>
      <c r="I22">
        <f t="shared" si="9"/>
        <v>13346.208399216564</v>
      </c>
      <c r="J22" s="4">
        <f t="shared" si="10"/>
        <v>0.26973953143211249</v>
      </c>
      <c r="L22" s="1">
        <v>0.28903499999999999</v>
      </c>
      <c r="M22" s="1">
        <v>1.4321520000000001</v>
      </c>
      <c r="N22">
        <f t="shared" si="11"/>
        <v>13135.838949174615</v>
      </c>
      <c r="O22" s="4">
        <f t="shared" si="12"/>
        <v>0.27405938927305473</v>
      </c>
      <c r="Q22" s="14">
        <v>0.28764800000000001</v>
      </c>
      <c r="R22" s="14">
        <v>1.404318</v>
      </c>
      <c r="S22" s="15">
        <f t="shared" si="13"/>
        <v>12880.542764613669</v>
      </c>
      <c r="T22" s="16">
        <f t="shared" si="14"/>
        <v>0.27949132779483277</v>
      </c>
      <c r="V22" s="1">
        <v>0.28936800000000001</v>
      </c>
      <c r="W22" s="1">
        <v>1.396048</v>
      </c>
      <c r="X22">
        <f t="shared" si="15"/>
        <v>12880.502642403613</v>
      </c>
      <c r="Y22" s="4">
        <f t="shared" si="16"/>
        <v>0.27949219839826134</v>
      </c>
      <c r="AA22" s="1">
        <v>0.29858099999999999</v>
      </c>
      <c r="AB22" s="1">
        <v>1.394307</v>
      </c>
      <c r="AC22">
        <f t="shared" si="17"/>
        <v>12930.799728718543</v>
      </c>
      <c r="AD22" s="4">
        <f t="shared" si="18"/>
        <v>0.27840505425233775</v>
      </c>
      <c r="AF22" s="1">
        <v>0.30936200000000003</v>
      </c>
      <c r="AG22" s="1">
        <v>1.5526390000000001</v>
      </c>
      <c r="AH22">
        <f t="shared" si="19"/>
        <v>14501.804267303552</v>
      </c>
      <c r="AI22" s="4">
        <f t="shared" si="20"/>
        <v>0.24824497239400264</v>
      </c>
      <c r="AK22" s="1">
        <v>0.31964599999999999</v>
      </c>
      <c r="AL22" s="1">
        <v>1.549631</v>
      </c>
      <c r="AM22">
        <f t="shared" si="21"/>
        <v>14566.996289299999</v>
      </c>
      <c r="AN22" s="4">
        <f t="shared" si="22"/>
        <v>0.24713399581520684</v>
      </c>
      <c r="AP22" s="1">
        <v>0.33026800000000001</v>
      </c>
      <c r="AQ22" s="1">
        <v>1.546478</v>
      </c>
      <c r="AR22">
        <f t="shared" si="23"/>
        <v>14634.161404617898</v>
      </c>
      <c r="AS22" s="4">
        <f t="shared" si="24"/>
        <v>0.24599974678863373</v>
      </c>
      <c r="AU22" s="1">
        <v>0.34536299999999998</v>
      </c>
      <c r="AV22" s="1">
        <v>1.536608</v>
      </c>
      <c r="AW22">
        <f t="shared" si="25"/>
        <v>14703.798546569349</v>
      </c>
      <c r="AX22" s="4">
        <f t="shared" si="26"/>
        <v>0.24483469279031592</v>
      </c>
      <c r="BD22" s="61">
        <f t="shared" si="27"/>
        <v>0</v>
      </c>
      <c r="BE22" s="43">
        <f t="shared" si="28"/>
        <v>0</v>
      </c>
      <c r="BF22" s="35">
        <f t="shared" si="29"/>
        <v>0</v>
      </c>
      <c r="BG22" s="36">
        <f t="shared" si="30"/>
        <v>0</v>
      </c>
      <c r="BH22" s="35">
        <f t="shared" si="31"/>
        <v>0</v>
      </c>
      <c r="BI22" s="62">
        <f t="shared" si="32"/>
        <v>0</v>
      </c>
      <c r="BJ22" s="61">
        <f t="shared" si="33"/>
        <v>0</v>
      </c>
      <c r="BK22" s="43">
        <f t="shared" si="34"/>
        <v>0</v>
      </c>
      <c r="BL22" s="35">
        <f t="shared" si="35"/>
        <v>0</v>
      </c>
      <c r="BM22" s="36">
        <f t="shared" si="36"/>
        <v>0</v>
      </c>
      <c r="BN22" s="35">
        <f t="shared" si="37"/>
        <v>0</v>
      </c>
      <c r="BO22" s="62">
        <f t="shared" si="38"/>
        <v>0</v>
      </c>
      <c r="BP22" s="61">
        <f t="shared" si="39"/>
        <v>0</v>
      </c>
      <c r="BQ22" s="43">
        <f t="shared" si="40"/>
        <v>0</v>
      </c>
      <c r="BR22" s="35">
        <f t="shared" si="41"/>
        <v>0</v>
      </c>
      <c r="BS22" s="36">
        <f t="shared" si="42"/>
        <v>0</v>
      </c>
      <c r="BT22" s="35">
        <f t="shared" si="43"/>
        <v>0</v>
      </c>
      <c r="BU22" s="62">
        <f t="shared" si="44"/>
        <v>0</v>
      </c>
      <c r="BV22" s="61">
        <f t="shared" si="45"/>
        <v>0</v>
      </c>
      <c r="BW22" s="43">
        <f t="shared" si="46"/>
        <v>0</v>
      </c>
      <c r="BX22" s="35">
        <f t="shared" si="47"/>
        <v>0</v>
      </c>
      <c r="BY22" s="36">
        <f t="shared" si="48"/>
        <v>0</v>
      </c>
      <c r="BZ22" s="35">
        <f t="shared" si="49"/>
        <v>0</v>
      </c>
      <c r="CA22" s="62">
        <f t="shared" si="50"/>
        <v>0</v>
      </c>
      <c r="CB22" s="61">
        <f t="shared" si="51"/>
        <v>0</v>
      </c>
      <c r="CC22" s="43">
        <f t="shared" si="52"/>
        <v>0</v>
      </c>
      <c r="CD22" s="35">
        <f t="shared" si="53"/>
        <v>0</v>
      </c>
      <c r="CE22" s="36">
        <f t="shared" si="54"/>
        <v>0</v>
      </c>
      <c r="CF22" s="35">
        <f t="shared" si="55"/>
        <v>0</v>
      </c>
      <c r="CG22" s="62">
        <f t="shared" si="56"/>
        <v>0</v>
      </c>
      <c r="CH22" s="61">
        <f t="shared" si="57"/>
        <v>0</v>
      </c>
      <c r="CI22" s="43">
        <f t="shared" si="58"/>
        <v>0</v>
      </c>
      <c r="CJ22" s="35">
        <f t="shared" si="59"/>
        <v>0</v>
      </c>
      <c r="CK22" s="36">
        <f t="shared" si="60"/>
        <v>0</v>
      </c>
      <c r="CL22" s="35">
        <f t="shared" si="61"/>
        <v>0</v>
      </c>
      <c r="CM22" s="62">
        <f t="shared" si="62"/>
        <v>0</v>
      </c>
      <c r="CN22" s="61">
        <f t="shared" si="63"/>
        <v>0</v>
      </c>
      <c r="CO22" s="43">
        <f t="shared" si="64"/>
        <v>0</v>
      </c>
      <c r="CP22" s="35">
        <f t="shared" si="65"/>
        <v>0</v>
      </c>
      <c r="CQ22" s="36">
        <f t="shared" si="66"/>
        <v>0</v>
      </c>
      <c r="CR22" s="35">
        <f t="shared" si="67"/>
        <v>0</v>
      </c>
      <c r="CS22" s="62">
        <f t="shared" si="68"/>
        <v>0</v>
      </c>
      <c r="CT22" s="61">
        <f t="shared" si="69"/>
        <v>0</v>
      </c>
      <c r="CU22" s="43">
        <f t="shared" si="70"/>
        <v>0</v>
      </c>
      <c r="CV22" s="35">
        <f t="shared" si="71"/>
        <v>0</v>
      </c>
      <c r="CW22" s="36">
        <f t="shared" si="72"/>
        <v>0</v>
      </c>
      <c r="CX22" s="35">
        <f t="shared" si="6"/>
        <v>0</v>
      </c>
      <c r="CY22" s="62">
        <f t="shared" si="73"/>
        <v>0</v>
      </c>
      <c r="CZ22" s="61">
        <f t="shared" si="74"/>
        <v>0</v>
      </c>
      <c r="DA22" s="43">
        <f t="shared" si="75"/>
        <v>0</v>
      </c>
      <c r="DB22" s="35">
        <f t="shared" si="76"/>
        <v>0</v>
      </c>
      <c r="DC22" s="36">
        <f t="shared" si="77"/>
        <v>0</v>
      </c>
      <c r="DD22" s="35">
        <f t="shared" si="78"/>
        <v>0</v>
      </c>
      <c r="DE22" s="62">
        <f t="shared" si="7"/>
        <v>0</v>
      </c>
      <c r="DF22" s="61">
        <f t="shared" si="79"/>
        <v>0</v>
      </c>
      <c r="DG22" s="43">
        <f t="shared" si="80"/>
        <v>0</v>
      </c>
      <c r="DH22" s="35">
        <f t="shared" si="81"/>
        <v>0</v>
      </c>
      <c r="DI22" s="36">
        <f t="shared" si="82"/>
        <v>0</v>
      </c>
      <c r="DJ22" s="35">
        <f t="shared" si="83"/>
        <v>0</v>
      </c>
      <c r="DK22" s="62">
        <f t="shared" si="84"/>
        <v>0</v>
      </c>
    </row>
    <row r="23" spans="2:115" x14ac:dyDescent="0.3">
      <c r="B23" s="1">
        <v>0.30932199999999999</v>
      </c>
      <c r="C23" s="1">
        <v>1.406798</v>
      </c>
      <c r="D23">
        <f t="shared" si="85"/>
        <v>13174.09725973676</v>
      </c>
      <c r="E23" s="4">
        <f t="shared" si="8"/>
        <v>0.27326350557639151</v>
      </c>
      <c r="G23" s="1">
        <v>0.30471599999999999</v>
      </c>
      <c r="H23" s="1">
        <v>1.4181839999999999</v>
      </c>
      <c r="I23">
        <f t="shared" si="9"/>
        <v>12972.701610149952</v>
      </c>
      <c r="J23" s="4">
        <f t="shared" si="10"/>
        <v>0.27750580474180719</v>
      </c>
      <c r="L23" s="1">
        <v>0.30297299999999999</v>
      </c>
      <c r="M23" s="1">
        <v>1.391343</v>
      </c>
      <c r="N23">
        <f t="shared" si="11"/>
        <v>12761.534788948</v>
      </c>
      <c r="O23" s="4">
        <f t="shared" si="12"/>
        <v>0.2820977303699978</v>
      </c>
      <c r="Q23" s="14">
        <v>0.30151800000000001</v>
      </c>
      <c r="R23" s="14">
        <v>1.368371</v>
      </c>
      <c r="S23" s="15">
        <f t="shared" si="13"/>
        <v>12550.833346405281</v>
      </c>
      <c r="T23" s="16">
        <f t="shared" si="14"/>
        <v>0.28683354329066013</v>
      </c>
      <c r="V23" s="1">
        <v>0.30332100000000001</v>
      </c>
      <c r="W23" s="1">
        <v>1.3696349999999999</v>
      </c>
      <c r="X23">
        <f t="shared" si="15"/>
        <v>12636.805637505639</v>
      </c>
      <c r="Y23" s="4">
        <f t="shared" si="16"/>
        <v>0.28488212157946896</v>
      </c>
      <c r="AA23" s="1">
        <v>0.31297799999999998</v>
      </c>
      <c r="AB23" s="1">
        <v>1.52755</v>
      </c>
      <c r="AC23">
        <f t="shared" si="17"/>
        <v>14166.494986831458</v>
      </c>
      <c r="AD23" s="4">
        <f t="shared" si="18"/>
        <v>0.25412072664031571</v>
      </c>
      <c r="AF23" s="1">
        <v>0.32427899999999998</v>
      </c>
      <c r="AG23" s="1">
        <v>1.5233779999999999</v>
      </c>
      <c r="AH23">
        <f t="shared" si="19"/>
        <v>14228.503587193383</v>
      </c>
      <c r="AI23" s="4">
        <f t="shared" si="20"/>
        <v>0.2530132545519575</v>
      </c>
      <c r="AK23" s="1">
        <v>0.33506000000000002</v>
      </c>
      <c r="AL23" s="1">
        <v>1.5204200000000001</v>
      </c>
      <c r="AM23">
        <f t="shared" si="21"/>
        <v>14292.404125999999</v>
      </c>
      <c r="AN23" s="4">
        <f t="shared" si="22"/>
        <v>0.251882046453687</v>
      </c>
      <c r="AP23" s="1">
        <v>0.34619299999999997</v>
      </c>
      <c r="AQ23" s="1">
        <v>1.5174270000000001</v>
      </c>
      <c r="AR23">
        <f t="shared" si="23"/>
        <v>14359.254795558118</v>
      </c>
      <c r="AS23" s="4">
        <f t="shared" si="24"/>
        <v>0.25070938925839115</v>
      </c>
      <c r="AU23" s="1">
        <v>0.362016</v>
      </c>
      <c r="AV23" s="1">
        <v>1.507827</v>
      </c>
      <c r="AW23">
        <f t="shared" si="25"/>
        <v>14428.393221353803</v>
      </c>
      <c r="AX23" s="4">
        <f t="shared" si="26"/>
        <v>0.24950803216757739</v>
      </c>
      <c r="BD23" s="61">
        <f t="shared" si="27"/>
        <v>0</v>
      </c>
      <c r="BE23" s="43">
        <f t="shared" si="28"/>
        <v>0</v>
      </c>
      <c r="BF23" s="35">
        <f t="shared" si="29"/>
        <v>0</v>
      </c>
      <c r="BG23" s="36">
        <f t="shared" si="30"/>
        <v>0</v>
      </c>
      <c r="BH23" s="35">
        <f t="shared" si="31"/>
        <v>0</v>
      </c>
      <c r="BI23" s="62">
        <f t="shared" si="32"/>
        <v>0</v>
      </c>
      <c r="BJ23" s="61">
        <f t="shared" si="33"/>
        <v>0</v>
      </c>
      <c r="BK23" s="43">
        <f t="shared" si="34"/>
        <v>0</v>
      </c>
      <c r="BL23" s="35">
        <f t="shared" si="35"/>
        <v>0</v>
      </c>
      <c r="BM23" s="36">
        <f t="shared" si="36"/>
        <v>0</v>
      </c>
      <c r="BN23" s="35">
        <f t="shared" si="37"/>
        <v>0</v>
      </c>
      <c r="BO23" s="62">
        <f t="shared" si="38"/>
        <v>0</v>
      </c>
      <c r="BP23" s="61">
        <f t="shared" si="39"/>
        <v>0</v>
      </c>
      <c r="BQ23" s="43">
        <f t="shared" si="40"/>
        <v>0</v>
      </c>
      <c r="BR23" s="35">
        <f t="shared" si="41"/>
        <v>0</v>
      </c>
      <c r="BS23" s="36">
        <f t="shared" si="42"/>
        <v>0</v>
      </c>
      <c r="BT23" s="35">
        <f t="shared" si="43"/>
        <v>0</v>
      </c>
      <c r="BU23" s="62">
        <f t="shared" si="44"/>
        <v>0</v>
      </c>
      <c r="BV23" s="61">
        <f t="shared" si="45"/>
        <v>0</v>
      </c>
      <c r="BW23" s="43">
        <f t="shared" si="46"/>
        <v>0</v>
      </c>
      <c r="BX23" s="35">
        <f t="shared" si="47"/>
        <v>0</v>
      </c>
      <c r="BY23" s="36">
        <f t="shared" si="48"/>
        <v>0</v>
      </c>
      <c r="BZ23" s="35">
        <f t="shared" si="49"/>
        <v>0</v>
      </c>
      <c r="CA23" s="62">
        <f t="shared" si="50"/>
        <v>0</v>
      </c>
      <c r="CB23" s="61">
        <f t="shared" si="51"/>
        <v>0</v>
      </c>
      <c r="CC23" s="43">
        <f t="shared" si="52"/>
        <v>0</v>
      </c>
      <c r="CD23" s="35">
        <f t="shared" si="53"/>
        <v>0</v>
      </c>
      <c r="CE23" s="36">
        <f t="shared" si="54"/>
        <v>0</v>
      </c>
      <c r="CF23" s="35">
        <f t="shared" si="55"/>
        <v>0</v>
      </c>
      <c r="CG23" s="62">
        <f t="shared" si="56"/>
        <v>0</v>
      </c>
      <c r="CH23" s="61">
        <f t="shared" si="57"/>
        <v>0</v>
      </c>
      <c r="CI23" s="43">
        <f t="shared" si="58"/>
        <v>0</v>
      </c>
      <c r="CJ23" s="35">
        <f t="shared" si="59"/>
        <v>0</v>
      </c>
      <c r="CK23" s="36">
        <f t="shared" si="60"/>
        <v>0</v>
      </c>
      <c r="CL23" s="35">
        <f t="shared" si="61"/>
        <v>0</v>
      </c>
      <c r="CM23" s="62">
        <f t="shared" si="62"/>
        <v>0</v>
      </c>
      <c r="CN23" s="61">
        <f t="shared" si="63"/>
        <v>0</v>
      </c>
      <c r="CO23" s="43">
        <f t="shared" si="64"/>
        <v>0</v>
      </c>
      <c r="CP23" s="35">
        <f t="shared" si="65"/>
        <v>0</v>
      </c>
      <c r="CQ23" s="36">
        <f t="shared" si="66"/>
        <v>0</v>
      </c>
      <c r="CR23" s="35">
        <f t="shared" si="67"/>
        <v>0</v>
      </c>
      <c r="CS23" s="62">
        <f t="shared" si="68"/>
        <v>0</v>
      </c>
      <c r="CT23" s="61">
        <f t="shared" si="69"/>
        <v>0</v>
      </c>
      <c r="CU23" s="43">
        <f t="shared" si="70"/>
        <v>0</v>
      </c>
      <c r="CV23" s="35">
        <f t="shared" si="71"/>
        <v>0</v>
      </c>
      <c r="CW23" s="36">
        <f t="shared" si="72"/>
        <v>0</v>
      </c>
      <c r="CX23" s="35">
        <f t="shared" si="6"/>
        <v>0</v>
      </c>
      <c r="CY23" s="62">
        <f t="shared" si="73"/>
        <v>0</v>
      </c>
      <c r="CZ23" s="61">
        <f t="shared" si="74"/>
        <v>0</v>
      </c>
      <c r="DA23" s="43">
        <f t="shared" si="75"/>
        <v>0</v>
      </c>
      <c r="DB23" s="35">
        <f t="shared" si="76"/>
        <v>0</v>
      </c>
      <c r="DC23" s="36">
        <f t="shared" si="77"/>
        <v>0</v>
      </c>
      <c r="DD23" s="35">
        <f t="shared" si="78"/>
        <v>0</v>
      </c>
      <c r="DE23" s="62">
        <f t="shared" si="7"/>
        <v>0</v>
      </c>
      <c r="DF23" s="61">
        <f t="shared" si="79"/>
        <v>0</v>
      </c>
      <c r="DG23" s="43">
        <f t="shared" si="80"/>
        <v>0</v>
      </c>
      <c r="DH23" s="35">
        <f t="shared" si="81"/>
        <v>0</v>
      </c>
      <c r="DI23" s="36">
        <f t="shared" si="82"/>
        <v>0</v>
      </c>
      <c r="DJ23" s="35">
        <f t="shared" si="83"/>
        <v>0</v>
      </c>
      <c r="DK23" s="62">
        <f t="shared" si="84"/>
        <v>0</v>
      </c>
    </row>
    <row r="24" spans="2:115" x14ac:dyDescent="0.3">
      <c r="B24" s="1">
        <v>0.32355099999999998</v>
      </c>
      <c r="C24" s="1">
        <v>1.369081</v>
      </c>
      <c r="D24">
        <f t="shared" si="85"/>
        <v>12820.892729771909</v>
      </c>
      <c r="E24" s="4">
        <f t="shared" si="8"/>
        <v>0.28079167932200977</v>
      </c>
      <c r="G24" s="1">
        <v>0.31873299999999999</v>
      </c>
      <c r="H24" s="1">
        <v>1.379966</v>
      </c>
      <c r="I24">
        <f t="shared" si="9"/>
        <v>12623.106134431209</v>
      </c>
      <c r="J24" s="4">
        <f t="shared" si="10"/>
        <v>0.28519129615653938</v>
      </c>
      <c r="L24" s="1">
        <v>0.31691000000000003</v>
      </c>
      <c r="M24" s="1">
        <v>1.3532930000000001</v>
      </c>
      <c r="N24">
        <f t="shared" si="11"/>
        <v>12412.53644797854</v>
      </c>
      <c r="O24" s="4">
        <f t="shared" si="12"/>
        <v>0.29002935984017053</v>
      </c>
      <c r="Q24" s="14">
        <v>0.315388</v>
      </c>
      <c r="R24" s="14">
        <v>1.3438369999999999</v>
      </c>
      <c r="S24" s="15">
        <f t="shared" si="13"/>
        <v>12325.805086291095</v>
      </c>
      <c r="T24" s="16">
        <f t="shared" si="14"/>
        <v>0.29207017105957339</v>
      </c>
      <c r="V24" s="1">
        <v>0.317274</v>
      </c>
      <c r="W24" s="1">
        <v>1.345129</v>
      </c>
      <c r="X24">
        <f t="shared" si="15"/>
        <v>12410.703384750188</v>
      </c>
      <c r="Y24" s="4">
        <f t="shared" si="16"/>
        <v>0.29007219723126626</v>
      </c>
      <c r="AA24" s="1">
        <v>0.32737500000000003</v>
      </c>
      <c r="AB24" s="1">
        <v>1.500669</v>
      </c>
      <c r="AC24">
        <f t="shared" si="17"/>
        <v>13917.200658173793</v>
      </c>
      <c r="AD24" s="4">
        <f t="shared" si="18"/>
        <v>0.25867270929126562</v>
      </c>
      <c r="AF24" s="1">
        <v>0.339196</v>
      </c>
      <c r="AG24" s="1">
        <v>1.4966219999999999</v>
      </c>
      <c r="AH24">
        <f t="shared" si="19"/>
        <v>13978.599858782611</v>
      </c>
      <c r="AI24" s="4">
        <f t="shared" si="20"/>
        <v>0.25753652271104654</v>
      </c>
      <c r="AJ24" s="15"/>
      <c r="AK24" s="14">
        <v>0.35047299999999998</v>
      </c>
      <c r="AL24" s="14">
        <v>1.4937290000000001</v>
      </c>
      <c r="AM24" s="15">
        <f t="shared" si="21"/>
        <v>14041.500718699999</v>
      </c>
      <c r="AN24" s="16">
        <f t="shared" si="22"/>
        <v>0.25638285195581989</v>
      </c>
      <c r="AP24" s="1">
        <v>0.36211900000000002</v>
      </c>
      <c r="AQ24" s="1">
        <v>1.4907429999999999</v>
      </c>
      <c r="AR24">
        <f t="shared" si="23"/>
        <v>14106.746862745089</v>
      </c>
      <c r="AS24" s="4">
        <f t="shared" si="24"/>
        <v>0.25519703692332801</v>
      </c>
      <c r="AU24" s="1">
        <v>0.37866899999999998</v>
      </c>
      <c r="AV24" s="1">
        <v>1.4750650000000001</v>
      </c>
      <c r="AW24">
        <f t="shared" si="25"/>
        <v>14114.893715960947</v>
      </c>
      <c r="AX24" s="4">
        <f t="shared" si="26"/>
        <v>0.25504974195655222</v>
      </c>
      <c r="BD24" s="61">
        <f t="shared" si="27"/>
        <v>0</v>
      </c>
      <c r="BE24" s="43">
        <f t="shared" si="28"/>
        <v>0</v>
      </c>
      <c r="BF24" s="35">
        <f t="shared" si="29"/>
        <v>0</v>
      </c>
      <c r="BG24" s="36">
        <f t="shared" si="30"/>
        <v>0</v>
      </c>
      <c r="BH24" s="35">
        <f t="shared" si="31"/>
        <v>0</v>
      </c>
      <c r="BI24" s="62">
        <f t="shared" si="32"/>
        <v>0</v>
      </c>
      <c r="BJ24" s="61">
        <f t="shared" si="33"/>
        <v>0</v>
      </c>
      <c r="BK24" s="43">
        <f t="shared" si="34"/>
        <v>0</v>
      </c>
      <c r="BL24" s="35">
        <f t="shared" si="35"/>
        <v>0</v>
      </c>
      <c r="BM24" s="36">
        <f t="shared" si="36"/>
        <v>0</v>
      </c>
      <c r="BN24" s="35">
        <f t="shared" si="37"/>
        <v>0</v>
      </c>
      <c r="BO24" s="62">
        <f t="shared" si="38"/>
        <v>0</v>
      </c>
      <c r="BP24" s="61">
        <f t="shared" si="39"/>
        <v>0</v>
      </c>
      <c r="BQ24" s="43">
        <f t="shared" si="40"/>
        <v>0</v>
      </c>
      <c r="BR24" s="35">
        <f t="shared" si="41"/>
        <v>0</v>
      </c>
      <c r="BS24" s="36">
        <f t="shared" si="42"/>
        <v>0</v>
      </c>
      <c r="BT24" s="35">
        <f t="shared" si="43"/>
        <v>0</v>
      </c>
      <c r="BU24" s="62">
        <f t="shared" si="44"/>
        <v>0</v>
      </c>
      <c r="BV24" s="61">
        <f t="shared" si="45"/>
        <v>0</v>
      </c>
      <c r="BW24" s="43">
        <f t="shared" si="46"/>
        <v>0</v>
      </c>
      <c r="BX24" s="35">
        <f t="shared" si="47"/>
        <v>0</v>
      </c>
      <c r="BY24" s="36">
        <f t="shared" si="48"/>
        <v>0</v>
      </c>
      <c r="BZ24" s="35">
        <f t="shared" si="49"/>
        <v>0</v>
      </c>
      <c r="CA24" s="62">
        <f t="shared" si="50"/>
        <v>0</v>
      </c>
      <c r="CB24" s="61">
        <f t="shared" si="51"/>
        <v>0</v>
      </c>
      <c r="CC24" s="43">
        <f t="shared" si="52"/>
        <v>0</v>
      </c>
      <c r="CD24" s="35">
        <f t="shared" si="53"/>
        <v>0</v>
      </c>
      <c r="CE24" s="36">
        <f t="shared" si="54"/>
        <v>0</v>
      </c>
      <c r="CF24" s="35">
        <f t="shared" si="55"/>
        <v>0</v>
      </c>
      <c r="CG24" s="62">
        <f t="shared" si="56"/>
        <v>0</v>
      </c>
      <c r="CH24" s="61">
        <f t="shared" si="57"/>
        <v>0</v>
      </c>
      <c r="CI24" s="43">
        <f t="shared" si="58"/>
        <v>0</v>
      </c>
      <c r="CJ24" s="35">
        <f t="shared" si="59"/>
        <v>0</v>
      </c>
      <c r="CK24" s="36">
        <f t="shared" si="60"/>
        <v>0</v>
      </c>
      <c r="CL24" s="35">
        <f t="shared" si="61"/>
        <v>0</v>
      </c>
      <c r="CM24" s="62">
        <f t="shared" si="62"/>
        <v>0</v>
      </c>
      <c r="CN24" s="61">
        <f t="shared" si="63"/>
        <v>0</v>
      </c>
      <c r="CO24" s="43">
        <f t="shared" si="64"/>
        <v>0</v>
      </c>
      <c r="CP24" s="35">
        <f t="shared" si="65"/>
        <v>0</v>
      </c>
      <c r="CQ24" s="36">
        <f t="shared" si="66"/>
        <v>0</v>
      </c>
      <c r="CR24" s="35">
        <f t="shared" si="67"/>
        <v>0</v>
      </c>
      <c r="CS24" s="62">
        <f t="shared" si="68"/>
        <v>0</v>
      </c>
      <c r="CT24" s="61">
        <f t="shared" si="69"/>
        <v>0</v>
      </c>
      <c r="CU24" s="43">
        <f t="shared" si="70"/>
        <v>0</v>
      </c>
      <c r="CV24" s="35">
        <f t="shared" si="71"/>
        <v>0</v>
      </c>
      <c r="CW24" s="36">
        <f t="shared" si="72"/>
        <v>0</v>
      </c>
      <c r="CX24" s="35">
        <f t="shared" si="6"/>
        <v>0</v>
      </c>
      <c r="CY24" s="62">
        <f t="shared" si="73"/>
        <v>0</v>
      </c>
      <c r="CZ24" s="61">
        <f t="shared" si="74"/>
        <v>0</v>
      </c>
      <c r="DA24" s="43">
        <f t="shared" si="75"/>
        <v>0</v>
      </c>
      <c r="DB24" s="35">
        <f t="shared" si="76"/>
        <v>0</v>
      </c>
      <c r="DC24" s="36">
        <f t="shared" si="77"/>
        <v>0</v>
      </c>
      <c r="DD24" s="35">
        <f t="shared" si="78"/>
        <v>0</v>
      </c>
      <c r="DE24" s="62">
        <f t="shared" si="7"/>
        <v>0</v>
      </c>
      <c r="DF24" s="61">
        <f t="shared" si="79"/>
        <v>0</v>
      </c>
      <c r="DG24" s="43">
        <f t="shared" si="80"/>
        <v>0</v>
      </c>
      <c r="DH24" s="35">
        <f t="shared" si="81"/>
        <v>0</v>
      </c>
      <c r="DI24" s="36">
        <f t="shared" si="82"/>
        <v>0</v>
      </c>
      <c r="DJ24" s="35">
        <f t="shared" si="83"/>
        <v>0</v>
      </c>
      <c r="DK24" s="62">
        <f t="shared" si="84"/>
        <v>0</v>
      </c>
    </row>
    <row r="25" spans="2:115" x14ac:dyDescent="0.3">
      <c r="B25" s="1">
        <v>0.337781</v>
      </c>
      <c r="C25" s="1">
        <v>1.3347070000000001</v>
      </c>
      <c r="D25">
        <f t="shared" si="85"/>
        <v>12498.994049786446</v>
      </c>
      <c r="E25" s="4">
        <f t="shared" si="8"/>
        <v>0.28802317895827051</v>
      </c>
      <c r="G25" s="1">
        <v>0.33274999999999999</v>
      </c>
      <c r="H25" s="1">
        <v>1.3446229999999999</v>
      </c>
      <c r="I25">
        <f t="shared" si="9"/>
        <v>12299.809444433626</v>
      </c>
      <c r="J25" s="4">
        <f t="shared" si="10"/>
        <v>0.29268746123780054</v>
      </c>
      <c r="L25" s="1">
        <v>0.330847</v>
      </c>
      <c r="M25" s="1">
        <v>1.321086</v>
      </c>
      <c r="N25">
        <f t="shared" si="11"/>
        <v>12117.130677476478</v>
      </c>
      <c r="O25" s="4">
        <f t="shared" si="12"/>
        <v>0.29710003926026313</v>
      </c>
      <c r="Q25" s="14">
        <v>0.32925900000000002</v>
      </c>
      <c r="R25" s="14">
        <v>1.3218909999999999</v>
      </c>
      <c r="S25" s="15">
        <f t="shared" si="13"/>
        <v>12124.514216621825</v>
      </c>
      <c r="T25" s="16">
        <f t="shared" si="14"/>
        <v>0.2969191124428443</v>
      </c>
      <c r="V25" s="1">
        <v>0.33122800000000002</v>
      </c>
      <c r="W25" s="1">
        <v>1.476979</v>
      </c>
      <c r="X25">
        <f t="shared" si="15"/>
        <v>13627.204732412243</v>
      </c>
      <c r="Y25" s="4">
        <f t="shared" si="16"/>
        <v>0.26417743555561446</v>
      </c>
      <c r="AA25" s="1">
        <v>0.34177299999999999</v>
      </c>
      <c r="AB25" s="1">
        <v>1.475749</v>
      </c>
      <c r="AC25">
        <f t="shared" si="17"/>
        <v>13686.092638749329</v>
      </c>
      <c r="AD25" s="4">
        <f t="shared" si="18"/>
        <v>0.26304074471974181</v>
      </c>
      <c r="AF25" s="1">
        <v>0.35411399999999998</v>
      </c>
      <c r="AG25" s="1">
        <v>1.471762</v>
      </c>
      <c r="AH25">
        <f t="shared" si="19"/>
        <v>13746.404960879645</v>
      </c>
      <c r="AI25" s="4">
        <f t="shared" si="20"/>
        <v>0.26188665401936717</v>
      </c>
      <c r="AJ25" s="15"/>
      <c r="AK25" s="14">
        <v>0.36588599999999999</v>
      </c>
      <c r="AL25" s="20">
        <v>1.4689000000000001</v>
      </c>
      <c r="AM25" s="15">
        <f t="shared" si="21"/>
        <v>13808.10067</v>
      </c>
      <c r="AN25" s="16">
        <f t="shared" si="22"/>
        <v>0.26071652329574158</v>
      </c>
      <c r="AP25" s="1">
        <v>0.37804399999999999</v>
      </c>
      <c r="AQ25" s="1">
        <v>1.4659819999999999</v>
      </c>
      <c r="AR25">
        <f t="shared" si="23"/>
        <v>13872.436080089439</v>
      </c>
      <c r="AS25" s="4">
        <f t="shared" si="24"/>
        <v>0.25950741306113767</v>
      </c>
      <c r="AU25" s="1">
        <v>0.39532200000000001</v>
      </c>
      <c r="AV25" s="1">
        <v>1.4368799999999999</v>
      </c>
      <c r="AW25">
        <f t="shared" si="25"/>
        <v>13749.501535586543</v>
      </c>
      <c r="AX25" s="4">
        <f t="shared" si="26"/>
        <v>0.26182767358383563</v>
      </c>
      <c r="BD25" s="61">
        <f t="shared" si="27"/>
        <v>0</v>
      </c>
      <c r="BE25" s="43">
        <f t="shared" si="28"/>
        <v>0</v>
      </c>
      <c r="BF25" s="35">
        <f t="shared" si="29"/>
        <v>0</v>
      </c>
      <c r="BG25" s="36">
        <f t="shared" si="30"/>
        <v>0</v>
      </c>
      <c r="BH25" s="35">
        <f t="shared" si="31"/>
        <v>0</v>
      </c>
      <c r="BI25" s="62">
        <f t="shared" si="32"/>
        <v>0</v>
      </c>
      <c r="BJ25" s="61">
        <f t="shared" si="33"/>
        <v>0</v>
      </c>
      <c r="BK25" s="43">
        <f t="shared" si="34"/>
        <v>0</v>
      </c>
      <c r="BL25" s="35">
        <f t="shared" si="35"/>
        <v>0</v>
      </c>
      <c r="BM25" s="36">
        <f t="shared" si="36"/>
        <v>0</v>
      </c>
      <c r="BN25" s="35">
        <f t="shared" si="37"/>
        <v>0</v>
      </c>
      <c r="BO25" s="62">
        <f t="shared" si="38"/>
        <v>0</v>
      </c>
      <c r="BP25" s="61">
        <f t="shared" si="39"/>
        <v>0</v>
      </c>
      <c r="BQ25" s="43">
        <f t="shared" si="40"/>
        <v>0</v>
      </c>
      <c r="BR25" s="35">
        <f t="shared" si="41"/>
        <v>0</v>
      </c>
      <c r="BS25" s="36">
        <f t="shared" si="42"/>
        <v>0</v>
      </c>
      <c r="BT25" s="35">
        <f t="shared" si="43"/>
        <v>0</v>
      </c>
      <c r="BU25" s="62">
        <f t="shared" si="44"/>
        <v>0</v>
      </c>
      <c r="BV25" s="61">
        <f t="shared" si="45"/>
        <v>0</v>
      </c>
      <c r="BW25" s="43">
        <f t="shared" si="46"/>
        <v>0</v>
      </c>
      <c r="BX25" s="35">
        <f t="shared" si="47"/>
        <v>0</v>
      </c>
      <c r="BY25" s="36">
        <f t="shared" si="48"/>
        <v>0</v>
      </c>
      <c r="BZ25" s="35">
        <f t="shared" si="49"/>
        <v>0</v>
      </c>
      <c r="CA25" s="62">
        <f t="shared" si="50"/>
        <v>0</v>
      </c>
      <c r="CB25" s="61">
        <f t="shared" si="51"/>
        <v>0</v>
      </c>
      <c r="CC25" s="43">
        <f t="shared" si="52"/>
        <v>0</v>
      </c>
      <c r="CD25" s="35">
        <f t="shared" si="53"/>
        <v>0</v>
      </c>
      <c r="CE25" s="36">
        <f t="shared" si="54"/>
        <v>0</v>
      </c>
      <c r="CF25" s="35">
        <f t="shared" si="55"/>
        <v>0</v>
      </c>
      <c r="CG25" s="62">
        <f t="shared" si="56"/>
        <v>0</v>
      </c>
      <c r="CH25" s="61">
        <f t="shared" si="57"/>
        <v>0</v>
      </c>
      <c r="CI25" s="43">
        <f t="shared" si="58"/>
        <v>0</v>
      </c>
      <c r="CJ25" s="35">
        <f t="shared" si="59"/>
        <v>0</v>
      </c>
      <c r="CK25" s="36">
        <f t="shared" si="60"/>
        <v>0</v>
      </c>
      <c r="CL25" s="35">
        <f t="shared" si="61"/>
        <v>0</v>
      </c>
      <c r="CM25" s="62">
        <f t="shared" si="62"/>
        <v>0</v>
      </c>
      <c r="CN25" s="61">
        <f t="shared" si="63"/>
        <v>0</v>
      </c>
      <c r="CO25" s="43">
        <f t="shared" si="64"/>
        <v>0</v>
      </c>
      <c r="CP25" s="35">
        <f t="shared" si="65"/>
        <v>0</v>
      </c>
      <c r="CQ25" s="36">
        <f t="shared" si="66"/>
        <v>0</v>
      </c>
      <c r="CR25" s="35">
        <f t="shared" si="67"/>
        <v>0</v>
      </c>
      <c r="CS25" s="62">
        <f t="shared" si="68"/>
        <v>0</v>
      </c>
      <c r="CT25" s="61">
        <f t="shared" si="69"/>
        <v>0</v>
      </c>
      <c r="CU25" s="43">
        <f t="shared" si="70"/>
        <v>0</v>
      </c>
      <c r="CV25" s="35">
        <f t="shared" si="71"/>
        <v>0</v>
      </c>
      <c r="CW25" s="36">
        <f t="shared" si="72"/>
        <v>0</v>
      </c>
      <c r="CX25" s="35">
        <f t="shared" si="6"/>
        <v>0</v>
      </c>
      <c r="CY25" s="62">
        <f t="shared" si="73"/>
        <v>0</v>
      </c>
      <c r="CZ25" s="61">
        <f t="shared" si="74"/>
        <v>0</v>
      </c>
      <c r="DA25" s="43">
        <f t="shared" si="75"/>
        <v>0</v>
      </c>
      <c r="DB25" s="35">
        <f t="shared" si="76"/>
        <v>0</v>
      </c>
      <c r="DC25" s="36">
        <f t="shared" si="77"/>
        <v>0</v>
      </c>
      <c r="DD25" s="35">
        <f t="shared" si="78"/>
        <v>0</v>
      </c>
      <c r="DE25" s="62">
        <f t="shared" si="7"/>
        <v>0</v>
      </c>
      <c r="DF25" s="61">
        <f t="shared" si="79"/>
        <v>0</v>
      </c>
      <c r="DG25" s="43">
        <f t="shared" si="80"/>
        <v>0</v>
      </c>
      <c r="DH25" s="35">
        <f t="shared" si="81"/>
        <v>0</v>
      </c>
      <c r="DI25" s="36">
        <f t="shared" si="82"/>
        <v>0</v>
      </c>
      <c r="DJ25" s="35">
        <f t="shared" si="83"/>
        <v>0</v>
      </c>
      <c r="DK25" s="62">
        <f t="shared" si="84"/>
        <v>0</v>
      </c>
    </row>
    <row r="26" spans="2:115" x14ac:dyDescent="0.3">
      <c r="B26" s="1">
        <v>0.35200999999999999</v>
      </c>
      <c r="C26" s="1">
        <v>1.3031630000000001</v>
      </c>
      <c r="D26">
        <f t="shared" si="85"/>
        <v>12203.597181180479</v>
      </c>
      <c r="E26" s="4">
        <f t="shared" si="8"/>
        <v>0.29499498767065702</v>
      </c>
      <c r="G26" s="1">
        <v>0.34676800000000002</v>
      </c>
      <c r="H26" s="1">
        <v>1.3120890000000001</v>
      </c>
      <c r="I26">
        <f t="shared" si="9"/>
        <v>12002.207811511089</v>
      </c>
      <c r="J26" s="4">
        <f t="shared" si="10"/>
        <v>0.29994481486542068</v>
      </c>
      <c r="L26" s="1">
        <v>0.34478399999999998</v>
      </c>
      <c r="M26" s="1">
        <v>1.301777</v>
      </c>
      <c r="N26">
        <f t="shared" si="11"/>
        <v>11940.026631069664</v>
      </c>
      <c r="O26" s="4">
        <f t="shared" si="12"/>
        <v>0.3015068652051649</v>
      </c>
      <c r="Q26" s="14">
        <v>0.34312900000000002</v>
      </c>
      <c r="R26" s="14">
        <v>1.302608</v>
      </c>
      <c r="S26" s="15">
        <f t="shared" si="13"/>
        <v>11947.648644771258</v>
      </c>
      <c r="T26" s="16">
        <f t="shared" si="14"/>
        <v>0.30131451861663977</v>
      </c>
      <c r="V26" s="1">
        <v>0.34518100000000002</v>
      </c>
      <c r="W26" s="1">
        <v>1.4540770000000001</v>
      </c>
      <c r="X26">
        <f t="shared" si="15"/>
        <v>13415.901631432673</v>
      </c>
      <c r="Y26" s="4">
        <f t="shared" si="16"/>
        <v>0.26833828235333884</v>
      </c>
      <c r="AA26" s="1">
        <v>0.35616999999999999</v>
      </c>
      <c r="AB26" s="1">
        <v>1.452804</v>
      </c>
      <c r="AC26">
        <f t="shared" si="17"/>
        <v>13473.300764524036</v>
      </c>
      <c r="AD26" s="4">
        <f t="shared" si="18"/>
        <v>0.26719510407420016</v>
      </c>
      <c r="AF26" s="1">
        <v>0.369031</v>
      </c>
      <c r="AG26" s="1">
        <v>1.448807</v>
      </c>
      <c r="AH26">
        <f t="shared" si="19"/>
        <v>13532.00295438879</v>
      </c>
      <c r="AI26" s="4">
        <f t="shared" si="20"/>
        <v>0.26603600458366911</v>
      </c>
      <c r="AJ26" s="15"/>
      <c r="AK26" s="14">
        <v>0.381299</v>
      </c>
      <c r="AL26" s="14">
        <v>1.4460280000000001</v>
      </c>
      <c r="AM26" s="15">
        <f t="shared" si="21"/>
        <v>13593.0970084</v>
      </c>
      <c r="AN26" s="16">
        <f t="shared" si="22"/>
        <v>0.26484030811928594</v>
      </c>
      <c r="AP26" s="1">
        <v>0.39396900000000001</v>
      </c>
      <c r="AQ26" s="1">
        <v>1.436075</v>
      </c>
      <c r="AR26">
        <f t="shared" si="23"/>
        <v>13589.429231542026</v>
      </c>
      <c r="AS26" s="4">
        <f t="shared" si="24"/>
        <v>0.26491178832177481</v>
      </c>
      <c r="AU26" s="1">
        <v>0.41197600000000001</v>
      </c>
      <c r="AV26" s="1">
        <v>1.4012119999999999</v>
      </c>
      <c r="AW26">
        <f t="shared" si="25"/>
        <v>13408.194522633965</v>
      </c>
      <c r="AX26" s="4">
        <f t="shared" si="26"/>
        <v>0.26849252477079966</v>
      </c>
      <c r="BD26" s="61">
        <f t="shared" si="27"/>
        <v>0</v>
      </c>
      <c r="BE26" s="43">
        <f t="shared" si="28"/>
        <v>0</v>
      </c>
      <c r="BF26" s="35">
        <f t="shared" si="29"/>
        <v>0</v>
      </c>
      <c r="BG26" s="36">
        <f t="shared" si="30"/>
        <v>0</v>
      </c>
      <c r="BH26" s="35">
        <f t="shared" si="31"/>
        <v>0</v>
      </c>
      <c r="BI26" s="62">
        <f t="shared" si="32"/>
        <v>0</v>
      </c>
      <c r="BJ26" s="61">
        <f t="shared" si="33"/>
        <v>0</v>
      </c>
      <c r="BK26" s="43">
        <f t="shared" si="34"/>
        <v>0</v>
      </c>
      <c r="BL26" s="35">
        <f t="shared" si="35"/>
        <v>0</v>
      </c>
      <c r="BM26" s="36">
        <f t="shared" si="36"/>
        <v>0</v>
      </c>
      <c r="BN26" s="35">
        <f t="shared" si="37"/>
        <v>0</v>
      </c>
      <c r="BO26" s="62">
        <f t="shared" si="38"/>
        <v>0</v>
      </c>
      <c r="BP26" s="61">
        <f t="shared" si="39"/>
        <v>0</v>
      </c>
      <c r="BQ26" s="43">
        <f t="shared" si="40"/>
        <v>0</v>
      </c>
      <c r="BR26" s="35">
        <f t="shared" si="41"/>
        <v>0</v>
      </c>
      <c r="BS26" s="36">
        <f t="shared" si="42"/>
        <v>0</v>
      </c>
      <c r="BT26" s="35">
        <f t="shared" si="43"/>
        <v>0</v>
      </c>
      <c r="BU26" s="62">
        <f t="shared" si="44"/>
        <v>0</v>
      </c>
      <c r="BV26" s="61">
        <f t="shared" si="45"/>
        <v>0</v>
      </c>
      <c r="BW26" s="43">
        <f t="shared" si="46"/>
        <v>0</v>
      </c>
      <c r="BX26" s="35">
        <f t="shared" si="47"/>
        <v>0</v>
      </c>
      <c r="BY26" s="36">
        <f t="shared" si="48"/>
        <v>0</v>
      </c>
      <c r="BZ26" s="35">
        <f t="shared" si="49"/>
        <v>0</v>
      </c>
      <c r="CA26" s="62">
        <f t="shared" si="50"/>
        <v>0</v>
      </c>
      <c r="CB26" s="61">
        <f t="shared" si="51"/>
        <v>0</v>
      </c>
      <c r="CC26" s="43">
        <f t="shared" si="52"/>
        <v>0</v>
      </c>
      <c r="CD26" s="35">
        <f t="shared" si="53"/>
        <v>0</v>
      </c>
      <c r="CE26" s="36">
        <f t="shared" si="54"/>
        <v>0</v>
      </c>
      <c r="CF26" s="35">
        <f t="shared" si="55"/>
        <v>0</v>
      </c>
      <c r="CG26" s="62">
        <f t="shared" si="56"/>
        <v>0</v>
      </c>
      <c r="CH26" s="61">
        <f t="shared" si="57"/>
        <v>0</v>
      </c>
      <c r="CI26" s="43">
        <f t="shared" si="58"/>
        <v>0</v>
      </c>
      <c r="CJ26" s="35">
        <f t="shared" si="59"/>
        <v>0</v>
      </c>
      <c r="CK26" s="36">
        <f t="shared" si="60"/>
        <v>0</v>
      </c>
      <c r="CL26" s="35">
        <f t="shared" si="61"/>
        <v>0</v>
      </c>
      <c r="CM26" s="62">
        <f t="shared" si="62"/>
        <v>0</v>
      </c>
      <c r="CN26" s="61">
        <f t="shared" si="63"/>
        <v>0</v>
      </c>
      <c r="CO26" s="43">
        <f t="shared" si="64"/>
        <v>0</v>
      </c>
      <c r="CP26" s="35">
        <f t="shared" si="65"/>
        <v>0</v>
      </c>
      <c r="CQ26" s="36">
        <f t="shared" si="66"/>
        <v>0</v>
      </c>
      <c r="CR26" s="35">
        <f t="shared" si="67"/>
        <v>0</v>
      </c>
      <c r="CS26" s="62">
        <f t="shared" si="68"/>
        <v>0</v>
      </c>
      <c r="CT26" s="61">
        <f t="shared" si="69"/>
        <v>0</v>
      </c>
      <c r="CU26" s="43">
        <f t="shared" si="70"/>
        <v>0</v>
      </c>
      <c r="CV26" s="35">
        <f t="shared" si="71"/>
        <v>0</v>
      </c>
      <c r="CW26" s="36">
        <f t="shared" si="72"/>
        <v>0</v>
      </c>
      <c r="CX26" s="35">
        <f t="shared" si="6"/>
        <v>0</v>
      </c>
      <c r="CY26" s="62">
        <f t="shared" si="73"/>
        <v>0</v>
      </c>
      <c r="CZ26" s="61">
        <f t="shared" si="74"/>
        <v>0</v>
      </c>
      <c r="DA26" s="43">
        <f t="shared" si="75"/>
        <v>0</v>
      </c>
      <c r="DB26" s="35">
        <f t="shared" si="76"/>
        <v>0</v>
      </c>
      <c r="DC26" s="36">
        <f t="shared" si="77"/>
        <v>0</v>
      </c>
      <c r="DD26" s="35">
        <f t="shared" si="78"/>
        <v>0</v>
      </c>
      <c r="DE26" s="62">
        <f t="shared" si="7"/>
        <v>0</v>
      </c>
      <c r="DF26" s="61">
        <f t="shared" si="79"/>
        <v>0</v>
      </c>
      <c r="DG26" s="43">
        <f t="shared" si="80"/>
        <v>0</v>
      </c>
      <c r="DH26" s="35">
        <f t="shared" si="81"/>
        <v>0</v>
      </c>
      <c r="DI26" s="36">
        <f t="shared" si="82"/>
        <v>0</v>
      </c>
      <c r="DJ26" s="35">
        <f t="shared" si="83"/>
        <v>0</v>
      </c>
      <c r="DK26" s="62">
        <f t="shared" si="84"/>
        <v>0</v>
      </c>
    </row>
    <row r="27" spans="2:115" x14ac:dyDescent="0.3">
      <c r="B27" s="1">
        <v>0.36620999999999998</v>
      </c>
      <c r="C27" s="1">
        <v>1.2736369999999999</v>
      </c>
      <c r="D27">
        <f t="shared" si="85"/>
        <v>11927.098070653601</v>
      </c>
      <c r="E27" s="4">
        <f t="shared" si="8"/>
        <v>0.30183368818419726</v>
      </c>
      <c r="G27" s="1">
        <v>0.36075699999999999</v>
      </c>
      <c r="H27" s="1">
        <v>1.2824960000000001</v>
      </c>
      <c r="I27">
        <f t="shared" si="9"/>
        <v>11731.508692955833</v>
      </c>
      <c r="J27" s="4">
        <f t="shared" si="10"/>
        <v>0.30686590226554705</v>
      </c>
      <c r="L27" s="1">
        <v>0.35869299999999998</v>
      </c>
      <c r="M27" s="1">
        <v>1.283679</v>
      </c>
      <c r="N27">
        <f t="shared" si="11"/>
        <v>11774.029995724979</v>
      </c>
      <c r="O27" s="4">
        <f t="shared" si="12"/>
        <v>0.30575767186826602</v>
      </c>
      <c r="Q27" s="14">
        <v>0.35697099999999998</v>
      </c>
      <c r="R27" s="14">
        <v>1.431492</v>
      </c>
      <c r="S27" s="15">
        <f t="shared" si="13"/>
        <v>13129.785364285262</v>
      </c>
      <c r="T27" s="16">
        <f t="shared" si="14"/>
        <v>0.27418574638641635</v>
      </c>
      <c r="V27" s="1">
        <v>0.35910599999999998</v>
      </c>
      <c r="W27" s="1">
        <v>1.433354</v>
      </c>
      <c r="X27">
        <f t="shared" si="15"/>
        <v>13224.702864442905</v>
      </c>
      <c r="Y27" s="4">
        <f t="shared" si="16"/>
        <v>0.27221783634014762</v>
      </c>
      <c r="AA27" s="1">
        <v>0.37053900000000001</v>
      </c>
      <c r="AB27" s="1">
        <v>1.4320900000000001</v>
      </c>
      <c r="AC27">
        <f t="shared" si="17"/>
        <v>13281.199178875628</v>
      </c>
      <c r="AD27" s="4">
        <f t="shared" si="18"/>
        <v>0.27105986074856625</v>
      </c>
      <c r="AF27" s="1">
        <v>0.38391799999999998</v>
      </c>
      <c r="AG27" s="1">
        <v>1.428186</v>
      </c>
      <c r="AH27">
        <f t="shared" si="19"/>
        <v>13339.400742415455</v>
      </c>
      <c r="AI27" s="4">
        <f t="shared" si="20"/>
        <v>0.26987719085108797</v>
      </c>
      <c r="AJ27" s="15"/>
      <c r="AK27" s="14">
        <v>0.39668199999999998</v>
      </c>
      <c r="AL27" s="14">
        <v>1.4254439999999999</v>
      </c>
      <c r="AM27" s="15">
        <f t="shared" si="21"/>
        <v>13399.601233199999</v>
      </c>
      <c r="AN27" s="16">
        <f t="shared" si="22"/>
        <v>0.26866471153487254</v>
      </c>
      <c r="AP27" s="1">
        <v>0.40986299999999998</v>
      </c>
      <c r="AQ27" s="1">
        <v>1.4026689999999999</v>
      </c>
      <c r="AR27">
        <f t="shared" si="23"/>
        <v>13273.311707799259</v>
      </c>
      <c r="AS27" s="4">
        <f t="shared" si="24"/>
        <v>0.27122093410076986</v>
      </c>
      <c r="AU27" s="1">
        <v>0.428595</v>
      </c>
      <c r="AV27" s="1">
        <v>1.368241</v>
      </c>
      <c r="AW27">
        <f t="shared" si="25"/>
        <v>13092.695096704296</v>
      </c>
      <c r="AX27" s="4">
        <f t="shared" si="26"/>
        <v>0.27496248659347416</v>
      </c>
      <c r="BD27" s="61">
        <f t="shared" si="27"/>
        <v>0</v>
      </c>
      <c r="BE27" s="43">
        <f t="shared" si="28"/>
        <v>0</v>
      </c>
      <c r="BF27" s="35">
        <f t="shared" si="29"/>
        <v>0</v>
      </c>
      <c r="BG27" s="36">
        <f t="shared" si="30"/>
        <v>0</v>
      </c>
      <c r="BH27" s="35">
        <f t="shared" si="31"/>
        <v>0</v>
      </c>
      <c r="BI27" s="62">
        <f t="shared" si="32"/>
        <v>0</v>
      </c>
      <c r="BJ27" s="61">
        <f t="shared" si="33"/>
        <v>0</v>
      </c>
      <c r="BK27" s="43">
        <f t="shared" si="34"/>
        <v>0</v>
      </c>
      <c r="BL27" s="35">
        <f t="shared" si="35"/>
        <v>0</v>
      </c>
      <c r="BM27" s="36">
        <f t="shared" si="36"/>
        <v>0</v>
      </c>
      <c r="BN27" s="35">
        <f t="shared" si="37"/>
        <v>0</v>
      </c>
      <c r="BO27" s="62">
        <f t="shared" si="38"/>
        <v>0</v>
      </c>
      <c r="BP27" s="61">
        <f t="shared" si="39"/>
        <v>0</v>
      </c>
      <c r="BQ27" s="43">
        <f t="shared" si="40"/>
        <v>0</v>
      </c>
      <c r="BR27" s="35">
        <f t="shared" si="41"/>
        <v>0</v>
      </c>
      <c r="BS27" s="36">
        <f t="shared" si="42"/>
        <v>0</v>
      </c>
      <c r="BT27" s="35">
        <f t="shared" si="43"/>
        <v>0</v>
      </c>
      <c r="BU27" s="62">
        <f t="shared" si="44"/>
        <v>0</v>
      </c>
      <c r="BV27" s="61">
        <f t="shared" si="45"/>
        <v>0</v>
      </c>
      <c r="BW27" s="43">
        <f t="shared" si="46"/>
        <v>0</v>
      </c>
      <c r="BX27" s="35">
        <f t="shared" si="47"/>
        <v>0</v>
      </c>
      <c r="BY27" s="36">
        <f t="shared" si="48"/>
        <v>0</v>
      </c>
      <c r="BZ27" s="35">
        <f t="shared" si="49"/>
        <v>0</v>
      </c>
      <c r="CA27" s="62">
        <f t="shared" si="50"/>
        <v>0</v>
      </c>
      <c r="CB27" s="61">
        <f t="shared" si="51"/>
        <v>0</v>
      </c>
      <c r="CC27" s="43">
        <f t="shared" si="52"/>
        <v>0</v>
      </c>
      <c r="CD27" s="35">
        <f t="shared" si="53"/>
        <v>0</v>
      </c>
      <c r="CE27" s="36">
        <f t="shared" si="54"/>
        <v>0</v>
      </c>
      <c r="CF27" s="35">
        <f t="shared" si="55"/>
        <v>0</v>
      </c>
      <c r="CG27" s="62">
        <f t="shared" si="56"/>
        <v>0</v>
      </c>
      <c r="CH27" s="61">
        <f t="shared" si="57"/>
        <v>0</v>
      </c>
      <c r="CI27" s="43">
        <f t="shared" si="58"/>
        <v>0</v>
      </c>
      <c r="CJ27" s="35">
        <f t="shared" si="59"/>
        <v>0</v>
      </c>
      <c r="CK27" s="36">
        <f t="shared" si="60"/>
        <v>0</v>
      </c>
      <c r="CL27" s="35">
        <f t="shared" si="61"/>
        <v>0</v>
      </c>
      <c r="CM27" s="62">
        <f t="shared" si="62"/>
        <v>0</v>
      </c>
      <c r="CN27" s="61">
        <f t="shared" si="63"/>
        <v>0</v>
      </c>
      <c r="CO27" s="43">
        <f t="shared" si="64"/>
        <v>0</v>
      </c>
      <c r="CP27" s="35">
        <f t="shared" si="65"/>
        <v>0</v>
      </c>
      <c r="CQ27" s="36">
        <f t="shared" si="66"/>
        <v>0</v>
      </c>
      <c r="CR27" s="35">
        <f t="shared" si="67"/>
        <v>0</v>
      </c>
      <c r="CS27" s="62">
        <f t="shared" si="68"/>
        <v>0</v>
      </c>
      <c r="CT27" s="61">
        <f t="shared" si="69"/>
        <v>0</v>
      </c>
      <c r="CU27" s="43">
        <f t="shared" si="70"/>
        <v>0</v>
      </c>
      <c r="CV27" s="35">
        <f t="shared" si="71"/>
        <v>0</v>
      </c>
      <c r="CW27" s="36">
        <f t="shared" si="72"/>
        <v>0</v>
      </c>
      <c r="CX27" s="35">
        <f t="shared" si="6"/>
        <v>0</v>
      </c>
      <c r="CY27" s="62">
        <f t="shared" si="73"/>
        <v>0</v>
      </c>
      <c r="CZ27" s="61">
        <f t="shared" si="74"/>
        <v>0</v>
      </c>
      <c r="DA27" s="43">
        <f t="shared" si="75"/>
        <v>0</v>
      </c>
      <c r="DB27" s="35">
        <f t="shared" si="76"/>
        <v>0</v>
      </c>
      <c r="DC27" s="36">
        <f t="shared" si="77"/>
        <v>0</v>
      </c>
      <c r="DD27" s="35">
        <f t="shared" si="78"/>
        <v>0</v>
      </c>
      <c r="DE27" s="62">
        <f t="shared" si="7"/>
        <v>0</v>
      </c>
      <c r="DF27" s="61">
        <f t="shared" si="79"/>
        <v>0</v>
      </c>
      <c r="DG27" s="43">
        <f t="shared" si="80"/>
        <v>0</v>
      </c>
      <c r="DH27" s="35">
        <f t="shared" si="81"/>
        <v>0</v>
      </c>
      <c r="DI27" s="36">
        <f t="shared" si="82"/>
        <v>0</v>
      </c>
      <c r="DJ27" s="35">
        <f t="shared" si="83"/>
        <v>0</v>
      </c>
      <c r="DK27" s="62">
        <f t="shared" si="84"/>
        <v>0</v>
      </c>
    </row>
    <row r="28" spans="2:115" x14ac:dyDescent="0.3">
      <c r="B28" s="1">
        <v>0.380411</v>
      </c>
      <c r="C28" s="1">
        <v>1.245606</v>
      </c>
      <c r="D28">
        <f t="shared" si="85"/>
        <v>11664.599033629323</v>
      </c>
      <c r="E28" s="4">
        <f t="shared" si="8"/>
        <v>0.30862612504905762</v>
      </c>
      <c r="G28" s="1">
        <v>0.37474600000000002</v>
      </c>
      <c r="H28" s="1">
        <v>1.2655400000000001</v>
      </c>
      <c r="I28">
        <f t="shared" si="9"/>
        <v>11576.405315325213</v>
      </c>
      <c r="J28" s="4">
        <f t="shared" si="10"/>
        <v>0.31097736317457769</v>
      </c>
      <c r="L28" s="1">
        <v>0.37260199999999999</v>
      </c>
      <c r="M28" s="1">
        <v>1.2667139999999999</v>
      </c>
      <c r="N28">
        <f t="shared" si="11"/>
        <v>11618.42534777368</v>
      </c>
      <c r="O28" s="4">
        <f t="shared" si="12"/>
        <v>0.30985266008442625</v>
      </c>
      <c r="Q28" s="14">
        <v>0.37081399999999998</v>
      </c>
      <c r="R28" s="14">
        <v>1.4123399999999999</v>
      </c>
      <c r="S28" s="15">
        <f t="shared" si="13"/>
        <v>12954.121337314247</v>
      </c>
      <c r="T28" s="16">
        <f t="shared" si="14"/>
        <v>0.2779038351007434</v>
      </c>
      <c r="V28" s="1">
        <v>0.373031</v>
      </c>
      <c r="W28" s="1">
        <v>1.4142570000000001</v>
      </c>
      <c r="X28">
        <f t="shared" si="15"/>
        <v>13048.506230113728</v>
      </c>
      <c r="Y28" s="4">
        <f t="shared" si="16"/>
        <v>0.27589364916666198</v>
      </c>
      <c r="AA28" s="1">
        <v>0.384907</v>
      </c>
      <c r="AB28" s="1">
        <v>1.4131009999999999</v>
      </c>
      <c r="AC28">
        <f t="shared" si="17"/>
        <v>13105.095239034086</v>
      </c>
      <c r="AD28" s="4">
        <f t="shared" si="18"/>
        <v>0.27470231496504094</v>
      </c>
      <c r="AF28" s="1">
        <v>0.39880500000000002</v>
      </c>
      <c r="AG28" s="1">
        <v>1.409289</v>
      </c>
      <c r="AH28">
        <f t="shared" si="19"/>
        <v>13162.900863667572</v>
      </c>
      <c r="AI28" s="4">
        <f t="shared" si="20"/>
        <v>0.27349594419090184</v>
      </c>
      <c r="AJ28" s="15"/>
      <c r="AK28" s="14">
        <v>0.41206399999999999</v>
      </c>
      <c r="AL28" s="14">
        <v>1.399934</v>
      </c>
      <c r="AM28" s="15">
        <f t="shared" si="21"/>
        <v>13159.799580199999</v>
      </c>
      <c r="AN28" s="16">
        <f t="shared" si="22"/>
        <v>0.27356039718237779</v>
      </c>
      <c r="AP28" s="1">
        <v>0.42575600000000002</v>
      </c>
      <c r="AQ28" s="1">
        <v>1.371515</v>
      </c>
      <c r="AR28">
        <f t="shared" si="23"/>
        <v>12978.504627194514</v>
      </c>
      <c r="AS28" s="4">
        <f t="shared" si="24"/>
        <v>0.27738172489122814</v>
      </c>
      <c r="AU28" s="1">
        <v>0.44521500000000003</v>
      </c>
      <c r="AV28" s="1">
        <v>1.3377049999999999</v>
      </c>
      <c r="AW28">
        <f t="shared" si="25"/>
        <v>12800.496180378177</v>
      </c>
      <c r="AX28" s="4">
        <f t="shared" si="26"/>
        <v>0.28123909802171759</v>
      </c>
      <c r="BD28" s="61">
        <f t="shared" si="27"/>
        <v>0</v>
      </c>
      <c r="BE28" s="43">
        <f t="shared" si="28"/>
        <v>0</v>
      </c>
      <c r="BF28" s="35">
        <f t="shared" si="29"/>
        <v>0</v>
      </c>
      <c r="BG28" s="36">
        <f t="shared" si="30"/>
        <v>0</v>
      </c>
      <c r="BH28" s="35">
        <f t="shared" si="31"/>
        <v>0</v>
      </c>
      <c r="BI28" s="62">
        <f t="shared" si="32"/>
        <v>0</v>
      </c>
      <c r="BJ28" s="61">
        <f t="shared" si="33"/>
        <v>0</v>
      </c>
      <c r="BK28" s="43">
        <f t="shared" si="34"/>
        <v>0</v>
      </c>
      <c r="BL28" s="35">
        <f t="shared" si="35"/>
        <v>0</v>
      </c>
      <c r="BM28" s="36">
        <f t="shared" si="36"/>
        <v>0</v>
      </c>
      <c r="BN28" s="35">
        <f t="shared" si="37"/>
        <v>0</v>
      </c>
      <c r="BO28" s="62">
        <f t="shared" si="38"/>
        <v>0</v>
      </c>
      <c r="BP28" s="61">
        <f t="shared" si="39"/>
        <v>0</v>
      </c>
      <c r="BQ28" s="43">
        <f t="shared" si="40"/>
        <v>0</v>
      </c>
      <c r="BR28" s="35">
        <f t="shared" si="41"/>
        <v>0</v>
      </c>
      <c r="BS28" s="36">
        <f t="shared" si="42"/>
        <v>0</v>
      </c>
      <c r="BT28" s="35">
        <f t="shared" si="43"/>
        <v>0</v>
      </c>
      <c r="BU28" s="62">
        <f t="shared" si="44"/>
        <v>0</v>
      </c>
      <c r="BV28" s="61">
        <f t="shared" si="45"/>
        <v>0</v>
      </c>
      <c r="BW28" s="43">
        <f t="shared" si="46"/>
        <v>0</v>
      </c>
      <c r="BX28" s="35">
        <f t="shared" si="47"/>
        <v>0</v>
      </c>
      <c r="BY28" s="36">
        <f t="shared" si="48"/>
        <v>0</v>
      </c>
      <c r="BZ28" s="35">
        <f t="shared" si="49"/>
        <v>0</v>
      </c>
      <c r="CA28" s="62">
        <f t="shared" si="50"/>
        <v>0</v>
      </c>
      <c r="CB28" s="61">
        <f t="shared" si="51"/>
        <v>0</v>
      </c>
      <c r="CC28" s="43">
        <f t="shared" si="52"/>
        <v>0</v>
      </c>
      <c r="CD28" s="35">
        <f t="shared" si="53"/>
        <v>0</v>
      </c>
      <c r="CE28" s="36">
        <f t="shared" si="54"/>
        <v>0</v>
      </c>
      <c r="CF28" s="35">
        <f t="shared" si="55"/>
        <v>0</v>
      </c>
      <c r="CG28" s="62">
        <f t="shared" si="56"/>
        <v>0</v>
      </c>
      <c r="CH28" s="61">
        <f t="shared" si="57"/>
        <v>0</v>
      </c>
      <c r="CI28" s="43">
        <f t="shared" si="58"/>
        <v>0</v>
      </c>
      <c r="CJ28" s="35">
        <f t="shared" si="59"/>
        <v>0</v>
      </c>
      <c r="CK28" s="36">
        <f t="shared" si="60"/>
        <v>0</v>
      </c>
      <c r="CL28" s="35">
        <f t="shared" si="61"/>
        <v>0</v>
      </c>
      <c r="CM28" s="62">
        <f t="shared" si="62"/>
        <v>0</v>
      </c>
      <c r="CN28" s="61">
        <f t="shared" si="63"/>
        <v>0</v>
      </c>
      <c r="CO28" s="43">
        <f t="shared" si="64"/>
        <v>0</v>
      </c>
      <c r="CP28" s="35">
        <f t="shared" si="65"/>
        <v>0</v>
      </c>
      <c r="CQ28" s="36">
        <f t="shared" si="66"/>
        <v>0</v>
      </c>
      <c r="CR28" s="35">
        <f t="shared" si="67"/>
        <v>0</v>
      </c>
      <c r="CS28" s="62">
        <f t="shared" si="68"/>
        <v>0</v>
      </c>
      <c r="CT28" s="61">
        <f t="shared" si="69"/>
        <v>0</v>
      </c>
      <c r="CU28" s="43">
        <f t="shared" si="70"/>
        <v>0</v>
      </c>
      <c r="CV28" s="35">
        <f t="shared" si="71"/>
        <v>0</v>
      </c>
      <c r="CW28" s="36">
        <f t="shared" si="72"/>
        <v>0</v>
      </c>
      <c r="CX28" s="35">
        <f t="shared" si="6"/>
        <v>0</v>
      </c>
      <c r="CY28" s="62">
        <f t="shared" si="73"/>
        <v>0</v>
      </c>
      <c r="CZ28" s="61">
        <f t="shared" si="74"/>
        <v>0</v>
      </c>
      <c r="DA28" s="43">
        <f t="shared" si="75"/>
        <v>0</v>
      </c>
      <c r="DB28" s="35">
        <f t="shared" si="76"/>
        <v>0</v>
      </c>
      <c r="DC28" s="36">
        <f t="shared" si="77"/>
        <v>0</v>
      </c>
      <c r="DD28" s="35">
        <f t="shared" si="78"/>
        <v>0</v>
      </c>
      <c r="DE28" s="62">
        <f t="shared" si="7"/>
        <v>0</v>
      </c>
      <c r="DF28" s="61">
        <f t="shared" si="79"/>
        <v>0</v>
      </c>
      <c r="DG28" s="43">
        <f t="shared" si="80"/>
        <v>0</v>
      </c>
      <c r="DH28" s="35">
        <f t="shared" si="81"/>
        <v>0</v>
      </c>
      <c r="DI28" s="36">
        <f t="shared" si="82"/>
        <v>0</v>
      </c>
      <c r="DJ28" s="35">
        <f t="shared" si="83"/>
        <v>0</v>
      </c>
      <c r="DK28" s="62">
        <f t="shared" si="84"/>
        <v>0</v>
      </c>
    </row>
    <row r="29" spans="2:115" x14ac:dyDescent="0.3">
      <c r="B29" s="1">
        <v>0.39463999999999999</v>
      </c>
      <c r="C29" s="1">
        <v>1.2191019999999999</v>
      </c>
      <c r="D29">
        <f t="shared" si="85"/>
        <v>11416.399737232781</v>
      </c>
      <c r="E29" s="4">
        <f t="shared" si="8"/>
        <v>0.31533583991975772</v>
      </c>
      <c r="G29" s="1">
        <v>0.388764</v>
      </c>
      <c r="H29" s="1">
        <v>1.2496339999999999</v>
      </c>
      <c r="I29">
        <f t="shared" si="9"/>
        <v>11430.906711610147</v>
      </c>
      <c r="J29" s="4">
        <f t="shared" si="10"/>
        <v>0.31493564691097958</v>
      </c>
      <c r="L29" s="1">
        <v>0.38653999999999999</v>
      </c>
      <c r="M29" s="1">
        <v>1.250861</v>
      </c>
      <c r="N29">
        <f t="shared" si="11"/>
        <v>11473.020073151109</v>
      </c>
      <c r="O29" s="4">
        <f t="shared" si="12"/>
        <v>0.31377963056341507</v>
      </c>
      <c r="Q29" s="14">
        <v>0.38468400000000003</v>
      </c>
      <c r="R29" s="14">
        <v>1.394611</v>
      </c>
      <c r="S29" s="15">
        <f t="shared" si="13"/>
        <v>12791.509206248609</v>
      </c>
      <c r="T29" s="16">
        <f t="shared" si="14"/>
        <v>0.28143668913136632</v>
      </c>
      <c r="V29" s="1">
        <v>0.38698399999999999</v>
      </c>
      <c r="W29" s="1">
        <v>1.396525</v>
      </c>
      <c r="X29">
        <f t="shared" si="15"/>
        <v>12884.903637040206</v>
      </c>
      <c r="Y29" s="4">
        <f t="shared" si="16"/>
        <v>0.27939673445838487</v>
      </c>
      <c r="AA29" s="1">
        <v>0.39930500000000002</v>
      </c>
      <c r="AB29" s="1">
        <v>1.3953739999999999</v>
      </c>
      <c r="AC29">
        <f t="shared" si="17"/>
        <v>12940.695084124878</v>
      </c>
      <c r="AD29" s="4">
        <f t="shared" si="18"/>
        <v>0.27819216638651306</v>
      </c>
      <c r="AF29" s="1">
        <v>0.41372300000000001</v>
      </c>
      <c r="AG29" s="1">
        <v>1.391591</v>
      </c>
      <c r="AH29">
        <f t="shared" si="19"/>
        <v>12997.59976539377</v>
      </c>
      <c r="AI29" s="4">
        <f t="shared" si="20"/>
        <v>0.27697421562287472</v>
      </c>
      <c r="AJ29" s="15"/>
      <c r="AK29" s="14">
        <v>0.427477</v>
      </c>
      <c r="AL29" s="14">
        <v>1.370382</v>
      </c>
      <c r="AM29" s="15">
        <f t="shared" si="21"/>
        <v>12882.0019146</v>
      </c>
      <c r="AN29" s="16">
        <f t="shared" si="22"/>
        <v>0.27945966968999508</v>
      </c>
      <c r="AP29" s="1">
        <v>0.44168200000000002</v>
      </c>
      <c r="AQ29" s="1">
        <v>1.34202</v>
      </c>
      <c r="AR29">
        <f t="shared" si="23"/>
        <v>12699.396492045353</v>
      </c>
      <c r="AS29" s="4">
        <f t="shared" si="24"/>
        <v>0.28347803789376669</v>
      </c>
      <c r="AU29" s="1">
        <v>0.461868</v>
      </c>
      <c r="AV29" s="1">
        <v>1.3088409999999999</v>
      </c>
      <c r="AW29">
        <f t="shared" si="25"/>
        <v>12524.296628346574</v>
      </c>
      <c r="AX29" s="4">
        <f t="shared" si="26"/>
        <v>0.28744129166120386</v>
      </c>
      <c r="BD29" s="61">
        <f t="shared" si="27"/>
        <v>0</v>
      </c>
      <c r="BE29" s="43">
        <f t="shared" si="28"/>
        <v>0</v>
      </c>
      <c r="BF29" s="35">
        <f t="shared" si="29"/>
        <v>0</v>
      </c>
      <c r="BG29" s="36">
        <f t="shared" si="30"/>
        <v>0</v>
      </c>
      <c r="BH29" s="35">
        <f t="shared" si="31"/>
        <v>0</v>
      </c>
      <c r="BI29" s="62">
        <f t="shared" si="32"/>
        <v>0</v>
      </c>
      <c r="BJ29" s="61">
        <f t="shared" si="33"/>
        <v>0</v>
      </c>
      <c r="BK29" s="43">
        <f t="shared" si="34"/>
        <v>0</v>
      </c>
      <c r="BL29" s="35">
        <f t="shared" si="35"/>
        <v>0</v>
      </c>
      <c r="BM29" s="36">
        <f t="shared" si="36"/>
        <v>0</v>
      </c>
      <c r="BN29" s="35">
        <f t="shared" si="37"/>
        <v>0</v>
      </c>
      <c r="BO29" s="62">
        <f t="shared" si="38"/>
        <v>0</v>
      </c>
      <c r="BP29" s="61">
        <f t="shared" si="39"/>
        <v>0</v>
      </c>
      <c r="BQ29" s="43">
        <f t="shared" si="40"/>
        <v>0</v>
      </c>
      <c r="BR29" s="35">
        <f t="shared" si="41"/>
        <v>0</v>
      </c>
      <c r="BS29" s="36">
        <f t="shared" si="42"/>
        <v>0</v>
      </c>
      <c r="BT29" s="35">
        <f t="shared" si="43"/>
        <v>0</v>
      </c>
      <c r="BU29" s="62">
        <f t="shared" si="44"/>
        <v>0</v>
      </c>
      <c r="BV29" s="61">
        <f t="shared" si="45"/>
        <v>0</v>
      </c>
      <c r="BW29" s="43">
        <f t="shared" si="46"/>
        <v>0</v>
      </c>
      <c r="BX29" s="35">
        <f t="shared" si="47"/>
        <v>0</v>
      </c>
      <c r="BY29" s="36">
        <f t="shared" si="48"/>
        <v>0</v>
      </c>
      <c r="BZ29" s="35">
        <f t="shared" si="49"/>
        <v>0</v>
      </c>
      <c r="CA29" s="62">
        <f t="shared" si="50"/>
        <v>0</v>
      </c>
      <c r="CB29" s="61">
        <f t="shared" si="51"/>
        <v>0</v>
      </c>
      <c r="CC29" s="43">
        <f t="shared" si="52"/>
        <v>0</v>
      </c>
      <c r="CD29" s="35">
        <f t="shared" si="53"/>
        <v>0</v>
      </c>
      <c r="CE29" s="36">
        <f t="shared" si="54"/>
        <v>0</v>
      </c>
      <c r="CF29" s="35">
        <f t="shared" si="55"/>
        <v>0</v>
      </c>
      <c r="CG29" s="62">
        <f t="shared" si="56"/>
        <v>0</v>
      </c>
      <c r="CH29" s="61">
        <f t="shared" si="57"/>
        <v>0</v>
      </c>
      <c r="CI29" s="43">
        <f t="shared" si="58"/>
        <v>0</v>
      </c>
      <c r="CJ29" s="35">
        <f t="shared" si="59"/>
        <v>0</v>
      </c>
      <c r="CK29" s="36">
        <f t="shared" si="60"/>
        <v>0</v>
      </c>
      <c r="CL29" s="35">
        <f t="shared" si="61"/>
        <v>0</v>
      </c>
      <c r="CM29" s="62">
        <f t="shared" si="62"/>
        <v>0</v>
      </c>
      <c r="CN29" s="61">
        <f t="shared" si="63"/>
        <v>0</v>
      </c>
      <c r="CO29" s="43">
        <f t="shared" si="64"/>
        <v>0</v>
      </c>
      <c r="CP29" s="35">
        <f t="shared" si="65"/>
        <v>0</v>
      </c>
      <c r="CQ29" s="36">
        <f t="shared" si="66"/>
        <v>0</v>
      </c>
      <c r="CR29" s="35">
        <f t="shared" si="67"/>
        <v>0</v>
      </c>
      <c r="CS29" s="62">
        <f t="shared" si="68"/>
        <v>0</v>
      </c>
      <c r="CT29" s="61">
        <f t="shared" si="69"/>
        <v>0</v>
      </c>
      <c r="CU29" s="43">
        <f t="shared" si="70"/>
        <v>0</v>
      </c>
      <c r="CV29" s="35">
        <f t="shared" si="71"/>
        <v>0</v>
      </c>
      <c r="CW29" s="36">
        <f t="shared" si="72"/>
        <v>0</v>
      </c>
      <c r="CX29" s="35">
        <f t="shared" si="6"/>
        <v>0</v>
      </c>
      <c r="CY29" s="62">
        <f t="shared" si="73"/>
        <v>0</v>
      </c>
      <c r="CZ29" s="61">
        <f t="shared" si="74"/>
        <v>0</v>
      </c>
      <c r="DA29" s="43">
        <f t="shared" si="75"/>
        <v>0</v>
      </c>
      <c r="DB29" s="35">
        <f t="shared" si="76"/>
        <v>0</v>
      </c>
      <c r="DC29" s="36">
        <f t="shared" si="77"/>
        <v>0</v>
      </c>
      <c r="DD29" s="35">
        <f t="shared" si="78"/>
        <v>0</v>
      </c>
      <c r="DE29" s="62">
        <f t="shared" si="7"/>
        <v>0</v>
      </c>
      <c r="DF29" s="61">
        <f t="shared" si="79"/>
        <v>0</v>
      </c>
      <c r="DG29" s="43">
        <f t="shared" si="80"/>
        <v>0</v>
      </c>
      <c r="DH29" s="35">
        <f t="shared" si="81"/>
        <v>0</v>
      </c>
      <c r="DI29" s="36">
        <f t="shared" si="82"/>
        <v>0</v>
      </c>
      <c r="DJ29" s="35">
        <f t="shared" si="83"/>
        <v>0</v>
      </c>
      <c r="DK29" s="62">
        <f t="shared" si="84"/>
        <v>0</v>
      </c>
    </row>
    <row r="30" spans="2:115" x14ac:dyDescent="0.3">
      <c r="B30" s="1">
        <v>0.40884100000000001</v>
      </c>
      <c r="C30" s="1">
        <v>1.201835</v>
      </c>
      <c r="D30">
        <f t="shared" si="85"/>
        <v>11254.701229427201</v>
      </c>
      <c r="E30" s="4">
        <f t="shared" si="8"/>
        <v>0.31986633199886544</v>
      </c>
      <c r="G30" s="1">
        <v>0.40275300000000003</v>
      </c>
      <c r="H30" s="1">
        <v>1.2348429999999999</v>
      </c>
      <c r="I30">
        <f t="shared" si="9"/>
        <v>11295.607463053029</v>
      </c>
      <c r="J30" s="4">
        <f t="shared" si="10"/>
        <v>0.31870795898098386</v>
      </c>
      <c r="L30" s="1">
        <v>0.400449</v>
      </c>
      <c r="M30" s="1">
        <v>1.376287</v>
      </c>
      <c r="N30">
        <f t="shared" si="11"/>
        <v>12623.439676684236</v>
      </c>
      <c r="O30" s="4">
        <f t="shared" si="12"/>
        <v>0.28518376070266149</v>
      </c>
      <c r="Q30" s="14">
        <v>0.39852599999999999</v>
      </c>
      <c r="R30" s="14">
        <v>1.377904</v>
      </c>
      <c r="S30" s="15">
        <f t="shared" si="13"/>
        <v>12638.270959663148</v>
      </c>
      <c r="T30" s="16">
        <f t="shared" si="14"/>
        <v>0.28484909142159681</v>
      </c>
      <c r="V30" s="1">
        <v>0.40090999999999999</v>
      </c>
      <c r="W30" s="1">
        <v>1.379812</v>
      </c>
      <c r="X30">
        <f t="shared" si="15"/>
        <v>12730.702749490143</v>
      </c>
      <c r="Y30" s="4">
        <f t="shared" si="16"/>
        <v>0.28278093290208806</v>
      </c>
      <c r="AA30" s="1">
        <v>0.41367300000000001</v>
      </c>
      <c r="AB30" s="1">
        <v>1.378682</v>
      </c>
      <c r="AC30">
        <f t="shared" si="17"/>
        <v>12785.893516699793</v>
      </c>
      <c r="AD30" s="4">
        <f t="shared" si="18"/>
        <v>0.28156029887922979</v>
      </c>
      <c r="AF30" s="1">
        <v>0.42860999999999999</v>
      </c>
      <c r="AG30" s="1">
        <v>1.3707990000000001</v>
      </c>
      <c r="AH30">
        <f t="shared" si="19"/>
        <v>12803.400396238561</v>
      </c>
      <c r="AI30" s="4">
        <f t="shared" si="20"/>
        <v>0.28117530410574554</v>
      </c>
      <c r="AK30" s="1">
        <v>0.442859</v>
      </c>
      <c r="AL30" s="1">
        <v>1.3425210000000001</v>
      </c>
      <c r="AM30">
        <f t="shared" si="21"/>
        <v>12620.100156299999</v>
      </c>
      <c r="AN30" s="4">
        <f t="shared" si="22"/>
        <v>0.28525922579171187</v>
      </c>
      <c r="AP30" s="1">
        <v>0.45757500000000001</v>
      </c>
      <c r="AQ30" s="1">
        <v>1.314554</v>
      </c>
      <c r="AR30">
        <f t="shared" si="23"/>
        <v>12439.488574092924</v>
      </c>
      <c r="AS30" s="4">
        <f t="shared" si="24"/>
        <v>0.28940096520507547</v>
      </c>
      <c r="AU30" s="1">
        <v>0.47848800000000002</v>
      </c>
      <c r="AV30" s="1">
        <v>1.2816700000000001</v>
      </c>
      <c r="AW30">
        <f t="shared" si="25"/>
        <v>12264.297389562946</v>
      </c>
      <c r="AX30" s="4">
        <f t="shared" si="26"/>
        <v>0.29353495643897548</v>
      </c>
      <c r="BD30" s="61">
        <f t="shared" si="27"/>
        <v>0</v>
      </c>
      <c r="BE30" s="43">
        <f t="shared" si="28"/>
        <v>0</v>
      </c>
      <c r="BF30" s="35">
        <f t="shared" si="29"/>
        <v>0</v>
      </c>
      <c r="BG30" s="36">
        <f t="shared" si="30"/>
        <v>0</v>
      </c>
      <c r="BH30" s="35">
        <f t="shared" si="31"/>
        <v>0</v>
      </c>
      <c r="BI30" s="62">
        <f t="shared" si="32"/>
        <v>0</v>
      </c>
      <c r="BJ30" s="61">
        <f t="shared" si="33"/>
        <v>0</v>
      </c>
      <c r="BK30" s="43">
        <f t="shared" si="34"/>
        <v>0</v>
      </c>
      <c r="BL30" s="35">
        <f t="shared" si="35"/>
        <v>0</v>
      </c>
      <c r="BM30" s="36">
        <f t="shared" si="36"/>
        <v>0</v>
      </c>
      <c r="BN30" s="35">
        <f t="shared" si="37"/>
        <v>0</v>
      </c>
      <c r="BO30" s="62">
        <f t="shared" si="38"/>
        <v>0</v>
      </c>
      <c r="BP30" s="61">
        <f t="shared" si="39"/>
        <v>0</v>
      </c>
      <c r="BQ30" s="43">
        <f t="shared" si="40"/>
        <v>0</v>
      </c>
      <c r="BR30" s="35">
        <f t="shared" si="41"/>
        <v>0</v>
      </c>
      <c r="BS30" s="36">
        <f t="shared" si="42"/>
        <v>0</v>
      </c>
      <c r="BT30" s="35">
        <f t="shared" si="43"/>
        <v>0</v>
      </c>
      <c r="BU30" s="62">
        <f t="shared" si="44"/>
        <v>0</v>
      </c>
      <c r="BV30" s="61">
        <f t="shared" si="45"/>
        <v>0</v>
      </c>
      <c r="BW30" s="43">
        <f t="shared" si="46"/>
        <v>0</v>
      </c>
      <c r="BX30" s="35">
        <f t="shared" si="47"/>
        <v>0</v>
      </c>
      <c r="BY30" s="36">
        <f t="shared" si="48"/>
        <v>0</v>
      </c>
      <c r="BZ30" s="35">
        <f t="shared" si="49"/>
        <v>0</v>
      </c>
      <c r="CA30" s="62">
        <f t="shared" si="50"/>
        <v>0</v>
      </c>
      <c r="CB30" s="61">
        <f t="shared" si="51"/>
        <v>0</v>
      </c>
      <c r="CC30" s="43">
        <f t="shared" si="52"/>
        <v>0</v>
      </c>
      <c r="CD30" s="35">
        <f t="shared" si="53"/>
        <v>0</v>
      </c>
      <c r="CE30" s="36">
        <f t="shared" si="54"/>
        <v>0</v>
      </c>
      <c r="CF30" s="35">
        <f t="shared" si="55"/>
        <v>0</v>
      </c>
      <c r="CG30" s="62">
        <f t="shared" si="56"/>
        <v>0</v>
      </c>
      <c r="CH30" s="61">
        <f t="shared" si="57"/>
        <v>0</v>
      </c>
      <c r="CI30" s="43">
        <f t="shared" si="58"/>
        <v>0</v>
      </c>
      <c r="CJ30" s="35">
        <f t="shared" si="59"/>
        <v>0</v>
      </c>
      <c r="CK30" s="36">
        <f t="shared" si="60"/>
        <v>0</v>
      </c>
      <c r="CL30" s="35">
        <f t="shared" si="61"/>
        <v>0</v>
      </c>
      <c r="CM30" s="62">
        <f t="shared" si="62"/>
        <v>0</v>
      </c>
      <c r="CN30" s="61">
        <f t="shared" si="63"/>
        <v>0</v>
      </c>
      <c r="CO30" s="43">
        <f t="shared" si="64"/>
        <v>0</v>
      </c>
      <c r="CP30" s="35">
        <f t="shared" si="65"/>
        <v>0</v>
      </c>
      <c r="CQ30" s="36">
        <f t="shared" si="66"/>
        <v>0</v>
      </c>
      <c r="CR30" s="35">
        <f t="shared" si="67"/>
        <v>0</v>
      </c>
      <c r="CS30" s="62">
        <f t="shared" si="68"/>
        <v>0</v>
      </c>
      <c r="CT30" s="61">
        <f t="shared" si="69"/>
        <v>0</v>
      </c>
      <c r="CU30" s="43">
        <f t="shared" si="70"/>
        <v>0</v>
      </c>
      <c r="CV30" s="35">
        <f t="shared" si="71"/>
        <v>0</v>
      </c>
      <c r="CW30" s="36">
        <f t="shared" si="72"/>
        <v>0</v>
      </c>
      <c r="CX30" s="35">
        <f t="shared" si="6"/>
        <v>0</v>
      </c>
      <c r="CY30" s="62">
        <f t="shared" si="73"/>
        <v>0</v>
      </c>
      <c r="CZ30" s="61">
        <f t="shared" si="74"/>
        <v>0</v>
      </c>
      <c r="DA30" s="43">
        <f t="shared" si="75"/>
        <v>0</v>
      </c>
      <c r="DB30" s="35">
        <f t="shared" si="76"/>
        <v>0</v>
      </c>
      <c r="DC30" s="36">
        <f t="shared" si="77"/>
        <v>0</v>
      </c>
      <c r="DD30" s="35">
        <f t="shared" si="78"/>
        <v>0</v>
      </c>
      <c r="DE30" s="62">
        <f t="shared" si="7"/>
        <v>0</v>
      </c>
      <c r="DF30" s="61">
        <f t="shared" si="79"/>
        <v>0</v>
      </c>
      <c r="DG30" s="43">
        <f t="shared" si="80"/>
        <v>0</v>
      </c>
      <c r="DH30" s="35">
        <f t="shared" si="81"/>
        <v>0</v>
      </c>
      <c r="DI30" s="36">
        <f t="shared" si="82"/>
        <v>0</v>
      </c>
      <c r="DJ30" s="35">
        <f t="shared" si="83"/>
        <v>0</v>
      </c>
      <c r="DK30" s="62">
        <f t="shared" si="84"/>
        <v>0</v>
      </c>
    </row>
    <row r="31" spans="2:115" x14ac:dyDescent="0.3">
      <c r="B31" s="1">
        <v>0.42304199999999997</v>
      </c>
      <c r="C31" s="1">
        <v>1.1884220000000001</v>
      </c>
      <c r="D31">
        <f t="shared" si="85"/>
        <v>11129.093881005574</v>
      </c>
      <c r="E31" s="4">
        <f t="shared" si="8"/>
        <v>0.32347646973706007</v>
      </c>
      <c r="G31" s="1">
        <v>0.416742</v>
      </c>
      <c r="H31" s="1">
        <v>1.2211339999999999</v>
      </c>
      <c r="I31">
        <f t="shared" si="9"/>
        <v>11170.205705330796</v>
      </c>
      <c r="J31" s="4">
        <f t="shared" si="10"/>
        <v>0.32228591800077228</v>
      </c>
      <c r="L31" s="1">
        <v>0.414358</v>
      </c>
      <c r="M31" s="1">
        <v>1.360641</v>
      </c>
      <c r="N31">
        <f t="shared" si="11"/>
        <v>12479.933026413324</v>
      </c>
      <c r="O31" s="4">
        <f t="shared" si="12"/>
        <v>0.28846308649098767</v>
      </c>
      <c r="Q31" s="14">
        <v>0.41236899999999999</v>
      </c>
      <c r="R31" s="14">
        <v>1.3622840000000001</v>
      </c>
      <c r="S31" s="15">
        <f t="shared" si="13"/>
        <v>12495.002783948485</v>
      </c>
      <c r="T31" s="16">
        <f t="shared" si="14"/>
        <v>0.28811518190493607</v>
      </c>
      <c r="V31" s="1">
        <v>0.41483500000000001</v>
      </c>
      <c r="W31" s="1">
        <v>1.3641289999999999</v>
      </c>
      <c r="X31">
        <f t="shared" si="15"/>
        <v>12586.005057905886</v>
      </c>
      <c r="Y31" s="4">
        <f t="shared" si="16"/>
        <v>0.28603198421080117</v>
      </c>
      <c r="AA31" s="1">
        <v>0.42804199999999998</v>
      </c>
      <c r="AB31" s="1">
        <v>1.3629830000000001</v>
      </c>
      <c r="AC31">
        <f t="shared" si="17"/>
        <v>12640.301028860922</v>
      </c>
      <c r="AD31" s="4">
        <f t="shared" si="18"/>
        <v>0.28480334382704281</v>
      </c>
      <c r="AF31" s="1">
        <v>0.44349699999999997</v>
      </c>
      <c r="AG31" s="1">
        <v>1.344236</v>
      </c>
      <c r="AH31">
        <f t="shared" si="19"/>
        <v>12555.299307220195</v>
      </c>
      <c r="AI31" s="4">
        <f t="shared" si="20"/>
        <v>0.28673151566603772</v>
      </c>
      <c r="AK31" s="1">
        <v>0.45824199999999998</v>
      </c>
      <c r="AL31" s="1">
        <v>1.315979</v>
      </c>
      <c r="AM31">
        <f t="shared" si="21"/>
        <v>12370.5973937</v>
      </c>
      <c r="AN31" s="4">
        <f t="shared" si="22"/>
        <v>0.29101262335425931</v>
      </c>
      <c r="AP31" s="1">
        <v>0.473468</v>
      </c>
      <c r="AQ31" s="1">
        <v>1.288483</v>
      </c>
      <c r="AR31">
        <f t="shared" si="23"/>
        <v>12192.781396894288</v>
      </c>
      <c r="AS31" s="4">
        <f t="shared" si="24"/>
        <v>0.29525666727010969</v>
      </c>
      <c r="AU31" s="1">
        <v>0.49510799999999999</v>
      </c>
      <c r="AV31" s="1">
        <v>1.329669</v>
      </c>
      <c r="AW31">
        <f t="shared" si="25"/>
        <v>12723.599714187561</v>
      </c>
      <c r="AX31" s="4">
        <f t="shared" si="26"/>
        <v>0.28293879726393689</v>
      </c>
      <c r="BD31" s="61">
        <f t="shared" si="27"/>
        <v>0</v>
      </c>
      <c r="BE31" s="43">
        <f t="shared" si="28"/>
        <v>0</v>
      </c>
      <c r="BF31" s="35">
        <f t="shared" si="29"/>
        <v>0</v>
      </c>
      <c r="BG31" s="36">
        <f t="shared" si="30"/>
        <v>0</v>
      </c>
      <c r="BH31" s="35">
        <f t="shared" si="31"/>
        <v>0</v>
      </c>
      <c r="BI31" s="62">
        <f t="shared" si="32"/>
        <v>0</v>
      </c>
      <c r="BJ31" s="61">
        <f t="shared" si="33"/>
        <v>0</v>
      </c>
      <c r="BK31" s="43">
        <f t="shared" si="34"/>
        <v>0</v>
      </c>
      <c r="BL31" s="35">
        <f t="shared" si="35"/>
        <v>0</v>
      </c>
      <c r="BM31" s="36">
        <f t="shared" si="36"/>
        <v>0</v>
      </c>
      <c r="BN31" s="35">
        <f t="shared" si="37"/>
        <v>0</v>
      </c>
      <c r="BO31" s="62">
        <f t="shared" si="38"/>
        <v>0</v>
      </c>
      <c r="BP31" s="61">
        <f t="shared" si="39"/>
        <v>0</v>
      </c>
      <c r="BQ31" s="43">
        <f t="shared" si="40"/>
        <v>0</v>
      </c>
      <c r="BR31" s="35">
        <f t="shared" si="41"/>
        <v>0</v>
      </c>
      <c r="BS31" s="36">
        <f t="shared" si="42"/>
        <v>0</v>
      </c>
      <c r="BT31" s="35">
        <f t="shared" si="43"/>
        <v>0</v>
      </c>
      <c r="BU31" s="62">
        <f t="shared" si="44"/>
        <v>0</v>
      </c>
      <c r="BV31" s="61">
        <f t="shared" si="45"/>
        <v>0</v>
      </c>
      <c r="BW31" s="43">
        <f t="shared" si="46"/>
        <v>0</v>
      </c>
      <c r="BX31" s="35">
        <f t="shared" si="47"/>
        <v>0</v>
      </c>
      <c r="BY31" s="36">
        <f t="shared" si="48"/>
        <v>0</v>
      </c>
      <c r="BZ31" s="35">
        <f t="shared" si="49"/>
        <v>0</v>
      </c>
      <c r="CA31" s="62">
        <f t="shared" si="50"/>
        <v>0</v>
      </c>
      <c r="CB31" s="61">
        <f t="shared" si="51"/>
        <v>0</v>
      </c>
      <c r="CC31" s="43">
        <f t="shared" si="52"/>
        <v>0</v>
      </c>
      <c r="CD31" s="35">
        <f t="shared" si="53"/>
        <v>0</v>
      </c>
      <c r="CE31" s="36">
        <f t="shared" si="54"/>
        <v>0</v>
      </c>
      <c r="CF31" s="35">
        <f t="shared" si="55"/>
        <v>0</v>
      </c>
      <c r="CG31" s="62">
        <f t="shared" si="56"/>
        <v>0</v>
      </c>
      <c r="CH31" s="61">
        <f t="shared" si="57"/>
        <v>0</v>
      </c>
      <c r="CI31" s="43">
        <f t="shared" si="58"/>
        <v>0</v>
      </c>
      <c r="CJ31" s="35">
        <f t="shared" si="59"/>
        <v>0</v>
      </c>
      <c r="CK31" s="36">
        <f t="shared" si="60"/>
        <v>0</v>
      </c>
      <c r="CL31" s="35">
        <f t="shared" si="61"/>
        <v>0</v>
      </c>
      <c r="CM31" s="62">
        <f t="shared" si="62"/>
        <v>0</v>
      </c>
      <c r="CN31" s="61">
        <f t="shared" si="63"/>
        <v>0</v>
      </c>
      <c r="CO31" s="43">
        <f t="shared" si="64"/>
        <v>0</v>
      </c>
      <c r="CP31" s="35">
        <f t="shared" si="65"/>
        <v>0</v>
      </c>
      <c r="CQ31" s="36">
        <f t="shared" si="66"/>
        <v>0</v>
      </c>
      <c r="CR31" s="35">
        <f t="shared" si="67"/>
        <v>0</v>
      </c>
      <c r="CS31" s="62">
        <f t="shared" si="68"/>
        <v>0</v>
      </c>
      <c r="CT31" s="61">
        <f t="shared" si="69"/>
        <v>0</v>
      </c>
      <c r="CU31" s="43">
        <f t="shared" si="70"/>
        <v>0</v>
      </c>
      <c r="CV31" s="35">
        <f t="shared" si="71"/>
        <v>0</v>
      </c>
      <c r="CW31" s="36">
        <f t="shared" si="72"/>
        <v>0</v>
      </c>
      <c r="CX31" s="35">
        <f t="shared" si="6"/>
        <v>0</v>
      </c>
      <c r="CY31" s="62">
        <f t="shared" si="73"/>
        <v>0</v>
      </c>
      <c r="CZ31" s="61">
        <f t="shared" si="74"/>
        <v>0</v>
      </c>
      <c r="DA31" s="43">
        <f t="shared" si="75"/>
        <v>0</v>
      </c>
      <c r="DB31" s="35">
        <f t="shared" si="76"/>
        <v>0</v>
      </c>
      <c r="DC31" s="36">
        <f t="shared" si="77"/>
        <v>0</v>
      </c>
      <c r="DD31" s="35">
        <f t="shared" si="78"/>
        <v>0</v>
      </c>
      <c r="DE31" s="62">
        <f t="shared" si="7"/>
        <v>0</v>
      </c>
      <c r="DF31" s="61">
        <f t="shared" si="79"/>
        <v>0</v>
      </c>
      <c r="DG31" s="43">
        <f t="shared" si="80"/>
        <v>0</v>
      </c>
      <c r="DH31" s="35">
        <f t="shared" si="81"/>
        <v>0</v>
      </c>
      <c r="DI31" s="36">
        <f t="shared" si="82"/>
        <v>0</v>
      </c>
      <c r="DJ31" s="35">
        <f t="shared" si="83"/>
        <v>0</v>
      </c>
      <c r="DK31" s="62">
        <f t="shared" si="84"/>
        <v>0</v>
      </c>
    </row>
    <row r="32" spans="2:115" x14ac:dyDescent="0.3">
      <c r="B32" s="1">
        <v>0.43724200000000002</v>
      </c>
      <c r="C32" s="1">
        <v>1.175961</v>
      </c>
      <c r="D32">
        <f t="shared" si="85"/>
        <v>11012.401629556838</v>
      </c>
      <c r="E32" s="4">
        <f t="shared" si="8"/>
        <v>0.32690416869084632</v>
      </c>
      <c r="G32" s="1">
        <v>0.43073099999999998</v>
      </c>
      <c r="H32" s="1">
        <v>1.3442730000000001</v>
      </c>
      <c r="I32">
        <f t="shared" si="9"/>
        <v>12296.607853128442</v>
      </c>
      <c r="J32" s="4">
        <f t="shared" si="10"/>
        <v>0.29276366645164714</v>
      </c>
      <c r="L32" s="1">
        <v>0.42826700000000001</v>
      </c>
      <c r="M32" s="1">
        <v>1.3461620000000001</v>
      </c>
      <c r="N32">
        <f t="shared" si="11"/>
        <v>12347.130214878587</v>
      </c>
      <c r="O32" s="4">
        <f t="shared" si="12"/>
        <v>0.2915657272053318</v>
      </c>
      <c r="Q32" s="14">
        <v>0.42621100000000001</v>
      </c>
      <c r="R32" s="14">
        <v>1.3478159999999999</v>
      </c>
      <c r="S32" s="15">
        <f t="shared" si="13"/>
        <v>12362.300865495234</v>
      </c>
      <c r="T32" s="16">
        <f t="shared" si="14"/>
        <v>0.29120792635358533</v>
      </c>
      <c r="V32" s="1">
        <v>0.42875999999999997</v>
      </c>
      <c r="W32" s="1">
        <v>1.3496159999999999</v>
      </c>
      <c r="X32">
        <f t="shared" si="15"/>
        <v>12452.102258826482</v>
      </c>
      <c r="Y32" s="4">
        <f t="shared" si="16"/>
        <v>0.28910780888007848</v>
      </c>
      <c r="AA32" s="1">
        <v>0.44241000000000003</v>
      </c>
      <c r="AB32" s="1">
        <v>1.3482099999999999</v>
      </c>
      <c r="AC32">
        <f t="shared" si="17"/>
        <v>12503.296262771129</v>
      </c>
      <c r="AD32" s="4">
        <f t="shared" si="18"/>
        <v>0.28792407412748333</v>
      </c>
      <c r="AF32" s="1">
        <v>0.45838499999999999</v>
      </c>
      <c r="AG32" s="1">
        <v>1.3191189999999999</v>
      </c>
      <c r="AH32">
        <f t="shared" si="19"/>
        <v>12320.704003494175</v>
      </c>
      <c r="AI32" s="4">
        <f t="shared" si="20"/>
        <v>0.29219109549089345</v>
      </c>
      <c r="AK32" s="1">
        <v>0.47362399999999999</v>
      </c>
      <c r="AL32" s="1">
        <v>1.2914909999999999</v>
      </c>
      <c r="AM32">
        <f t="shared" si="21"/>
        <v>12140.402847299998</v>
      </c>
      <c r="AN32" s="4">
        <f t="shared" si="22"/>
        <v>0.29653052252715262</v>
      </c>
      <c r="AP32" s="1">
        <v>0.48936200000000002</v>
      </c>
      <c r="AQ32" s="1">
        <v>1.2639229999999999</v>
      </c>
      <c r="AR32">
        <f t="shared" si="23"/>
        <v>11960.372656454774</v>
      </c>
      <c r="AS32" s="4">
        <f t="shared" si="24"/>
        <v>0.30099396594111572</v>
      </c>
      <c r="AU32" s="1">
        <v>0.51172799999999996</v>
      </c>
      <c r="AV32" s="1">
        <v>1.315655</v>
      </c>
      <c r="AW32">
        <f t="shared" si="25"/>
        <v>12589.499779245389</v>
      </c>
      <c r="AX32" s="4">
        <f t="shared" si="26"/>
        <v>0.28595258454468819</v>
      </c>
      <c r="BB32" t="s">
        <v>88</v>
      </c>
      <c r="BD32" s="61">
        <f t="shared" si="27"/>
        <v>0</v>
      </c>
      <c r="BE32" s="43">
        <f t="shared" si="28"/>
        <v>0</v>
      </c>
      <c r="BF32" s="35">
        <f t="shared" si="29"/>
        <v>0</v>
      </c>
      <c r="BG32" s="36">
        <f t="shared" si="30"/>
        <v>0</v>
      </c>
      <c r="BH32" s="35">
        <f t="shared" si="31"/>
        <v>0</v>
      </c>
      <c r="BI32" s="62">
        <f t="shared" si="32"/>
        <v>0</v>
      </c>
      <c r="BJ32" s="61">
        <f t="shared" si="33"/>
        <v>0</v>
      </c>
      <c r="BK32" s="43">
        <f t="shared" si="34"/>
        <v>0</v>
      </c>
      <c r="BL32" s="35">
        <f t="shared" si="35"/>
        <v>0</v>
      </c>
      <c r="BM32" s="36">
        <f t="shared" si="36"/>
        <v>0</v>
      </c>
      <c r="BN32" s="35">
        <f t="shared" si="37"/>
        <v>0</v>
      </c>
      <c r="BO32" s="62">
        <f t="shared" si="38"/>
        <v>0</v>
      </c>
      <c r="BP32" s="61">
        <f t="shared" si="39"/>
        <v>0</v>
      </c>
      <c r="BQ32" s="43">
        <f t="shared" si="40"/>
        <v>0</v>
      </c>
      <c r="BR32" s="35">
        <f t="shared" si="41"/>
        <v>0</v>
      </c>
      <c r="BS32" s="36">
        <f t="shared" si="42"/>
        <v>0</v>
      </c>
      <c r="BT32" s="35">
        <f t="shared" si="43"/>
        <v>0</v>
      </c>
      <c r="BU32" s="62">
        <f t="shared" si="44"/>
        <v>0</v>
      </c>
      <c r="BV32" s="61">
        <f t="shared" si="45"/>
        <v>0</v>
      </c>
      <c r="BW32" s="43">
        <f t="shared" si="46"/>
        <v>0</v>
      </c>
      <c r="BX32" s="35">
        <f t="shared" si="47"/>
        <v>0</v>
      </c>
      <c r="BY32" s="36">
        <f t="shared" si="48"/>
        <v>0</v>
      </c>
      <c r="BZ32" s="35">
        <f t="shared" si="49"/>
        <v>0</v>
      </c>
      <c r="CA32" s="62">
        <f t="shared" si="50"/>
        <v>0</v>
      </c>
      <c r="CB32" s="61">
        <f t="shared" si="51"/>
        <v>0</v>
      </c>
      <c r="CC32" s="43">
        <f t="shared" si="52"/>
        <v>0</v>
      </c>
      <c r="CD32" s="35">
        <f t="shared" si="53"/>
        <v>0</v>
      </c>
      <c r="CE32" s="36">
        <f t="shared" si="54"/>
        <v>0</v>
      </c>
      <c r="CF32" s="35">
        <f t="shared" si="55"/>
        <v>0</v>
      </c>
      <c r="CG32" s="62">
        <f t="shared" si="56"/>
        <v>0</v>
      </c>
      <c r="CH32" s="61">
        <f t="shared" si="57"/>
        <v>0</v>
      </c>
      <c r="CI32" s="43">
        <f t="shared" si="58"/>
        <v>0</v>
      </c>
      <c r="CJ32" s="35">
        <f t="shared" si="59"/>
        <v>0</v>
      </c>
      <c r="CK32" s="36">
        <f t="shared" si="60"/>
        <v>0</v>
      </c>
      <c r="CL32" s="35">
        <f t="shared" si="61"/>
        <v>0</v>
      </c>
      <c r="CM32" s="62">
        <f t="shared" si="62"/>
        <v>0</v>
      </c>
      <c r="CN32" s="61">
        <f t="shared" si="63"/>
        <v>0</v>
      </c>
      <c r="CO32" s="43">
        <f t="shared" si="64"/>
        <v>0</v>
      </c>
      <c r="CP32" s="35">
        <f t="shared" si="65"/>
        <v>0</v>
      </c>
      <c r="CQ32" s="36">
        <f t="shared" si="66"/>
        <v>0</v>
      </c>
      <c r="CR32" s="35">
        <f t="shared" si="67"/>
        <v>0</v>
      </c>
      <c r="CS32" s="62">
        <f t="shared" si="68"/>
        <v>0</v>
      </c>
      <c r="CT32" s="61">
        <f t="shared" si="69"/>
        <v>0</v>
      </c>
      <c r="CU32" s="43">
        <f t="shared" si="70"/>
        <v>0</v>
      </c>
      <c r="CV32" s="35">
        <f t="shared" si="71"/>
        <v>0</v>
      </c>
      <c r="CW32" s="36">
        <f t="shared" si="72"/>
        <v>0</v>
      </c>
      <c r="CX32" s="35">
        <f t="shared" si="6"/>
        <v>0</v>
      </c>
      <c r="CY32" s="62">
        <f t="shared" si="73"/>
        <v>0</v>
      </c>
      <c r="CZ32" s="61">
        <f t="shared" si="74"/>
        <v>0</v>
      </c>
      <c r="DA32" s="43">
        <f t="shared" si="75"/>
        <v>0</v>
      </c>
      <c r="DB32" s="35">
        <f t="shared" si="76"/>
        <v>0</v>
      </c>
      <c r="DC32" s="36">
        <f t="shared" si="77"/>
        <v>0</v>
      </c>
      <c r="DD32" s="35">
        <f t="shared" si="78"/>
        <v>0</v>
      </c>
      <c r="DE32" s="62">
        <f t="shared" si="7"/>
        <v>0</v>
      </c>
      <c r="DF32" s="61">
        <f t="shared" si="79"/>
        <v>0</v>
      </c>
      <c r="DG32" s="43">
        <f t="shared" si="80"/>
        <v>0</v>
      </c>
      <c r="DH32" s="35">
        <f t="shared" si="81"/>
        <v>0</v>
      </c>
      <c r="DI32" s="36">
        <f t="shared" si="82"/>
        <v>0</v>
      </c>
      <c r="DJ32" s="35">
        <f t="shared" si="83"/>
        <v>0</v>
      </c>
      <c r="DK32" s="62">
        <f t="shared" si="84"/>
        <v>0</v>
      </c>
    </row>
    <row r="33" spans="2:115" x14ac:dyDescent="0.3">
      <c r="B33" s="1">
        <v>0.45141399999999998</v>
      </c>
      <c r="C33" s="1">
        <v>1.1642999999999999</v>
      </c>
      <c r="D33">
        <f t="shared" si="85"/>
        <v>10903.201056236579</v>
      </c>
      <c r="E33" s="4">
        <f t="shared" si="8"/>
        <v>0.33017826429430253</v>
      </c>
      <c r="G33" s="1">
        <v>0.44469199999999998</v>
      </c>
      <c r="H33" s="1">
        <v>1.330783</v>
      </c>
      <c r="I33">
        <f t="shared" si="9"/>
        <v>12173.209376822884</v>
      </c>
      <c r="J33" s="4">
        <f t="shared" si="10"/>
        <v>0.29573137933979843</v>
      </c>
      <c r="L33" s="1">
        <v>0.44214799999999999</v>
      </c>
      <c r="M33" s="1">
        <v>1.332708</v>
      </c>
      <c r="N33">
        <f t="shared" si="11"/>
        <v>12223.728804118977</v>
      </c>
      <c r="O33" s="4">
        <f t="shared" si="12"/>
        <v>0.29450915164175795</v>
      </c>
      <c r="Q33" s="14">
        <v>0.44002599999999997</v>
      </c>
      <c r="R33" s="14">
        <v>1.3342719999999999</v>
      </c>
      <c r="S33" s="15">
        <f t="shared" si="13"/>
        <v>12238.073965887077</v>
      </c>
      <c r="T33" s="16">
        <f t="shared" si="14"/>
        <v>0.29416393543908886</v>
      </c>
      <c r="V33" s="1">
        <v>0.44265700000000002</v>
      </c>
      <c r="W33" s="1">
        <v>1.336025</v>
      </c>
      <c r="X33">
        <f t="shared" si="15"/>
        <v>12326.706204097056</v>
      </c>
      <c r="Y33" s="4">
        <f t="shared" si="16"/>
        <v>0.29204881988697512</v>
      </c>
      <c r="AA33" s="1">
        <v>0.45674999999999999</v>
      </c>
      <c r="AB33" s="1">
        <v>1.3241320000000001</v>
      </c>
      <c r="AC33">
        <f t="shared" si="17"/>
        <v>12279.996949299933</v>
      </c>
      <c r="AD33" s="4">
        <f t="shared" si="18"/>
        <v>0.29315968194969555</v>
      </c>
      <c r="AF33" s="1">
        <v>0.473242</v>
      </c>
      <c r="AG33" s="1">
        <v>1.2952109999999999</v>
      </c>
      <c r="AH33">
        <f t="shared" si="19"/>
        <v>12097.400881247024</v>
      </c>
      <c r="AI33" s="4">
        <f t="shared" si="20"/>
        <v>0.29758458327859472</v>
      </c>
      <c r="AK33" s="1">
        <v>0.48897499999999999</v>
      </c>
      <c r="AL33" s="1">
        <v>1.267725</v>
      </c>
      <c r="AM33">
        <f t="shared" si="21"/>
        <v>11916.995317499999</v>
      </c>
      <c r="AN33" s="4">
        <f t="shared" si="22"/>
        <v>0.30208957074216791</v>
      </c>
      <c r="AP33" s="1">
        <v>0.50522299999999998</v>
      </c>
      <c r="AQ33" s="1">
        <v>1.310327</v>
      </c>
      <c r="AR33">
        <f t="shared" si="23"/>
        <v>12399.488910174447</v>
      </c>
      <c r="AS33" s="4">
        <f t="shared" si="24"/>
        <v>0.29033454734138331</v>
      </c>
      <c r="AU33" s="1">
        <v>0.52831399999999995</v>
      </c>
      <c r="AV33" s="1">
        <v>1.302613</v>
      </c>
      <c r="AW33">
        <f t="shared" si="25"/>
        <v>12464.700910149069</v>
      </c>
      <c r="AX33" s="4">
        <f t="shared" si="26"/>
        <v>0.28881559420882619</v>
      </c>
      <c r="BD33" s="61">
        <f t="shared" si="27"/>
        <v>0</v>
      </c>
      <c r="BE33" s="43">
        <f t="shared" si="28"/>
        <v>0</v>
      </c>
      <c r="BF33" s="35">
        <f t="shared" si="29"/>
        <v>0</v>
      </c>
      <c r="BG33" s="36">
        <f t="shared" si="30"/>
        <v>0</v>
      </c>
      <c r="BH33" s="35">
        <f t="shared" si="31"/>
        <v>0</v>
      </c>
      <c r="BI33" s="62">
        <f t="shared" si="32"/>
        <v>0</v>
      </c>
      <c r="BJ33" s="61">
        <f t="shared" si="33"/>
        <v>0</v>
      </c>
      <c r="BK33" s="43">
        <f t="shared" si="34"/>
        <v>0</v>
      </c>
      <c r="BL33" s="35">
        <f t="shared" si="35"/>
        <v>0</v>
      </c>
      <c r="BM33" s="36">
        <f t="shared" si="36"/>
        <v>0</v>
      </c>
      <c r="BN33" s="35">
        <f t="shared" si="37"/>
        <v>0</v>
      </c>
      <c r="BO33" s="62">
        <f t="shared" si="38"/>
        <v>0</v>
      </c>
      <c r="BP33" s="61">
        <f t="shared" si="39"/>
        <v>0</v>
      </c>
      <c r="BQ33" s="43">
        <f t="shared" si="40"/>
        <v>0</v>
      </c>
      <c r="BR33" s="35">
        <f t="shared" si="41"/>
        <v>0</v>
      </c>
      <c r="BS33" s="36">
        <f t="shared" si="42"/>
        <v>0</v>
      </c>
      <c r="BT33" s="35">
        <f t="shared" si="43"/>
        <v>0</v>
      </c>
      <c r="BU33" s="62">
        <f t="shared" si="44"/>
        <v>0</v>
      </c>
      <c r="BV33" s="61">
        <f t="shared" si="45"/>
        <v>0</v>
      </c>
      <c r="BW33" s="43">
        <f t="shared" si="46"/>
        <v>0</v>
      </c>
      <c r="BX33" s="35">
        <f t="shared" si="47"/>
        <v>0</v>
      </c>
      <c r="BY33" s="36">
        <f t="shared" si="48"/>
        <v>0</v>
      </c>
      <c r="BZ33" s="35">
        <f t="shared" si="49"/>
        <v>0</v>
      </c>
      <c r="CA33" s="62">
        <f t="shared" si="50"/>
        <v>0</v>
      </c>
      <c r="CB33" s="61">
        <f t="shared" si="51"/>
        <v>0</v>
      </c>
      <c r="CC33" s="43">
        <f t="shared" si="52"/>
        <v>0</v>
      </c>
      <c r="CD33" s="35">
        <f t="shared" si="53"/>
        <v>0</v>
      </c>
      <c r="CE33" s="36">
        <f t="shared" si="54"/>
        <v>0</v>
      </c>
      <c r="CF33" s="35">
        <f t="shared" si="55"/>
        <v>0</v>
      </c>
      <c r="CG33" s="62">
        <f t="shared" si="56"/>
        <v>0</v>
      </c>
      <c r="CH33" s="61">
        <f t="shared" si="57"/>
        <v>0</v>
      </c>
      <c r="CI33" s="43">
        <f t="shared" si="58"/>
        <v>0</v>
      </c>
      <c r="CJ33" s="35">
        <f t="shared" si="59"/>
        <v>0</v>
      </c>
      <c r="CK33" s="36">
        <f t="shared" si="60"/>
        <v>0</v>
      </c>
      <c r="CL33" s="35">
        <f t="shared" si="61"/>
        <v>0</v>
      </c>
      <c r="CM33" s="62">
        <f t="shared" si="62"/>
        <v>0</v>
      </c>
      <c r="CN33" s="61">
        <f t="shared" si="63"/>
        <v>0</v>
      </c>
      <c r="CO33" s="43">
        <f t="shared" si="64"/>
        <v>0</v>
      </c>
      <c r="CP33" s="35">
        <f t="shared" si="65"/>
        <v>0</v>
      </c>
      <c r="CQ33" s="36">
        <f t="shared" si="66"/>
        <v>0</v>
      </c>
      <c r="CR33" s="35">
        <f t="shared" si="67"/>
        <v>0</v>
      </c>
      <c r="CS33" s="62">
        <f t="shared" si="68"/>
        <v>0</v>
      </c>
      <c r="CT33" s="61">
        <f t="shared" si="69"/>
        <v>0</v>
      </c>
      <c r="CU33" s="43">
        <f t="shared" si="70"/>
        <v>0</v>
      </c>
      <c r="CV33" s="35">
        <f t="shared" si="71"/>
        <v>0</v>
      </c>
      <c r="CW33" s="36">
        <f t="shared" si="72"/>
        <v>0</v>
      </c>
      <c r="CX33" s="35">
        <f t="shared" si="6"/>
        <v>0</v>
      </c>
      <c r="CY33" s="62">
        <f t="shared" si="73"/>
        <v>0</v>
      </c>
      <c r="CZ33" s="61">
        <f t="shared" si="74"/>
        <v>0</v>
      </c>
      <c r="DA33" s="43">
        <f t="shared" si="75"/>
        <v>0</v>
      </c>
      <c r="DB33" s="35">
        <f t="shared" si="76"/>
        <v>0</v>
      </c>
      <c r="DC33" s="36">
        <f t="shared" si="77"/>
        <v>0</v>
      </c>
      <c r="DD33" s="35">
        <f t="shared" si="78"/>
        <v>0</v>
      </c>
      <c r="DE33" s="62">
        <f t="shared" si="7"/>
        <v>0</v>
      </c>
      <c r="DF33" s="61">
        <f t="shared" si="79"/>
        <v>0</v>
      </c>
      <c r="DG33" s="43">
        <f t="shared" si="80"/>
        <v>0</v>
      </c>
      <c r="DH33" s="35">
        <f t="shared" si="81"/>
        <v>0</v>
      </c>
      <c r="DI33" s="36">
        <f t="shared" si="82"/>
        <v>0</v>
      </c>
      <c r="DJ33" s="35">
        <f t="shared" si="83"/>
        <v>0</v>
      </c>
      <c r="DK33" s="62">
        <f t="shared" si="84"/>
        <v>0</v>
      </c>
    </row>
    <row r="34" spans="2:115" x14ac:dyDescent="0.3">
      <c r="B34" s="1">
        <v>0.465615</v>
      </c>
      <c r="C34" s="1">
        <v>1.153343</v>
      </c>
      <c r="D34">
        <f t="shared" si="85"/>
        <v>10800.593159669386</v>
      </c>
      <c r="E34" s="4">
        <f t="shared" si="8"/>
        <v>0.33331502694155718</v>
      </c>
      <c r="G34" s="1">
        <v>0.45868100000000001</v>
      </c>
      <c r="H34" s="1">
        <v>1.318047</v>
      </c>
      <c r="I34">
        <f t="shared" si="9"/>
        <v>12056.708042929065</v>
      </c>
      <c r="J34" s="4">
        <f t="shared" si="10"/>
        <v>0.29858896700341875</v>
      </c>
      <c r="L34" s="1">
        <v>0.45605699999999999</v>
      </c>
      <c r="M34" s="1">
        <v>1.319974</v>
      </c>
      <c r="N34">
        <f t="shared" si="11"/>
        <v>12106.931304147753</v>
      </c>
      <c r="O34" s="4">
        <f t="shared" si="12"/>
        <v>0.29735032846569998</v>
      </c>
      <c r="Q34" s="20">
        <v>0.45386799999999999</v>
      </c>
      <c r="R34" s="20">
        <v>1.3214999999999999</v>
      </c>
      <c r="S34" s="96">
        <f t="shared" si="13"/>
        <v>12120.927926179798</v>
      </c>
      <c r="T34" s="16">
        <f t="shared" si="14"/>
        <v>0.29700696365204987</v>
      </c>
      <c r="V34" s="1">
        <v>0.45658199999999999</v>
      </c>
      <c r="W34" s="1">
        <v>1.3232250000000001</v>
      </c>
      <c r="X34">
        <f t="shared" si="15"/>
        <v>12208.608234813217</v>
      </c>
      <c r="Y34" s="4">
        <f t="shared" si="16"/>
        <v>0.29487390624383297</v>
      </c>
      <c r="AA34" s="1">
        <v>0.47111799999999998</v>
      </c>
      <c r="AB34" s="1">
        <v>1.3011539999999999</v>
      </c>
      <c r="AC34">
        <f t="shared" si="17"/>
        <v>12066.899033154854</v>
      </c>
      <c r="AD34" s="4">
        <f t="shared" si="18"/>
        <v>0.29833679639720917</v>
      </c>
      <c r="AF34" s="1">
        <v>0.48812899999999998</v>
      </c>
      <c r="AG34" s="1">
        <v>1.2723739999999999</v>
      </c>
      <c r="AH34">
        <f t="shared" si="19"/>
        <v>11884.101006612669</v>
      </c>
      <c r="AI34" s="4">
        <f t="shared" si="20"/>
        <v>0.30292573228693126</v>
      </c>
      <c r="AK34" s="1">
        <v>0.50435700000000006</v>
      </c>
      <c r="AL34" s="1">
        <v>1.245258</v>
      </c>
      <c r="AM34">
        <f t="shared" si="21"/>
        <v>11705.798777399999</v>
      </c>
      <c r="AN34" s="4">
        <f t="shared" si="22"/>
        <v>0.30753988415984063</v>
      </c>
      <c r="AP34" s="1">
        <v>0.52111600000000002</v>
      </c>
      <c r="AQ34" s="1">
        <v>1.2980050000000001</v>
      </c>
      <c r="AR34">
        <f t="shared" si="23"/>
        <v>12282.887098297588</v>
      </c>
      <c r="AS34" s="4">
        <f t="shared" si="24"/>
        <v>0.2930907018187085</v>
      </c>
      <c r="AU34" s="1">
        <v>0.54493400000000003</v>
      </c>
      <c r="AV34" s="1">
        <v>1.2903439999999999</v>
      </c>
      <c r="AW34">
        <f t="shared" si="25"/>
        <v>12347.298876339626</v>
      </c>
      <c r="AX34" s="4">
        <f t="shared" si="26"/>
        <v>0.29156174447987648</v>
      </c>
      <c r="BD34" s="61">
        <f t="shared" si="27"/>
        <v>0</v>
      </c>
      <c r="BE34" s="43">
        <f t="shared" si="28"/>
        <v>0</v>
      </c>
      <c r="BF34" s="35">
        <f t="shared" si="29"/>
        <v>0</v>
      </c>
      <c r="BG34" s="36">
        <f t="shared" si="30"/>
        <v>0</v>
      </c>
      <c r="BH34" s="35">
        <f t="shared" si="31"/>
        <v>0</v>
      </c>
      <c r="BI34" s="62">
        <f t="shared" si="32"/>
        <v>0</v>
      </c>
      <c r="BJ34" s="61">
        <f t="shared" si="33"/>
        <v>0</v>
      </c>
      <c r="BK34" s="43">
        <f t="shared" si="34"/>
        <v>0</v>
      </c>
      <c r="BL34" s="35">
        <f t="shared" si="35"/>
        <v>0</v>
      </c>
      <c r="BM34" s="36">
        <f t="shared" si="36"/>
        <v>0</v>
      </c>
      <c r="BN34" s="35">
        <f t="shared" si="37"/>
        <v>0</v>
      </c>
      <c r="BO34" s="62">
        <f t="shared" si="38"/>
        <v>0</v>
      </c>
      <c r="BP34" s="61">
        <f t="shared" si="39"/>
        <v>0</v>
      </c>
      <c r="BQ34" s="43">
        <f t="shared" si="40"/>
        <v>0</v>
      </c>
      <c r="BR34" s="35">
        <f t="shared" si="41"/>
        <v>0</v>
      </c>
      <c r="BS34" s="36">
        <f t="shared" si="42"/>
        <v>0</v>
      </c>
      <c r="BT34" s="35">
        <f t="shared" si="43"/>
        <v>0</v>
      </c>
      <c r="BU34" s="62">
        <f t="shared" si="44"/>
        <v>0</v>
      </c>
      <c r="BV34" s="61">
        <f t="shared" si="45"/>
        <v>0</v>
      </c>
      <c r="BW34" s="43">
        <f t="shared" si="46"/>
        <v>0</v>
      </c>
      <c r="BX34" s="35">
        <f t="shared" si="47"/>
        <v>0</v>
      </c>
      <c r="BY34" s="36">
        <f t="shared" si="48"/>
        <v>0</v>
      </c>
      <c r="BZ34" s="35">
        <f t="shared" si="49"/>
        <v>0</v>
      </c>
      <c r="CA34" s="62">
        <f t="shared" si="50"/>
        <v>0</v>
      </c>
      <c r="CB34" s="61">
        <f t="shared" si="51"/>
        <v>0</v>
      </c>
      <c r="CC34" s="43">
        <f t="shared" si="52"/>
        <v>0</v>
      </c>
      <c r="CD34" s="35">
        <f t="shared" si="53"/>
        <v>0</v>
      </c>
      <c r="CE34" s="36">
        <f t="shared" si="54"/>
        <v>0</v>
      </c>
      <c r="CF34" s="35">
        <f t="shared" si="55"/>
        <v>0</v>
      </c>
      <c r="CG34" s="62">
        <f t="shared" si="56"/>
        <v>0</v>
      </c>
      <c r="CH34" s="61">
        <f t="shared" si="57"/>
        <v>0</v>
      </c>
      <c r="CI34" s="43">
        <f t="shared" si="58"/>
        <v>0</v>
      </c>
      <c r="CJ34" s="35">
        <f t="shared" si="59"/>
        <v>0</v>
      </c>
      <c r="CK34" s="36">
        <f t="shared" si="60"/>
        <v>0</v>
      </c>
      <c r="CL34" s="35">
        <f t="shared" si="61"/>
        <v>0</v>
      </c>
      <c r="CM34" s="62">
        <f t="shared" si="62"/>
        <v>0</v>
      </c>
      <c r="CN34" s="61">
        <f t="shared" si="63"/>
        <v>0</v>
      </c>
      <c r="CO34" s="43">
        <f t="shared" si="64"/>
        <v>0</v>
      </c>
      <c r="CP34" s="35">
        <f t="shared" si="65"/>
        <v>0</v>
      </c>
      <c r="CQ34" s="36">
        <f t="shared" si="66"/>
        <v>0</v>
      </c>
      <c r="CR34" s="35">
        <f t="shared" si="67"/>
        <v>0</v>
      </c>
      <c r="CS34" s="62">
        <f t="shared" si="68"/>
        <v>0</v>
      </c>
      <c r="CT34" s="61">
        <f t="shared" si="69"/>
        <v>0</v>
      </c>
      <c r="CU34" s="43">
        <f t="shared" si="70"/>
        <v>0</v>
      </c>
      <c r="CV34" s="35">
        <f t="shared" si="71"/>
        <v>0</v>
      </c>
      <c r="CW34" s="36">
        <f t="shared" si="72"/>
        <v>0</v>
      </c>
      <c r="CX34" s="35">
        <f t="shared" si="6"/>
        <v>0</v>
      </c>
      <c r="CY34" s="62">
        <f t="shared" si="73"/>
        <v>0</v>
      </c>
      <c r="CZ34" s="61">
        <f t="shared" si="74"/>
        <v>0</v>
      </c>
      <c r="DA34" s="43">
        <f t="shared" si="75"/>
        <v>0</v>
      </c>
      <c r="DB34" s="35">
        <f t="shared" si="76"/>
        <v>0</v>
      </c>
      <c r="DC34" s="36">
        <f t="shared" si="77"/>
        <v>0</v>
      </c>
      <c r="DD34" s="35">
        <f t="shared" si="78"/>
        <v>0</v>
      </c>
      <c r="DE34" s="62">
        <f t="shared" si="7"/>
        <v>0</v>
      </c>
      <c r="DF34" s="61">
        <f t="shared" si="79"/>
        <v>0</v>
      </c>
      <c r="DG34" s="43">
        <f t="shared" si="80"/>
        <v>0</v>
      </c>
      <c r="DH34" s="35">
        <f t="shared" si="81"/>
        <v>0</v>
      </c>
      <c r="DI34" s="36">
        <f t="shared" si="82"/>
        <v>0</v>
      </c>
      <c r="DJ34" s="35">
        <f t="shared" si="83"/>
        <v>0</v>
      </c>
      <c r="DK34" s="62">
        <f t="shared" si="84"/>
        <v>0</v>
      </c>
    </row>
    <row r="35" spans="2:115" x14ac:dyDescent="0.3">
      <c r="B35" s="1">
        <v>0.47978700000000002</v>
      </c>
      <c r="C35" s="1">
        <v>1.2704869999999999</v>
      </c>
      <c r="D35">
        <f t="shared" si="85"/>
        <v>11897.599588022713</v>
      </c>
      <c r="E35" s="4">
        <f t="shared" si="8"/>
        <v>0.30258204382874948</v>
      </c>
      <c r="G35" s="1">
        <v>0.47264200000000001</v>
      </c>
      <c r="H35" s="1">
        <v>1.3060099999999999</v>
      </c>
      <c r="I35">
        <f t="shared" si="9"/>
        <v>11946.600744241889</v>
      </c>
      <c r="J35" s="4">
        <f t="shared" si="10"/>
        <v>0.30134094853175325</v>
      </c>
      <c r="L35" s="1">
        <v>0.46993800000000002</v>
      </c>
      <c r="M35" s="1">
        <v>1.3079149999999999</v>
      </c>
      <c r="N35">
        <f t="shared" si="11"/>
        <v>11996.324970540638</v>
      </c>
      <c r="O35" s="4">
        <f t="shared" si="12"/>
        <v>0.30009190388227364</v>
      </c>
      <c r="Q35" s="8">
        <v>0.46768300000000002</v>
      </c>
      <c r="R35" s="8">
        <v>1.309412</v>
      </c>
      <c r="S35" s="9">
        <f t="shared" si="13"/>
        <v>12010.055601721486</v>
      </c>
      <c r="T35" s="4">
        <f t="shared" si="14"/>
        <v>0.29974882043709994</v>
      </c>
      <c r="V35" s="1">
        <v>0.47047899999999998</v>
      </c>
      <c r="W35" s="1">
        <v>1.305525</v>
      </c>
      <c r="X35">
        <f t="shared" si="15"/>
        <v>12045.300886662906</v>
      </c>
      <c r="Y35" s="4">
        <f t="shared" si="16"/>
        <v>0.29887173710920584</v>
      </c>
      <c r="AA35" s="1">
        <v>0.485458</v>
      </c>
      <c r="AB35" s="1">
        <v>1.2792749999999999</v>
      </c>
      <c r="AC35">
        <f t="shared" si="17"/>
        <v>11863.993240338328</v>
      </c>
      <c r="AD35" s="4">
        <f t="shared" si="18"/>
        <v>0.30343914793880461</v>
      </c>
      <c r="AF35" s="1">
        <v>0.50298600000000004</v>
      </c>
      <c r="AG35" s="1">
        <v>1.2508319999999999</v>
      </c>
      <c r="AH35">
        <f t="shared" si="19"/>
        <v>11682.89656209836</v>
      </c>
      <c r="AI35" s="4">
        <f t="shared" si="20"/>
        <v>0.30814276073273783</v>
      </c>
      <c r="AK35" s="1">
        <v>0.51970799999999995</v>
      </c>
      <c r="AL35" s="1">
        <v>1.223652</v>
      </c>
      <c r="AM35">
        <f t="shared" si="21"/>
        <v>11502.695895599998</v>
      </c>
      <c r="AN35" s="4">
        <f t="shared" si="22"/>
        <v>0.31297011002238778</v>
      </c>
      <c r="AP35" s="1">
        <v>0.53697799999999996</v>
      </c>
      <c r="AQ35" s="1">
        <v>1.2863059999999999</v>
      </c>
      <c r="AR35">
        <f t="shared" si="23"/>
        <v>12172.180671001095</v>
      </c>
      <c r="AS35" s="4">
        <f t="shared" si="24"/>
        <v>0.29575637244496472</v>
      </c>
      <c r="AU35" s="1">
        <v>0.56152000000000002</v>
      </c>
      <c r="AV35" s="1">
        <v>1.2786919999999999</v>
      </c>
      <c r="AW35">
        <f t="shared" si="25"/>
        <v>12235.800914162788</v>
      </c>
      <c r="AX35" s="4">
        <f t="shared" si="26"/>
        <v>0.29421858244138677</v>
      </c>
      <c r="BD35" s="61">
        <f t="shared" si="27"/>
        <v>0</v>
      </c>
      <c r="BE35" s="43">
        <f t="shared" si="28"/>
        <v>0</v>
      </c>
      <c r="BF35" s="35">
        <f t="shared" si="29"/>
        <v>0</v>
      </c>
      <c r="BG35" s="36">
        <f t="shared" si="30"/>
        <v>0</v>
      </c>
      <c r="BH35" s="35">
        <f t="shared" si="31"/>
        <v>0</v>
      </c>
      <c r="BI35" s="62">
        <f t="shared" si="32"/>
        <v>0</v>
      </c>
      <c r="BJ35" s="61">
        <f t="shared" si="33"/>
        <v>0</v>
      </c>
      <c r="BK35" s="43">
        <f t="shared" si="34"/>
        <v>0</v>
      </c>
      <c r="BL35" s="35">
        <f t="shared" si="35"/>
        <v>0</v>
      </c>
      <c r="BM35" s="36">
        <f t="shared" si="36"/>
        <v>0</v>
      </c>
      <c r="BN35" s="35">
        <f t="shared" si="37"/>
        <v>0</v>
      </c>
      <c r="BO35" s="62">
        <f t="shared" si="38"/>
        <v>0</v>
      </c>
      <c r="BP35" s="61">
        <f t="shared" si="39"/>
        <v>0</v>
      </c>
      <c r="BQ35" s="43">
        <f t="shared" si="40"/>
        <v>0</v>
      </c>
      <c r="BR35" s="35">
        <f t="shared" si="41"/>
        <v>0</v>
      </c>
      <c r="BS35" s="36">
        <f t="shared" si="42"/>
        <v>0</v>
      </c>
      <c r="BT35" s="35">
        <f t="shared" si="43"/>
        <v>0</v>
      </c>
      <c r="BU35" s="62">
        <f t="shared" si="44"/>
        <v>0</v>
      </c>
      <c r="BV35" s="61">
        <f t="shared" si="45"/>
        <v>0</v>
      </c>
      <c r="BW35" s="43">
        <f t="shared" si="46"/>
        <v>0</v>
      </c>
      <c r="BX35" s="35">
        <f t="shared" si="47"/>
        <v>0</v>
      </c>
      <c r="BY35" s="36">
        <f t="shared" si="48"/>
        <v>0</v>
      </c>
      <c r="BZ35" s="35">
        <f t="shared" si="49"/>
        <v>0</v>
      </c>
      <c r="CA35" s="62">
        <f t="shared" si="50"/>
        <v>0</v>
      </c>
      <c r="CB35" s="61">
        <f t="shared" si="51"/>
        <v>0</v>
      </c>
      <c r="CC35" s="43">
        <f t="shared" si="52"/>
        <v>0</v>
      </c>
      <c r="CD35" s="35">
        <f t="shared" si="53"/>
        <v>0</v>
      </c>
      <c r="CE35" s="36">
        <f t="shared" si="54"/>
        <v>0</v>
      </c>
      <c r="CF35" s="35">
        <f t="shared" si="55"/>
        <v>0</v>
      </c>
      <c r="CG35" s="62">
        <f t="shared" si="56"/>
        <v>0</v>
      </c>
      <c r="CH35" s="61">
        <f t="shared" si="57"/>
        <v>0</v>
      </c>
      <c r="CI35" s="43">
        <f t="shared" si="58"/>
        <v>0</v>
      </c>
      <c r="CJ35" s="35">
        <f t="shared" si="59"/>
        <v>0</v>
      </c>
      <c r="CK35" s="36">
        <f t="shared" si="60"/>
        <v>0</v>
      </c>
      <c r="CL35" s="35">
        <f t="shared" si="61"/>
        <v>0</v>
      </c>
      <c r="CM35" s="62">
        <f t="shared" si="62"/>
        <v>0</v>
      </c>
      <c r="CN35" s="61">
        <f t="shared" si="63"/>
        <v>0</v>
      </c>
      <c r="CO35" s="43">
        <f t="shared" si="64"/>
        <v>0</v>
      </c>
      <c r="CP35" s="35">
        <f t="shared" si="65"/>
        <v>0</v>
      </c>
      <c r="CQ35" s="36">
        <f t="shared" si="66"/>
        <v>0</v>
      </c>
      <c r="CR35" s="35">
        <f t="shared" si="67"/>
        <v>0</v>
      </c>
      <c r="CS35" s="62">
        <f t="shared" si="68"/>
        <v>0</v>
      </c>
      <c r="CT35" s="61">
        <f t="shared" si="69"/>
        <v>0</v>
      </c>
      <c r="CU35" s="43">
        <f t="shared" si="70"/>
        <v>0</v>
      </c>
      <c r="CV35" s="35">
        <f t="shared" si="71"/>
        <v>0</v>
      </c>
      <c r="CW35" s="36">
        <f t="shared" si="72"/>
        <v>0</v>
      </c>
      <c r="CX35" s="35">
        <f t="shared" si="6"/>
        <v>0</v>
      </c>
      <c r="CY35" s="62">
        <f t="shared" si="73"/>
        <v>0</v>
      </c>
      <c r="CZ35" s="61">
        <f t="shared" si="74"/>
        <v>0</v>
      </c>
      <c r="DA35" s="43">
        <f t="shared" si="75"/>
        <v>0</v>
      </c>
      <c r="DB35" s="35">
        <f t="shared" si="76"/>
        <v>0</v>
      </c>
      <c r="DC35" s="36">
        <f t="shared" si="77"/>
        <v>0</v>
      </c>
      <c r="DD35" s="35">
        <f t="shared" si="78"/>
        <v>0</v>
      </c>
      <c r="DE35" s="62">
        <f t="shared" si="7"/>
        <v>0</v>
      </c>
      <c r="DF35" s="61">
        <f t="shared" si="79"/>
        <v>0</v>
      </c>
      <c r="DG35" s="43">
        <f t="shared" si="80"/>
        <v>0</v>
      </c>
      <c r="DH35" s="35">
        <f t="shared" si="81"/>
        <v>0</v>
      </c>
      <c r="DI35" s="36">
        <f t="shared" si="82"/>
        <v>0</v>
      </c>
      <c r="DJ35" s="35">
        <f t="shared" si="83"/>
        <v>0</v>
      </c>
      <c r="DK35" s="62">
        <f t="shared" si="84"/>
        <v>0</v>
      </c>
    </row>
    <row r="36" spans="2:115" x14ac:dyDescent="0.3">
      <c r="B36" s="1">
        <v>0.49398799999999998</v>
      </c>
      <c r="C36" s="1">
        <v>1.2594339999999999</v>
      </c>
      <c r="D36">
        <f t="shared" si="85"/>
        <v>11794.092690080101</v>
      </c>
      <c r="E36" s="4">
        <f t="shared" si="8"/>
        <v>0.30523755362953231</v>
      </c>
      <c r="G36" s="1">
        <v>0.48663099999999998</v>
      </c>
      <c r="H36" s="1">
        <v>1.294597</v>
      </c>
      <c r="I36">
        <f t="shared" si="9"/>
        <v>11842.201425481671</v>
      </c>
      <c r="J36" s="4">
        <f t="shared" si="10"/>
        <v>0.30399753142634739</v>
      </c>
      <c r="L36" s="1">
        <v>0.48384700000000003</v>
      </c>
      <c r="M36" s="1">
        <v>1.296478</v>
      </c>
      <c r="N36">
        <f t="shared" si="11"/>
        <v>11891.423682086821</v>
      </c>
      <c r="O36" s="4">
        <f t="shared" si="12"/>
        <v>0.30273919223171075</v>
      </c>
      <c r="Q36" s="1">
        <v>0.48152499999999998</v>
      </c>
      <c r="R36" s="1">
        <v>1.297955</v>
      </c>
      <c r="S36">
        <f t="shared" si="13"/>
        <v>11904.970871301326</v>
      </c>
      <c r="T36" s="4">
        <f t="shared" si="14"/>
        <v>0.30239469200872443</v>
      </c>
      <c r="V36" s="1">
        <v>0.484404</v>
      </c>
      <c r="W36" s="1">
        <v>1.2844770000000001</v>
      </c>
      <c r="X36">
        <f t="shared" si="15"/>
        <v>11851.103538421792</v>
      </c>
      <c r="Y36" s="4">
        <f t="shared" si="16"/>
        <v>0.30376917966572847</v>
      </c>
      <c r="AA36" s="1">
        <v>0.49982599999999999</v>
      </c>
      <c r="AB36" s="1">
        <v>1.2582059999999999</v>
      </c>
      <c r="AC36">
        <f t="shared" si="17"/>
        <v>11668.599385552854</v>
      </c>
      <c r="AD36" s="4">
        <f t="shared" si="18"/>
        <v>0.30852031859601231</v>
      </c>
      <c r="AF36" s="1">
        <v>0.51787399999999995</v>
      </c>
      <c r="AG36" s="1">
        <v>1.2301690000000001</v>
      </c>
      <c r="AH36">
        <f t="shared" si="19"/>
        <v>11489.902065904917</v>
      </c>
      <c r="AI36" s="4">
        <f t="shared" si="20"/>
        <v>0.31331859743893065</v>
      </c>
      <c r="AK36" s="1">
        <v>0.53509099999999998</v>
      </c>
      <c r="AL36" s="1">
        <v>1.2773319999999999</v>
      </c>
      <c r="AM36">
        <f t="shared" si="21"/>
        <v>12007.303999599999</v>
      </c>
      <c r="AN36" s="4">
        <f t="shared" si="22"/>
        <v>0.29981751108491361</v>
      </c>
      <c r="AP36" s="1">
        <v>0.552871</v>
      </c>
      <c r="AQ36" s="1">
        <v>1.275358</v>
      </c>
      <c r="AR36">
        <f t="shared" si="23"/>
        <v>12068.580879049476</v>
      </c>
      <c r="AS36" s="4">
        <f t="shared" si="24"/>
        <v>0.29829522096085392</v>
      </c>
      <c r="AU36" s="1">
        <v>0.57813999999999999</v>
      </c>
      <c r="AV36" s="1">
        <v>1.2678130000000001</v>
      </c>
      <c r="AW36">
        <f t="shared" si="25"/>
        <v>12131.69978727283</v>
      </c>
      <c r="AX36" s="4">
        <f t="shared" si="26"/>
        <v>0.29674324811241221</v>
      </c>
      <c r="BD36" s="61">
        <f t="shared" si="27"/>
        <v>0</v>
      </c>
      <c r="BE36" s="43">
        <f t="shared" si="28"/>
        <v>0</v>
      </c>
      <c r="BF36" s="35">
        <f t="shared" si="29"/>
        <v>0</v>
      </c>
      <c r="BG36" s="36">
        <f t="shared" si="30"/>
        <v>0</v>
      </c>
      <c r="BH36" s="35">
        <f t="shared" si="31"/>
        <v>0</v>
      </c>
      <c r="BI36" s="62">
        <f t="shared" si="32"/>
        <v>0</v>
      </c>
      <c r="BJ36" s="61">
        <f t="shared" si="33"/>
        <v>0</v>
      </c>
      <c r="BK36" s="43">
        <f t="shared" si="34"/>
        <v>0</v>
      </c>
      <c r="BL36" s="35">
        <f t="shared" si="35"/>
        <v>0</v>
      </c>
      <c r="BM36" s="36">
        <f t="shared" si="36"/>
        <v>0</v>
      </c>
      <c r="BN36" s="35">
        <f t="shared" si="37"/>
        <v>0</v>
      </c>
      <c r="BO36" s="62">
        <f t="shared" si="38"/>
        <v>0</v>
      </c>
      <c r="BP36" s="61">
        <f t="shared" si="39"/>
        <v>0</v>
      </c>
      <c r="BQ36" s="43">
        <f t="shared" si="40"/>
        <v>0</v>
      </c>
      <c r="BR36" s="35">
        <f t="shared" si="41"/>
        <v>0</v>
      </c>
      <c r="BS36" s="36">
        <f t="shared" si="42"/>
        <v>0</v>
      </c>
      <c r="BT36" s="35">
        <f t="shared" si="43"/>
        <v>0</v>
      </c>
      <c r="BU36" s="62">
        <f t="shared" si="44"/>
        <v>0</v>
      </c>
      <c r="BV36" s="61">
        <f t="shared" si="45"/>
        <v>0</v>
      </c>
      <c r="BW36" s="43">
        <f t="shared" si="46"/>
        <v>0</v>
      </c>
      <c r="BX36" s="35">
        <f t="shared" si="47"/>
        <v>0</v>
      </c>
      <c r="BY36" s="36">
        <f t="shared" si="48"/>
        <v>0</v>
      </c>
      <c r="BZ36" s="35">
        <f t="shared" si="49"/>
        <v>0</v>
      </c>
      <c r="CA36" s="62">
        <f t="shared" si="50"/>
        <v>0</v>
      </c>
      <c r="CB36" s="61">
        <f t="shared" si="51"/>
        <v>0</v>
      </c>
      <c r="CC36" s="43">
        <f t="shared" si="52"/>
        <v>0</v>
      </c>
      <c r="CD36" s="35">
        <f t="shared" si="53"/>
        <v>0</v>
      </c>
      <c r="CE36" s="36">
        <f t="shared" si="54"/>
        <v>0</v>
      </c>
      <c r="CF36" s="35">
        <f t="shared" si="55"/>
        <v>0</v>
      </c>
      <c r="CG36" s="62">
        <f t="shared" si="56"/>
        <v>0</v>
      </c>
      <c r="CH36" s="61">
        <f t="shared" si="57"/>
        <v>0</v>
      </c>
      <c r="CI36" s="43">
        <f t="shared" si="58"/>
        <v>0</v>
      </c>
      <c r="CJ36" s="35">
        <f t="shared" si="59"/>
        <v>0</v>
      </c>
      <c r="CK36" s="36">
        <f t="shared" si="60"/>
        <v>0</v>
      </c>
      <c r="CL36" s="35">
        <f t="shared" si="61"/>
        <v>0</v>
      </c>
      <c r="CM36" s="62">
        <f t="shared" si="62"/>
        <v>0</v>
      </c>
      <c r="CN36" s="61">
        <f t="shared" si="63"/>
        <v>0</v>
      </c>
      <c r="CO36" s="43">
        <f t="shared" si="64"/>
        <v>0</v>
      </c>
      <c r="CP36" s="35">
        <f t="shared" si="65"/>
        <v>0</v>
      </c>
      <c r="CQ36" s="36">
        <f t="shared" si="66"/>
        <v>0</v>
      </c>
      <c r="CR36" s="35">
        <f t="shared" si="67"/>
        <v>0</v>
      </c>
      <c r="CS36" s="62">
        <f t="shared" si="68"/>
        <v>0</v>
      </c>
      <c r="CT36" s="61">
        <f t="shared" si="69"/>
        <v>0</v>
      </c>
      <c r="CU36" s="43">
        <f t="shared" si="70"/>
        <v>0</v>
      </c>
      <c r="CV36" s="35">
        <f t="shared" si="71"/>
        <v>0</v>
      </c>
      <c r="CW36" s="36">
        <f t="shared" si="72"/>
        <v>0</v>
      </c>
      <c r="CX36" s="35">
        <f t="shared" si="6"/>
        <v>0</v>
      </c>
      <c r="CY36" s="62">
        <f t="shared" si="73"/>
        <v>0</v>
      </c>
      <c r="CZ36" s="61">
        <f t="shared" si="74"/>
        <v>0</v>
      </c>
      <c r="DA36" s="43">
        <f t="shared" si="75"/>
        <v>0</v>
      </c>
      <c r="DB36" s="35">
        <f t="shared" si="76"/>
        <v>0</v>
      </c>
      <c r="DC36" s="36">
        <f t="shared" si="77"/>
        <v>0</v>
      </c>
      <c r="DD36" s="35">
        <f t="shared" si="78"/>
        <v>0</v>
      </c>
      <c r="DE36" s="62">
        <f t="shared" si="7"/>
        <v>0</v>
      </c>
      <c r="DF36" s="61">
        <f t="shared" si="79"/>
        <v>0</v>
      </c>
      <c r="DG36" s="43">
        <f t="shared" si="80"/>
        <v>0</v>
      </c>
      <c r="DH36" s="35">
        <f t="shared" si="81"/>
        <v>0</v>
      </c>
      <c r="DI36" s="36">
        <f t="shared" si="82"/>
        <v>0</v>
      </c>
      <c r="DJ36" s="35">
        <f t="shared" si="83"/>
        <v>0</v>
      </c>
      <c r="DK36" s="62">
        <f t="shared" si="84"/>
        <v>0</v>
      </c>
    </row>
    <row r="37" spans="2:115" x14ac:dyDescent="0.3">
      <c r="B37" s="1">
        <v>0.50815999999999995</v>
      </c>
      <c r="C37" s="1">
        <v>1.2490870000000001</v>
      </c>
      <c r="D37">
        <f t="shared" si="85"/>
        <v>11697.197198085873</v>
      </c>
      <c r="E37" s="4">
        <f t="shared" si="8"/>
        <v>0.30776603480610754</v>
      </c>
      <c r="G37" s="1">
        <v>0.50059200000000004</v>
      </c>
      <c r="H37" s="1">
        <v>1.2839499999999999</v>
      </c>
      <c r="I37">
        <f t="shared" si="9"/>
        <v>11744.809017977943</v>
      </c>
      <c r="J37" s="4">
        <f t="shared" si="10"/>
        <v>0.30651839416796217</v>
      </c>
      <c r="L37" s="1">
        <v>0.49772899999999998</v>
      </c>
      <c r="M37" s="1">
        <v>1.285739</v>
      </c>
      <c r="N37">
        <f t="shared" si="11"/>
        <v>11792.924518258411</v>
      </c>
      <c r="O37" s="4">
        <f t="shared" si="12"/>
        <v>0.30526778954841061</v>
      </c>
      <c r="Q37" s="1">
        <v>0.49533899999999997</v>
      </c>
      <c r="R37" s="1">
        <v>1.287129</v>
      </c>
      <c r="S37">
        <f t="shared" si="13"/>
        <v>11805.673734919317</v>
      </c>
      <c r="T37" s="4">
        <f t="shared" si="14"/>
        <v>0.30493812389137681</v>
      </c>
      <c r="V37" s="1">
        <v>0.49830099999999999</v>
      </c>
      <c r="W37" s="1">
        <v>1.2643390000000001</v>
      </c>
      <c r="X37">
        <f t="shared" si="15"/>
        <v>11665.302217684452</v>
      </c>
      <c r="Y37" s="4">
        <f t="shared" si="16"/>
        <v>0.30860752107583161</v>
      </c>
      <c r="AA37" s="1">
        <v>0.51416600000000001</v>
      </c>
      <c r="AB37" s="1">
        <v>1.2383439999999999</v>
      </c>
      <c r="AC37">
        <f t="shared" si="17"/>
        <v>11484.399245833403</v>
      </c>
      <c r="AD37" s="4">
        <f t="shared" si="18"/>
        <v>0.31346872595935726</v>
      </c>
      <c r="AF37" s="1">
        <v>0.53273099999999995</v>
      </c>
      <c r="AG37" s="1">
        <v>1.2104470000000001</v>
      </c>
      <c r="AH37">
        <f t="shared" si="19"/>
        <v>11305.696604262022</v>
      </c>
      <c r="AI37" s="4">
        <f t="shared" si="20"/>
        <v>0.31842354575859322</v>
      </c>
      <c r="AK37" s="1">
        <v>0.55044199999999999</v>
      </c>
      <c r="AL37" s="1">
        <v>1.267077</v>
      </c>
      <c r="AM37">
        <f t="shared" si="21"/>
        <v>11910.903923099999</v>
      </c>
      <c r="AN37" s="4">
        <f t="shared" si="22"/>
        <v>0.30224406335930243</v>
      </c>
      <c r="AP37" s="1">
        <v>0.56873200000000002</v>
      </c>
      <c r="AQ37" s="1">
        <v>1.265128</v>
      </c>
      <c r="AR37">
        <f t="shared" si="23"/>
        <v>11971.775446855005</v>
      </c>
      <c r="AS37" s="4">
        <f t="shared" si="24"/>
        <v>0.30070727737761932</v>
      </c>
      <c r="AU37" s="14">
        <v>0.59472599999999998</v>
      </c>
      <c r="AV37" s="14">
        <v>1.250319</v>
      </c>
      <c r="AW37" s="15">
        <f t="shared" si="25"/>
        <v>11964.29974004303</v>
      </c>
      <c r="AX37" s="16">
        <f t="shared" si="26"/>
        <v>0.30089516964801921</v>
      </c>
      <c r="BD37" s="61">
        <f t="shared" si="27"/>
        <v>0</v>
      </c>
      <c r="BE37" s="43">
        <f t="shared" si="28"/>
        <v>0</v>
      </c>
      <c r="BF37" s="35">
        <f t="shared" si="29"/>
        <v>0</v>
      </c>
      <c r="BG37" s="36">
        <f t="shared" si="30"/>
        <v>0</v>
      </c>
      <c r="BH37" s="35">
        <f t="shared" si="31"/>
        <v>0</v>
      </c>
      <c r="BI37" s="62">
        <f t="shared" si="32"/>
        <v>0</v>
      </c>
      <c r="BJ37" s="61">
        <f t="shared" si="33"/>
        <v>0</v>
      </c>
      <c r="BK37" s="43">
        <f t="shared" si="34"/>
        <v>0</v>
      </c>
      <c r="BL37" s="35">
        <f t="shared" si="35"/>
        <v>0</v>
      </c>
      <c r="BM37" s="36">
        <f t="shared" si="36"/>
        <v>0</v>
      </c>
      <c r="BN37" s="35">
        <f t="shared" si="37"/>
        <v>0</v>
      </c>
      <c r="BO37" s="62">
        <f t="shared" si="38"/>
        <v>0</v>
      </c>
      <c r="BP37" s="61">
        <f t="shared" si="39"/>
        <v>0</v>
      </c>
      <c r="BQ37" s="43">
        <f t="shared" si="40"/>
        <v>0</v>
      </c>
      <c r="BR37" s="35">
        <f t="shared" si="41"/>
        <v>0</v>
      </c>
      <c r="BS37" s="36">
        <f t="shared" si="42"/>
        <v>0</v>
      </c>
      <c r="BT37" s="35">
        <f t="shared" si="43"/>
        <v>0</v>
      </c>
      <c r="BU37" s="62">
        <f t="shared" si="44"/>
        <v>0</v>
      </c>
      <c r="BV37" s="61">
        <f t="shared" si="45"/>
        <v>0</v>
      </c>
      <c r="BW37" s="43">
        <f t="shared" si="46"/>
        <v>0</v>
      </c>
      <c r="BX37" s="35">
        <f t="shared" si="47"/>
        <v>0</v>
      </c>
      <c r="BY37" s="36">
        <f t="shared" si="48"/>
        <v>0</v>
      </c>
      <c r="BZ37" s="35">
        <f t="shared" si="49"/>
        <v>0</v>
      </c>
      <c r="CA37" s="62">
        <f t="shared" si="50"/>
        <v>0</v>
      </c>
      <c r="CB37" s="61">
        <f t="shared" si="51"/>
        <v>0</v>
      </c>
      <c r="CC37" s="43">
        <f t="shared" si="52"/>
        <v>0</v>
      </c>
      <c r="CD37" s="35">
        <f t="shared" si="53"/>
        <v>0</v>
      </c>
      <c r="CE37" s="36">
        <f t="shared" si="54"/>
        <v>0</v>
      </c>
      <c r="CF37" s="35">
        <f t="shared" si="55"/>
        <v>0</v>
      </c>
      <c r="CG37" s="62">
        <f t="shared" si="56"/>
        <v>0</v>
      </c>
      <c r="CH37" s="61">
        <f t="shared" si="57"/>
        <v>0</v>
      </c>
      <c r="CI37" s="43">
        <f t="shared" si="58"/>
        <v>0</v>
      </c>
      <c r="CJ37" s="35">
        <f t="shared" si="59"/>
        <v>0</v>
      </c>
      <c r="CK37" s="36">
        <f t="shared" si="60"/>
        <v>0</v>
      </c>
      <c r="CL37" s="35">
        <f t="shared" si="61"/>
        <v>0</v>
      </c>
      <c r="CM37" s="62">
        <f t="shared" si="62"/>
        <v>0</v>
      </c>
      <c r="CN37" s="61">
        <f t="shared" si="63"/>
        <v>0</v>
      </c>
      <c r="CO37" s="43">
        <f t="shared" si="64"/>
        <v>0</v>
      </c>
      <c r="CP37" s="35">
        <f t="shared" si="65"/>
        <v>0</v>
      </c>
      <c r="CQ37" s="36">
        <f t="shared" si="66"/>
        <v>0</v>
      </c>
      <c r="CR37" s="35">
        <f t="shared" si="67"/>
        <v>0</v>
      </c>
      <c r="CS37" s="62">
        <f t="shared" si="68"/>
        <v>0</v>
      </c>
      <c r="CT37" s="61">
        <f t="shared" si="69"/>
        <v>0</v>
      </c>
      <c r="CU37" s="43">
        <f t="shared" si="70"/>
        <v>0</v>
      </c>
      <c r="CV37" s="35">
        <f t="shared" si="71"/>
        <v>0</v>
      </c>
      <c r="CW37" s="36">
        <f t="shared" si="72"/>
        <v>0</v>
      </c>
      <c r="CX37" s="35">
        <f t="shared" si="6"/>
        <v>0</v>
      </c>
      <c r="CY37" s="62">
        <f t="shared" si="73"/>
        <v>0</v>
      </c>
      <c r="CZ37" s="61">
        <f t="shared" si="74"/>
        <v>0</v>
      </c>
      <c r="DA37" s="43">
        <f t="shared" si="75"/>
        <v>0</v>
      </c>
      <c r="DB37" s="35">
        <f t="shared" si="76"/>
        <v>0</v>
      </c>
      <c r="DC37" s="36">
        <f t="shared" si="77"/>
        <v>0</v>
      </c>
      <c r="DD37" s="35">
        <f t="shared" si="78"/>
        <v>0</v>
      </c>
      <c r="DE37" s="62">
        <f t="shared" si="7"/>
        <v>0</v>
      </c>
      <c r="DF37" s="61">
        <f t="shared" si="79"/>
        <v>0</v>
      </c>
      <c r="DG37" s="43">
        <f t="shared" si="80"/>
        <v>0</v>
      </c>
      <c r="DH37" s="35">
        <f t="shared" si="81"/>
        <v>0</v>
      </c>
      <c r="DI37" s="36">
        <f t="shared" si="82"/>
        <v>0</v>
      </c>
      <c r="DJ37" s="35">
        <f t="shared" si="83"/>
        <v>0</v>
      </c>
      <c r="DK37" s="62">
        <f t="shared" si="84"/>
        <v>0</v>
      </c>
    </row>
    <row r="38" spans="2:115" x14ac:dyDescent="0.3">
      <c r="B38" s="1">
        <v>0.52233200000000002</v>
      </c>
      <c r="C38" s="1">
        <v>1.2391989999999999</v>
      </c>
      <c r="D38">
        <f t="shared" si="85"/>
        <v>11604.600056417859</v>
      </c>
      <c r="E38" s="4">
        <f t="shared" si="8"/>
        <v>0.31022180708494473</v>
      </c>
      <c r="G38" s="1">
        <v>0.51455300000000004</v>
      </c>
      <c r="H38" s="1">
        <v>1.2738480000000001</v>
      </c>
      <c r="I38">
        <f t="shared" si="9"/>
        <v>11652.401945506575</v>
      </c>
      <c r="J38" s="4">
        <f t="shared" si="10"/>
        <v>0.30894917776057662</v>
      </c>
      <c r="L38" s="1">
        <v>0.51161000000000001</v>
      </c>
      <c r="M38" s="1">
        <v>1.275687</v>
      </c>
      <c r="N38">
        <f t="shared" si="11"/>
        <v>11700.726585973916</v>
      </c>
      <c r="O38" s="4">
        <f t="shared" si="12"/>
        <v>0.30767320076647631</v>
      </c>
      <c r="Q38" s="1">
        <v>0.509154</v>
      </c>
      <c r="R38" s="1">
        <v>1.2681070000000001</v>
      </c>
      <c r="S38">
        <f t="shared" si="13"/>
        <v>11631.202080729541</v>
      </c>
      <c r="T38" s="4">
        <f t="shared" si="14"/>
        <v>0.30951229073428654</v>
      </c>
      <c r="V38" s="1">
        <v>0.51219899999999996</v>
      </c>
      <c r="W38" s="1">
        <v>1.2448520000000001</v>
      </c>
      <c r="X38">
        <f t="shared" si="15"/>
        <v>11485.507285853655</v>
      </c>
      <c r="Y38" s="4">
        <f t="shared" si="16"/>
        <v>0.31343848472709679</v>
      </c>
      <c r="AA38" s="1">
        <v>0.528505</v>
      </c>
      <c r="AB38" s="1">
        <v>1.219312</v>
      </c>
      <c r="AC38">
        <f t="shared" si="17"/>
        <v>11307.896524096388</v>
      </c>
      <c r="AD38" s="4">
        <f t="shared" si="18"/>
        <v>0.31836159734293956</v>
      </c>
      <c r="AF38" s="1">
        <v>0.54758799999999996</v>
      </c>
      <c r="AG38" s="1">
        <v>1.2594620000000001</v>
      </c>
      <c r="AH38">
        <f t="shared" si="19"/>
        <v>11763.501629230404</v>
      </c>
      <c r="AI38" s="4">
        <f t="shared" si="20"/>
        <v>0.30603132583027665</v>
      </c>
      <c r="AK38" s="1">
        <v>0.56579299999999999</v>
      </c>
      <c r="AL38" s="1">
        <v>1.2574810000000001</v>
      </c>
      <c r="AM38">
        <f t="shared" si="21"/>
        <v>11820.698644300001</v>
      </c>
      <c r="AN38" s="4">
        <f t="shared" si="22"/>
        <v>0.30455052686212736</v>
      </c>
      <c r="AP38" s="1">
        <v>0.58459399999999995</v>
      </c>
      <c r="AQ38" s="1">
        <v>1.2555320000000001</v>
      </c>
      <c r="AR38">
        <f t="shared" si="23"/>
        <v>11880.969491103477</v>
      </c>
      <c r="AS38" s="4">
        <f t="shared" si="24"/>
        <v>0.30300557565573216</v>
      </c>
      <c r="AU38" s="14">
        <v>0.61131199999999997</v>
      </c>
      <c r="AV38" s="14">
        <v>1.2312989999999999</v>
      </c>
      <c r="AW38" s="15">
        <f t="shared" si="25"/>
        <v>11782.297402195154</v>
      </c>
      <c r="AX38" s="16">
        <f t="shared" si="26"/>
        <v>0.30554312772051451</v>
      </c>
      <c r="BD38" s="61">
        <f t="shared" si="27"/>
        <v>0</v>
      </c>
      <c r="BE38" s="43">
        <f t="shared" si="28"/>
        <v>0</v>
      </c>
      <c r="BF38" s="35">
        <f t="shared" si="29"/>
        <v>0</v>
      </c>
      <c r="BG38" s="36">
        <f t="shared" si="30"/>
        <v>0</v>
      </c>
      <c r="BH38" s="35">
        <f t="shared" si="31"/>
        <v>0</v>
      </c>
      <c r="BI38" s="62">
        <f t="shared" si="32"/>
        <v>0</v>
      </c>
      <c r="BJ38" s="61">
        <f t="shared" si="33"/>
        <v>0</v>
      </c>
      <c r="BK38" s="43">
        <f t="shared" si="34"/>
        <v>0</v>
      </c>
      <c r="BL38" s="35">
        <f t="shared" si="35"/>
        <v>0</v>
      </c>
      <c r="BM38" s="36">
        <f t="shared" si="36"/>
        <v>0</v>
      </c>
      <c r="BN38" s="35">
        <f t="shared" si="37"/>
        <v>0</v>
      </c>
      <c r="BO38" s="62">
        <f t="shared" si="38"/>
        <v>0</v>
      </c>
      <c r="BP38" s="61">
        <f t="shared" si="39"/>
        <v>0</v>
      </c>
      <c r="BQ38" s="43">
        <f t="shared" si="40"/>
        <v>0</v>
      </c>
      <c r="BR38" s="35">
        <f t="shared" si="41"/>
        <v>0</v>
      </c>
      <c r="BS38" s="36">
        <f t="shared" si="42"/>
        <v>0</v>
      </c>
      <c r="BT38" s="35">
        <f t="shared" si="43"/>
        <v>0</v>
      </c>
      <c r="BU38" s="62">
        <f t="shared" si="44"/>
        <v>0</v>
      </c>
      <c r="BV38" s="61">
        <f t="shared" si="45"/>
        <v>0</v>
      </c>
      <c r="BW38" s="43">
        <f t="shared" si="46"/>
        <v>0</v>
      </c>
      <c r="BX38" s="35">
        <f t="shared" si="47"/>
        <v>0</v>
      </c>
      <c r="BY38" s="36">
        <f t="shared" si="48"/>
        <v>0</v>
      </c>
      <c r="BZ38" s="35">
        <f t="shared" si="49"/>
        <v>0</v>
      </c>
      <c r="CA38" s="62">
        <f t="shared" si="50"/>
        <v>0</v>
      </c>
      <c r="CB38" s="61">
        <f t="shared" si="51"/>
        <v>0</v>
      </c>
      <c r="CC38" s="43">
        <f t="shared" si="52"/>
        <v>0</v>
      </c>
      <c r="CD38" s="35">
        <f t="shared" si="53"/>
        <v>0</v>
      </c>
      <c r="CE38" s="36">
        <f t="shared" si="54"/>
        <v>0</v>
      </c>
      <c r="CF38" s="35">
        <f t="shared" si="55"/>
        <v>0</v>
      </c>
      <c r="CG38" s="62">
        <f t="shared" si="56"/>
        <v>0</v>
      </c>
      <c r="CH38" s="61">
        <f t="shared" si="57"/>
        <v>0</v>
      </c>
      <c r="CI38" s="43">
        <f t="shared" si="58"/>
        <v>0</v>
      </c>
      <c r="CJ38" s="35">
        <f t="shared" si="59"/>
        <v>0</v>
      </c>
      <c r="CK38" s="36">
        <f t="shared" si="60"/>
        <v>0</v>
      </c>
      <c r="CL38" s="35">
        <f t="shared" si="61"/>
        <v>0</v>
      </c>
      <c r="CM38" s="62">
        <f t="shared" si="62"/>
        <v>0</v>
      </c>
      <c r="CN38" s="61">
        <f t="shared" si="63"/>
        <v>0</v>
      </c>
      <c r="CO38" s="43">
        <f t="shared" si="64"/>
        <v>0</v>
      </c>
      <c r="CP38" s="35">
        <f t="shared" si="65"/>
        <v>0</v>
      </c>
      <c r="CQ38" s="36">
        <f t="shared" si="66"/>
        <v>0</v>
      </c>
      <c r="CR38" s="35">
        <f t="shared" si="67"/>
        <v>0</v>
      </c>
      <c r="CS38" s="62">
        <f t="shared" si="68"/>
        <v>0</v>
      </c>
      <c r="CT38" s="61">
        <f t="shared" si="69"/>
        <v>0</v>
      </c>
      <c r="CU38" s="43">
        <f t="shared" si="70"/>
        <v>0</v>
      </c>
      <c r="CV38" s="35">
        <f t="shared" si="71"/>
        <v>0</v>
      </c>
      <c r="CW38" s="36">
        <f t="shared" si="72"/>
        <v>0</v>
      </c>
      <c r="CX38" s="35">
        <f t="shared" si="6"/>
        <v>0</v>
      </c>
      <c r="CY38" s="62">
        <f t="shared" si="73"/>
        <v>0</v>
      </c>
      <c r="CZ38" s="61">
        <f t="shared" si="74"/>
        <v>0</v>
      </c>
      <c r="DA38" s="43">
        <f t="shared" si="75"/>
        <v>0</v>
      </c>
      <c r="DB38" s="35">
        <f t="shared" si="76"/>
        <v>0</v>
      </c>
      <c r="DC38" s="36">
        <f t="shared" si="77"/>
        <v>0</v>
      </c>
      <c r="DD38" s="35">
        <f t="shared" si="78"/>
        <v>0</v>
      </c>
      <c r="DE38" s="62">
        <f t="shared" si="7"/>
        <v>0</v>
      </c>
      <c r="DF38" s="61">
        <f t="shared" si="79"/>
        <v>0</v>
      </c>
      <c r="DG38" s="43">
        <f t="shared" si="80"/>
        <v>0</v>
      </c>
      <c r="DH38" s="35">
        <f t="shared" si="81"/>
        <v>0</v>
      </c>
      <c r="DI38" s="36">
        <f t="shared" si="82"/>
        <v>0</v>
      </c>
      <c r="DJ38" s="35">
        <f t="shared" si="83"/>
        <v>0</v>
      </c>
      <c r="DK38" s="62">
        <f t="shared" si="84"/>
        <v>0</v>
      </c>
    </row>
    <row r="39" spans="2:115" x14ac:dyDescent="0.3">
      <c r="B39" s="1">
        <v>0.53650399999999998</v>
      </c>
      <c r="C39" s="1">
        <v>1.229951</v>
      </c>
      <c r="D39">
        <f t="shared" si="85"/>
        <v>11517.996257252631</v>
      </c>
      <c r="E39" s="4">
        <f t="shared" si="8"/>
        <v>0.31255436445667872</v>
      </c>
      <c r="G39" s="1">
        <v>0.52851400000000004</v>
      </c>
      <c r="H39" s="1">
        <v>1.264348</v>
      </c>
      <c r="I39">
        <f t="shared" si="9"/>
        <v>11565.501610080126</v>
      </c>
      <c r="J39" s="4">
        <f t="shared" si="10"/>
        <v>0.3112705459192841</v>
      </c>
      <c r="L39" s="1">
        <v>0.52549100000000004</v>
      </c>
      <c r="M39" s="1">
        <v>1.2661579999999999</v>
      </c>
      <c r="N39">
        <f t="shared" si="11"/>
        <v>11613.325661109317</v>
      </c>
      <c r="O39" s="4">
        <f t="shared" si="12"/>
        <v>0.30998872373446595</v>
      </c>
      <c r="Q39" s="1">
        <v>0.52296799999999999</v>
      </c>
      <c r="R39" s="1">
        <v>1.249541</v>
      </c>
      <c r="S39">
        <f t="shared" si="13"/>
        <v>11460.912903372406</v>
      </c>
      <c r="T39" s="4">
        <f t="shared" si="14"/>
        <v>0.31411110357017807</v>
      </c>
      <c r="V39" s="1">
        <v>0.52609600000000001</v>
      </c>
      <c r="W39" s="1">
        <v>1.226405</v>
      </c>
      <c r="X39">
        <f t="shared" si="15"/>
        <v>11315.30781402717</v>
      </c>
      <c r="Y39" s="4">
        <f t="shared" si="16"/>
        <v>0.31815307715599328</v>
      </c>
      <c r="AA39" s="1">
        <v>0.54284500000000002</v>
      </c>
      <c r="AB39" s="1">
        <v>1.200949</v>
      </c>
      <c r="AC39">
        <f t="shared" si="17"/>
        <v>11137.59810673317</v>
      </c>
      <c r="AD39" s="4">
        <f t="shared" si="18"/>
        <v>0.32322947600557078</v>
      </c>
      <c r="AF39" s="1">
        <v>0.562446</v>
      </c>
      <c r="AG39" s="1">
        <v>1.250254</v>
      </c>
      <c r="AH39">
        <f t="shared" si="19"/>
        <v>11677.497984021615</v>
      </c>
      <c r="AI39" s="4">
        <f t="shared" si="20"/>
        <v>0.30828521699818745</v>
      </c>
      <c r="AK39" s="1">
        <v>0.58114399999999999</v>
      </c>
      <c r="AL39" s="1">
        <v>1.248386</v>
      </c>
      <c r="AM39">
        <f t="shared" si="21"/>
        <v>11735.202915799999</v>
      </c>
      <c r="AN39" s="4">
        <f t="shared" si="22"/>
        <v>0.30676930137723019</v>
      </c>
      <c r="AP39" s="1">
        <v>0.60045499999999996</v>
      </c>
      <c r="AQ39" s="1">
        <v>1.242354</v>
      </c>
      <c r="AR39">
        <f t="shared" si="23"/>
        <v>11756.267439738984</v>
      </c>
      <c r="AS39" s="4">
        <f t="shared" si="24"/>
        <v>0.3062196414340782</v>
      </c>
      <c r="AU39" s="14">
        <v>0.62789799999999996</v>
      </c>
      <c r="AV39" s="14">
        <v>1.2130529999999999</v>
      </c>
      <c r="AW39" s="15">
        <f t="shared" si="25"/>
        <v>11607.70146863194</v>
      </c>
      <c r="AX39" s="16">
        <f t="shared" si="26"/>
        <v>0.3101389202443271</v>
      </c>
      <c r="BD39" s="61">
        <f t="shared" si="27"/>
        <v>0</v>
      </c>
      <c r="BE39" s="43">
        <f t="shared" si="28"/>
        <v>0</v>
      </c>
      <c r="BF39" s="35">
        <f t="shared" si="29"/>
        <v>0</v>
      </c>
      <c r="BG39" s="36">
        <f t="shared" si="30"/>
        <v>0</v>
      </c>
      <c r="BH39" s="35">
        <f t="shared" si="31"/>
        <v>0</v>
      </c>
      <c r="BI39" s="62">
        <f t="shared" si="32"/>
        <v>0</v>
      </c>
      <c r="BJ39" s="61">
        <f t="shared" si="33"/>
        <v>0</v>
      </c>
      <c r="BK39" s="43">
        <f t="shared" si="34"/>
        <v>0</v>
      </c>
      <c r="BL39" s="35">
        <f t="shared" si="35"/>
        <v>0</v>
      </c>
      <c r="BM39" s="36">
        <f t="shared" si="36"/>
        <v>0</v>
      </c>
      <c r="BN39" s="35">
        <f t="shared" si="37"/>
        <v>0</v>
      </c>
      <c r="BO39" s="62">
        <f t="shared" si="38"/>
        <v>0</v>
      </c>
      <c r="BP39" s="61">
        <f t="shared" si="39"/>
        <v>0</v>
      </c>
      <c r="BQ39" s="43">
        <f t="shared" si="40"/>
        <v>0</v>
      </c>
      <c r="BR39" s="35">
        <f t="shared" si="41"/>
        <v>0</v>
      </c>
      <c r="BS39" s="36">
        <f t="shared" si="42"/>
        <v>0</v>
      </c>
      <c r="BT39" s="35">
        <f t="shared" si="43"/>
        <v>0</v>
      </c>
      <c r="BU39" s="62">
        <f t="shared" si="44"/>
        <v>0</v>
      </c>
      <c r="BV39" s="61">
        <f t="shared" si="45"/>
        <v>0</v>
      </c>
      <c r="BW39" s="43">
        <f t="shared" si="46"/>
        <v>0</v>
      </c>
      <c r="BX39" s="35">
        <f t="shared" si="47"/>
        <v>0</v>
      </c>
      <c r="BY39" s="36">
        <f t="shared" si="48"/>
        <v>0</v>
      </c>
      <c r="BZ39" s="35">
        <f t="shared" si="49"/>
        <v>0</v>
      </c>
      <c r="CA39" s="62">
        <f t="shared" si="50"/>
        <v>0</v>
      </c>
      <c r="CB39" s="61">
        <f t="shared" si="51"/>
        <v>0</v>
      </c>
      <c r="CC39" s="43">
        <f t="shared" si="52"/>
        <v>0</v>
      </c>
      <c r="CD39" s="35">
        <f t="shared" si="53"/>
        <v>0</v>
      </c>
      <c r="CE39" s="36">
        <f t="shared" si="54"/>
        <v>0</v>
      </c>
      <c r="CF39" s="35">
        <f t="shared" si="55"/>
        <v>0</v>
      </c>
      <c r="CG39" s="62">
        <f t="shared" si="56"/>
        <v>0</v>
      </c>
      <c r="CH39" s="61">
        <f t="shared" si="57"/>
        <v>0</v>
      </c>
      <c r="CI39" s="43">
        <f t="shared" si="58"/>
        <v>0</v>
      </c>
      <c r="CJ39" s="35">
        <f t="shared" si="59"/>
        <v>0</v>
      </c>
      <c r="CK39" s="36">
        <f t="shared" si="60"/>
        <v>0</v>
      </c>
      <c r="CL39" s="35">
        <f t="shared" si="61"/>
        <v>0</v>
      </c>
      <c r="CM39" s="62">
        <f t="shared" si="62"/>
        <v>0</v>
      </c>
      <c r="CN39" s="61">
        <f t="shared" si="63"/>
        <v>0</v>
      </c>
      <c r="CO39" s="43">
        <f t="shared" si="64"/>
        <v>0</v>
      </c>
      <c r="CP39" s="35">
        <f t="shared" si="65"/>
        <v>0</v>
      </c>
      <c r="CQ39" s="36">
        <f t="shared" si="66"/>
        <v>0</v>
      </c>
      <c r="CR39" s="35">
        <f t="shared" si="67"/>
        <v>0</v>
      </c>
      <c r="CS39" s="62">
        <f t="shared" si="68"/>
        <v>0</v>
      </c>
      <c r="CT39" s="61">
        <f t="shared" si="69"/>
        <v>0</v>
      </c>
      <c r="CU39" s="43">
        <f t="shared" si="70"/>
        <v>0</v>
      </c>
      <c r="CV39" s="35">
        <f t="shared" si="71"/>
        <v>0</v>
      </c>
      <c r="CW39" s="36">
        <f t="shared" si="72"/>
        <v>0</v>
      </c>
      <c r="CX39" s="35">
        <f t="shared" si="6"/>
        <v>0</v>
      </c>
      <c r="CY39" s="62">
        <f t="shared" si="73"/>
        <v>0</v>
      </c>
      <c r="CZ39" s="61">
        <f t="shared" si="74"/>
        <v>0</v>
      </c>
      <c r="DA39" s="43">
        <f t="shared" si="75"/>
        <v>0</v>
      </c>
      <c r="DB39" s="35">
        <f t="shared" si="76"/>
        <v>0</v>
      </c>
      <c r="DC39" s="36">
        <f t="shared" si="77"/>
        <v>0</v>
      </c>
      <c r="DD39" s="35">
        <f t="shared" si="78"/>
        <v>0</v>
      </c>
      <c r="DE39" s="62">
        <f t="shared" si="7"/>
        <v>0</v>
      </c>
      <c r="DF39" s="61">
        <f t="shared" si="79"/>
        <v>0</v>
      </c>
      <c r="DG39" s="43">
        <f t="shared" si="80"/>
        <v>0</v>
      </c>
      <c r="DH39" s="35">
        <f t="shared" si="81"/>
        <v>0</v>
      </c>
      <c r="DI39" s="36">
        <f t="shared" si="82"/>
        <v>0</v>
      </c>
      <c r="DJ39" s="35">
        <f t="shared" si="83"/>
        <v>0</v>
      </c>
      <c r="DK39" s="62">
        <f t="shared" si="84"/>
        <v>0</v>
      </c>
    </row>
    <row r="40" spans="2:115" x14ac:dyDescent="0.3">
      <c r="B40" s="1">
        <v>0.55067600000000005</v>
      </c>
      <c r="C40" s="1">
        <v>1.221131</v>
      </c>
      <c r="D40">
        <f t="shared" si="85"/>
        <v>11435.400505886138</v>
      </c>
      <c r="E40" s="4">
        <f t="shared" si="8"/>
        <v>0.31481188596297727</v>
      </c>
      <c r="G40" s="1">
        <v>0.54247500000000004</v>
      </c>
      <c r="H40" s="1">
        <v>1.2552749999999999</v>
      </c>
      <c r="I40">
        <f t="shared" si="9"/>
        <v>11482.507216046</v>
      </c>
      <c r="J40" s="4">
        <f t="shared" si="10"/>
        <v>0.31352037775941932</v>
      </c>
      <c r="L40" s="1">
        <v>0.53937199999999996</v>
      </c>
      <c r="M40" s="1">
        <v>1.254775</v>
      </c>
      <c r="N40">
        <f t="shared" si="11"/>
        <v>11508.91966596463</v>
      </c>
      <c r="O40" s="4">
        <f t="shared" si="12"/>
        <v>0.312800862677519</v>
      </c>
      <c r="Q40" s="1">
        <v>0.53678300000000001</v>
      </c>
      <c r="R40" s="1">
        <v>1.231649</v>
      </c>
      <c r="S40">
        <f t="shared" si="13"/>
        <v>11296.805720281061</v>
      </c>
      <c r="T40" s="4">
        <f t="shared" si="14"/>
        <v>0.31867415348543615</v>
      </c>
      <c r="V40" s="1">
        <v>0.53999299999999995</v>
      </c>
      <c r="W40" s="1">
        <v>1.2087380000000001</v>
      </c>
      <c r="X40">
        <f t="shared" si="15"/>
        <v>11152.30493720392</v>
      </c>
      <c r="Y40" s="4">
        <f t="shared" si="16"/>
        <v>0.32280322500781472</v>
      </c>
      <c r="AA40" s="1">
        <v>0.55718400000000001</v>
      </c>
      <c r="AB40" s="1">
        <v>1.183362</v>
      </c>
      <c r="AC40">
        <f t="shared" si="17"/>
        <v>10974.49631148365</v>
      </c>
      <c r="AD40" s="4">
        <f t="shared" si="18"/>
        <v>0.32803327804967053</v>
      </c>
      <c r="AF40" s="1">
        <v>0.57730300000000001</v>
      </c>
      <c r="AG40" s="1">
        <v>1.2415499999999999</v>
      </c>
      <c r="AH40">
        <f t="shared" si="19"/>
        <v>11596.201749454138</v>
      </c>
      <c r="AI40" s="4">
        <f t="shared" si="20"/>
        <v>0.3104464787506358</v>
      </c>
      <c r="AK40" s="1">
        <v>0.59649600000000003</v>
      </c>
      <c r="AL40" s="1">
        <v>1.239684</v>
      </c>
      <c r="AM40">
        <f t="shared" si="21"/>
        <v>11653.4015052</v>
      </c>
      <c r="AN40" s="4">
        <f t="shared" si="22"/>
        <v>0.30892267793172679</v>
      </c>
      <c r="AP40" s="1">
        <v>0.61631599999999997</v>
      </c>
      <c r="AQ40" s="1">
        <v>1.2243040000000001</v>
      </c>
      <c r="AR40">
        <f t="shared" si="23"/>
        <v>11585.462156150499</v>
      </c>
      <c r="AS40" s="4">
        <f t="shared" si="24"/>
        <v>0.31073425914984576</v>
      </c>
      <c r="AU40" s="14">
        <v>0.64448499999999997</v>
      </c>
      <c r="AV40" s="20">
        <v>1.1956</v>
      </c>
      <c r="AW40" s="15">
        <f t="shared" si="25"/>
        <v>11440.693750311279</v>
      </c>
      <c r="AX40" s="16">
        <f t="shared" si="26"/>
        <v>0.31466623253524734</v>
      </c>
      <c r="BD40" s="61">
        <f t="shared" si="27"/>
        <v>0</v>
      </c>
      <c r="BE40" s="43">
        <f t="shared" si="28"/>
        <v>0</v>
      </c>
      <c r="BF40" s="35">
        <f t="shared" si="29"/>
        <v>0</v>
      </c>
      <c r="BG40" s="36">
        <f t="shared" si="30"/>
        <v>0</v>
      </c>
      <c r="BH40" s="35">
        <f t="shared" si="31"/>
        <v>0</v>
      </c>
      <c r="BI40" s="62">
        <f t="shared" si="32"/>
        <v>0</v>
      </c>
      <c r="BJ40" s="61">
        <f t="shared" si="33"/>
        <v>0</v>
      </c>
      <c r="BK40" s="43">
        <f t="shared" si="34"/>
        <v>0</v>
      </c>
      <c r="BL40" s="35">
        <f t="shared" si="35"/>
        <v>0</v>
      </c>
      <c r="BM40" s="36">
        <f t="shared" si="36"/>
        <v>0</v>
      </c>
      <c r="BN40" s="35">
        <f t="shared" si="37"/>
        <v>0</v>
      </c>
      <c r="BO40" s="62">
        <f t="shared" si="38"/>
        <v>0</v>
      </c>
      <c r="BP40" s="61">
        <f t="shared" si="39"/>
        <v>0</v>
      </c>
      <c r="BQ40" s="43">
        <f t="shared" si="40"/>
        <v>0</v>
      </c>
      <c r="BR40" s="35">
        <f t="shared" si="41"/>
        <v>0</v>
      </c>
      <c r="BS40" s="36">
        <f t="shared" si="42"/>
        <v>0</v>
      </c>
      <c r="BT40" s="35">
        <f t="shared" si="43"/>
        <v>0</v>
      </c>
      <c r="BU40" s="62">
        <f t="shared" si="44"/>
        <v>0</v>
      </c>
      <c r="BV40" s="61">
        <f t="shared" si="45"/>
        <v>0</v>
      </c>
      <c r="BW40" s="43">
        <f t="shared" si="46"/>
        <v>0</v>
      </c>
      <c r="BX40" s="35">
        <f t="shared" si="47"/>
        <v>0</v>
      </c>
      <c r="BY40" s="36">
        <f t="shared" si="48"/>
        <v>0</v>
      </c>
      <c r="BZ40" s="35">
        <f t="shared" si="49"/>
        <v>0</v>
      </c>
      <c r="CA40" s="62">
        <f t="shared" si="50"/>
        <v>0</v>
      </c>
      <c r="CB40" s="61">
        <f t="shared" si="51"/>
        <v>0</v>
      </c>
      <c r="CC40" s="43">
        <f t="shared" si="52"/>
        <v>0</v>
      </c>
      <c r="CD40" s="35">
        <f t="shared" si="53"/>
        <v>0</v>
      </c>
      <c r="CE40" s="36">
        <f t="shared" si="54"/>
        <v>0</v>
      </c>
      <c r="CF40" s="35">
        <f t="shared" si="55"/>
        <v>0</v>
      </c>
      <c r="CG40" s="62">
        <f t="shared" si="56"/>
        <v>0</v>
      </c>
      <c r="CH40" s="61">
        <f t="shared" si="57"/>
        <v>0</v>
      </c>
      <c r="CI40" s="43">
        <f t="shared" si="58"/>
        <v>0</v>
      </c>
      <c r="CJ40" s="35">
        <f t="shared" si="59"/>
        <v>0</v>
      </c>
      <c r="CK40" s="36">
        <f t="shared" si="60"/>
        <v>0</v>
      </c>
      <c r="CL40" s="35">
        <f t="shared" si="61"/>
        <v>0</v>
      </c>
      <c r="CM40" s="62">
        <f t="shared" si="62"/>
        <v>0</v>
      </c>
      <c r="CN40" s="61">
        <f t="shared" si="63"/>
        <v>0</v>
      </c>
      <c r="CO40" s="43">
        <f t="shared" si="64"/>
        <v>0</v>
      </c>
      <c r="CP40" s="35">
        <f t="shared" si="65"/>
        <v>0</v>
      </c>
      <c r="CQ40" s="36">
        <f t="shared" si="66"/>
        <v>0</v>
      </c>
      <c r="CR40" s="35">
        <f t="shared" si="67"/>
        <v>0</v>
      </c>
      <c r="CS40" s="62">
        <f t="shared" si="68"/>
        <v>0</v>
      </c>
      <c r="CT40" s="61">
        <f t="shared" si="69"/>
        <v>0</v>
      </c>
      <c r="CU40" s="43">
        <f t="shared" si="70"/>
        <v>0</v>
      </c>
      <c r="CV40" s="35">
        <f t="shared" si="71"/>
        <v>0</v>
      </c>
      <c r="CW40" s="36">
        <f t="shared" si="72"/>
        <v>0</v>
      </c>
      <c r="CX40" s="35">
        <f t="shared" si="6"/>
        <v>0</v>
      </c>
      <c r="CY40" s="62">
        <f t="shared" si="73"/>
        <v>0</v>
      </c>
      <c r="CZ40" s="61">
        <f t="shared" si="74"/>
        <v>0</v>
      </c>
      <c r="DA40" s="43">
        <f t="shared" si="75"/>
        <v>0</v>
      </c>
      <c r="DB40" s="35">
        <f t="shared" si="76"/>
        <v>0</v>
      </c>
      <c r="DC40" s="36">
        <f t="shared" si="77"/>
        <v>0</v>
      </c>
      <c r="DD40" s="35">
        <f t="shared" si="78"/>
        <v>0</v>
      </c>
      <c r="DE40" s="62">
        <f t="shared" si="7"/>
        <v>0</v>
      </c>
      <c r="DF40" s="61">
        <f t="shared" si="79"/>
        <v>0</v>
      </c>
      <c r="DG40" s="43">
        <f t="shared" si="80"/>
        <v>0</v>
      </c>
      <c r="DH40" s="35">
        <f t="shared" si="81"/>
        <v>0</v>
      </c>
      <c r="DI40" s="36">
        <f t="shared" si="82"/>
        <v>0</v>
      </c>
      <c r="DJ40" s="35">
        <f t="shared" si="83"/>
        <v>0</v>
      </c>
      <c r="DK40" s="62">
        <f t="shared" si="84"/>
        <v>0</v>
      </c>
    </row>
    <row r="41" spans="2:115" x14ac:dyDescent="0.3">
      <c r="B41" s="1">
        <v>0.56484800000000002</v>
      </c>
      <c r="C41" s="1">
        <v>1.2126840000000001</v>
      </c>
      <c r="D41">
        <f t="shared" si="85"/>
        <v>11356.297749447052</v>
      </c>
      <c r="E41" s="4">
        <f t="shared" si="8"/>
        <v>0.31700472103025717</v>
      </c>
      <c r="G41" s="1">
        <v>0.55643600000000004</v>
      </c>
      <c r="H41" s="1">
        <v>1.2465839999999999</v>
      </c>
      <c r="I41">
        <f t="shared" si="9"/>
        <v>11403.007130236392</v>
      </c>
      <c r="J41" s="4">
        <f t="shared" si="10"/>
        <v>0.31570619564502278</v>
      </c>
      <c r="L41" s="1">
        <v>0.55325299999999999</v>
      </c>
      <c r="M41" s="1">
        <v>1.237549</v>
      </c>
      <c r="N41">
        <f t="shared" si="11"/>
        <v>11350.921100352543</v>
      </c>
      <c r="O41" s="4">
        <f t="shared" si="12"/>
        <v>0.31715487828456401</v>
      </c>
      <c r="Q41" s="1">
        <v>0.550597</v>
      </c>
      <c r="R41" s="1">
        <v>1.214431</v>
      </c>
      <c r="S41">
        <f t="shared" si="13"/>
        <v>11138.880531455514</v>
      </c>
      <c r="T41" s="4">
        <f t="shared" si="14"/>
        <v>0.32319226243910426</v>
      </c>
      <c r="V41" s="1">
        <v>0.55388999999999999</v>
      </c>
      <c r="W41" s="1">
        <v>1.191711</v>
      </c>
      <c r="X41">
        <f t="shared" si="15"/>
        <v>10995.206958844861</v>
      </c>
      <c r="Y41" s="4">
        <f t="shared" si="16"/>
        <v>0.32741539231365319</v>
      </c>
      <c r="AA41" s="1">
        <v>0.57152400000000003</v>
      </c>
      <c r="AB41" s="1">
        <v>1.2360469999999999</v>
      </c>
      <c r="AC41">
        <f t="shared" si="17"/>
        <v>11463.096873416951</v>
      </c>
      <c r="AD41" s="4">
        <f t="shared" si="18"/>
        <v>0.31405125855199217</v>
      </c>
      <c r="AF41" s="1">
        <v>0.59216000000000002</v>
      </c>
      <c r="AG41" s="1">
        <v>1.233188</v>
      </c>
      <c r="AH41">
        <f t="shared" si="19"/>
        <v>11518.099829250414</v>
      </c>
      <c r="AI41" s="4">
        <f t="shared" si="20"/>
        <v>0.31255155393407319</v>
      </c>
      <c r="AK41" s="1">
        <v>0.61184700000000003</v>
      </c>
      <c r="AL41" s="1">
        <v>1.231322</v>
      </c>
      <c r="AM41">
        <f t="shared" si="21"/>
        <v>11574.7961966</v>
      </c>
      <c r="AN41" s="4">
        <f t="shared" si="22"/>
        <v>0.31102059499392914</v>
      </c>
      <c r="AP41" s="1">
        <v>0.63217800000000002</v>
      </c>
      <c r="AQ41" s="1">
        <v>1.207279</v>
      </c>
      <c r="AR41">
        <f t="shared" si="23"/>
        <v>11424.356341574658</v>
      </c>
      <c r="AS41" s="4">
        <f t="shared" si="24"/>
        <v>0.31511622120006455</v>
      </c>
      <c r="AU41" s="14">
        <v>0.66107099999999996</v>
      </c>
      <c r="AV41" s="14">
        <v>1.1787540000000001</v>
      </c>
      <c r="AW41" s="15">
        <f t="shared" si="25"/>
        <v>11279.494413645385</v>
      </c>
      <c r="AX41" s="16">
        <f t="shared" si="26"/>
        <v>0.31916324154076398</v>
      </c>
      <c r="BD41" s="61">
        <f t="shared" si="27"/>
        <v>0</v>
      </c>
      <c r="BE41" s="43">
        <f t="shared" si="28"/>
        <v>0</v>
      </c>
      <c r="BF41" s="35">
        <f t="shared" si="29"/>
        <v>0</v>
      </c>
      <c r="BG41" s="36">
        <f t="shared" si="30"/>
        <v>0</v>
      </c>
      <c r="BH41" s="35">
        <f t="shared" si="31"/>
        <v>0</v>
      </c>
      <c r="BI41" s="62">
        <f t="shared" si="32"/>
        <v>0</v>
      </c>
      <c r="BJ41" s="61">
        <f t="shared" si="33"/>
        <v>0</v>
      </c>
      <c r="BK41" s="43">
        <f t="shared" si="34"/>
        <v>0</v>
      </c>
      <c r="BL41" s="35">
        <f t="shared" si="35"/>
        <v>0</v>
      </c>
      <c r="BM41" s="36">
        <f t="shared" si="36"/>
        <v>0</v>
      </c>
      <c r="BN41" s="35">
        <f t="shared" si="37"/>
        <v>0</v>
      </c>
      <c r="BO41" s="62">
        <f t="shared" si="38"/>
        <v>0</v>
      </c>
      <c r="BP41" s="61">
        <f t="shared" si="39"/>
        <v>0</v>
      </c>
      <c r="BQ41" s="43">
        <f t="shared" si="40"/>
        <v>0</v>
      </c>
      <c r="BR41" s="35">
        <f t="shared" si="41"/>
        <v>0</v>
      </c>
      <c r="BS41" s="36">
        <f t="shared" si="42"/>
        <v>0</v>
      </c>
      <c r="BT41" s="35">
        <f t="shared" si="43"/>
        <v>0</v>
      </c>
      <c r="BU41" s="62">
        <f t="shared" si="44"/>
        <v>0</v>
      </c>
      <c r="BV41" s="61">
        <f t="shared" si="45"/>
        <v>0</v>
      </c>
      <c r="BW41" s="43">
        <f t="shared" si="46"/>
        <v>0</v>
      </c>
      <c r="BX41" s="35">
        <f t="shared" si="47"/>
        <v>0</v>
      </c>
      <c r="BY41" s="36">
        <f t="shared" si="48"/>
        <v>0</v>
      </c>
      <c r="BZ41" s="35">
        <f t="shared" si="49"/>
        <v>0</v>
      </c>
      <c r="CA41" s="62">
        <f t="shared" si="50"/>
        <v>0</v>
      </c>
      <c r="CB41" s="61">
        <f t="shared" si="51"/>
        <v>0</v>
      </c>
      <c r="CC41" s="43">
        <f t="shared" si="52"/>
        <v>0</v>
      </c>
      <c r="CD41" s="35">
        <f t="shared" si="53"/>
        <v>0</v>
      </c>
      <c r="CE41" s="36">
        <f t="shared" si="54"/>
        <v>0</v>
      </c>
      <c r="CF41" s="35">
        <f t="shared" si="55"/>
        <v>0</v>
      </c>
      <c r="CG41" s="62">
        <f t="shared" si="56"/>
        <v>0</v>
      </c>
      <c r="CH41" s="61">
        <f t="shared" si="57"/>
        <v>0</v>
      </c>
      <c r="CI41" s="43">
        <f t="shared" si="58"/>
        <v>0</v>
      </c>
      <c r="CJ41" s="35">
        <f t="shared" si="59"/>
        <v>0</v>
      </c>
      <c r="CK41" s="36">
        <f t="shared" si="60"/>
        <v>0</v>
      </c>
      <c r="CL41" s="35">
        <f t="shared" si="61"/>
        <v>0</v>
      </c>
      <c r="CM41" s="62">
        <f t="shared" si="62"/>
        <v>0</v>
      </c>
      <c r="CN41" s="61">
        <f t="shared" si="63"/>
        <v>0</v>
      </c>
      <c r="CO41" s="43">
        <f t="shared" si="64"/>
        <v>0</v>
      </c>
      <c r="CP41" s="35">
        <f t="shared" si="65"/>
        <v>0</v>
      </c>
      <c r="CQ41" s="36">
        <f t="shared" si="66"/>
        <v>0</v>
      </c>
      <c r="CR41" s="35">
        <f t="shared" si="67"/>
        <v>0</v>
      </c>
      <c r="CS41" s="62">
        <f t="shared" si="68"/>
        <v>0</v>
      </c>
      <c r="CT41" s="61">
        <f t="shared" si="69"/>
        <v>0</v>
      </c>
      <c r="CU41" s="43">
        <f t="shared" si="70"/>
        <v>0</v>
      </c>
      <c r="CV41" s="35">
        <f t="shared" si="71"/>
        <v>0</v>
      </c>
      <c r="CW41" s="36">
        <f t="shared" si="72"/>
        <v>0</v>
      </c>
      <c r="CX41" s="35">
        <f t="shared" si="6"/>
        <v>0</v>
      </c>
      <c r="CY41" s="62">
        <f t="shared" si="73"/>
        <v>0</v>
      </c>
      <c r="CZ41" s="61">
        <f t="shared" si="74"/>
        <v>0</v>
      </c>
      <c r="DA41" s="43">
        <f t="shared" si="75"/>
        <v>0</v>
      </c>
      <c r="DB41" s="35">
        <f t="shared" si="76"/>
        <v>0</v>
      </c>
      <c r="DC41" s="36">
        <f t="shared" si="77"/>
        <v>0</v>
      </c>
      <c r="DD41" s="35">
        <f t="shared" si="78"/>
        <v>0</v>
      </c>
      <c r="DE41" s="62">
        <f t="shared" si="7"/>
        <v>0</v>
      </c>
      <c r="DF41" s="61">
        <f t="shared" si="79"/>
        <v>0</v>
      </c>
      <c r="DG41" s="43">
        <f t="shared" si="80"/>
        <v>0</v>
      </c>
      <c r="DH41" s="35">
        <f t="shared" si="81"/>
        <v>0</v>
      </c>
      <c r="DI41" s="36">
        <f t="shared" si="82"/>
        <v>0</v>
      </c>
      <c r="DJ41" s="35">
        <f t="shared" si="83"/>
        <v>0</v>
      </c>
      <c r="DK41" s="62">
        <f t="shared" si="84"/>
        <v>0</v>
      </c>
    </row>
    <row r="42" spans="2:115" x14ac:dyDescent="0.3">
      <c r="B42" s="1">
        <v>0.57901999999999998</v>
      </c>
      <c r="C42" s="1">
        <v>1.204718</v>
      </c>
      <c r="D42">
        <f t="shared" si="85"/>
        <v>11281.699364482711</v>
      </c>
      <c r="E42" s="4">
        <f t="shared" si="8"/>
        <v>0.31910086270633992</v>
      </c>
      <c r="G42" s="1">
        <v>0.57039700000000004</v>
      </c>
      <c r="H42" s="1">
        <v>1.2383409999999999</v>
      </c>
      <c r="I42">
        <f t="shared" si="9"/>
        <v>11327.605081297421</v>
      </c>
      <c r="J42" s="4">
        <f t="shared" si="10"/>
        <v>0.3178076896363401</v>
      </c>
      <c r="L42" s="1">
        <v>0.56713400000000003</v>
      </c>
      <c r="M42" s="1">
        <v>1.2210639999999999</v>
      </c>
      <c r="N42">
        <f t="shared" si="11"/>
        <v>11199.719059593499</v>
      </c>
      <c r="O42" s="4">
        <f t="shared" si="12"/>
        <v>0.32143663433381375</v>
      </c>
      <c r="Q42" s="1">
        <v>0.56441200000000002</v>
      </c>
      <c r="R42" s="1">
        <v>1.1980280000000001</v>
      </c>
      <c r="S42">
        <f t="shared" si="13"/>
        <v>10988.430602758483</v>
      </c>
      <c r="T42" s="4">
        <f t="shared" si="14"/>
        <v>0.32761730315667403</v>
      </c>
      <c r="V42" s="1">
        <v>0.56778700000000004</v>
      </c>
      <c r="W42" s="1">
        <v>1.1754100000000001</v>
      </c>
      <c r="X42">
        <f t="shared" si="15"/>
        <v>10844.807349681123</v>
      </c>
      <c r="Y42" s="4">
        <f t="shared" si="16"/>
        <v>0.33195610432912426</v>
      </c>
      <c r="AA42" s="1">
        <v>0.58586300000000002</v>
      </c>
      <c r="AB42" s="1">
        <v>1.228111</v>
      </c>
      <c r="AC42">
        <f t="shared" si="17"/>
        <v>11389.498428707779</v>
      </c>
      <c r="AD42" s="4">
        <f t="shared" si="18"/>
        <v>0.31608064415953796</v>
      </c>
      <c r="AF42" s="1">
        <v>0.60701700000000003</v>
      </c>
      <c r="AG42" s="1">
        <v>1.225287</v>
      </c>
      <c r="AH42">
        <f t="shared" si="19"/>
        <v>11444.303695367415</v>
      </c>
      <c r="AI42" s="4">
        <f t="shared" si="20"/>
        <v>0.31456697548643858</v>
      </c>
      <c r="AK42" s="1">
        <v>0.62719800000000003</v>
      </c>
      <c r="AL42" s="1">
        <v>1.2154929999999999</v>
      </c>
      <c r="AM42">
        <f t="shared" si="21"/>
        <v>11425.998847899999</v>
      </c>
      <c r="AN42" s="4">
        <f t="shared" si="22"/>
        <v>0.31507092271951781</v>
      </c>
      <c r="AP42" s="1">
        <v>0.64803900000000003</v>
      </c>
      <c r="AQ42" s="1">
        <v>1.1909620000000001</v>
      </c>
      <c r="AR42">
        <f t="shared" si="23"/>
        <v>11269.950257789988</v>
      </c>
      <c r="AS42" s="4">
        <f t="shared" si="24"/>
        <v>0.3194335305527739</v>
      </c>
      <c r="AU42" s="14">
        <v>0.67765699999999995</v>
      </c>
      <c r="AV42" s="14">
        <v>1.1627019999999999</v>
      </c>
      <c r="AW42" s="15">
        <f t="shared" si="25"/>
        <v>11125.892861219827</v>
      </c>
      <c r="AX42" s="16">
        <f t="shared" si="26"/>
        <v>0.32356953683673179</v>
      </c>
      <c r="BD42" s="61">
        <f t="shared" si="27"/>
        <v>0</v>
      </c>
      <c r="BE42" s="43">
        <f t="shared" si="28"/>
        <v>0</v>
      </c>
      <c r="BF42" s="35">
        <f t="shared" si="29"/>
        <v>0</v>
      </c>
      <c r="BG42" s="36">
        <f t="shared" si="30"/>
        <v>0</v>
      </c>
      <c r="BH42" s="35">
        <f t="shared" si="31"/>
        <v>0</v>
      </c>
      <c r="BI42" s="62">
        <f t="shared" si="32"/>
        <v>0</v>
      </c>
      <c r="BJ42" s="61">
        <f t="shared" si="33"/>
        <v>0</v>
      </c>
      <c r="BK42" s="43">
        <f t="shared" si="34"/>
        <v>0</v>
      </c>
      <c r="BL42" s="35">
        <f t="shared" si="35"/>
        <v>0</v>
      </c>
      <c r="BM42" s="36">
        <f t="shared" si="36"/>
        <v>0</v>
      </c>
      <c r="BN42" s="35">
        <f t="shared" si="37"/>
        <v>0</v>
      </c>
      <c r="BO42" s="62">
        <f t="shared" si="38"/>
        <v>0</v>
      </c>
      <c r="BP42" s="61">
        <f t="shared" si="39"/>
        <v>0</v>
      </c>
      <c r="BQ42" s="43">
        <f t="shared" si="40"/>
        <v>0</v>
      </c>
      <c r="BR42" s="35">
        <f t="shared" si="41"/>
        <v>0</v>
      </c>
      <c r="BS42" s="36">
        <f t="shared" si="42"/>
        <v>0</v>
      </c>
      <c r="BT42" s="35">
        <f t="shared" si="43"/>
        <v>0</v>
      </c>
      <c r="BU42" s="62">
        <f t="shared" si="44"/>
        <v>0</v>
      </c>
      <c r="BV42" s="61">
        <f t="shared" si="45"/>
        <v>0</v>
      </c>
      <c r="BW42" s="43">
        <f t="shared" si="46"/>
        <v>0</v>
      </c>
      <c r="BX42" s="35">
        <f t="shared" si="47"/>
        <v>0</v>
      </c>
      <c r="BY42" s="36">
        <f t="shared" si="48"/>
        <v>0</v>
      </c>
      <c r="BZ42" s="35">
        <f t="shared" si="49"/>
        <v>0</v>
      </c>
      <c r="CA42" s="62">
        <f t="shared" si="50"/>
        <v>0</v>
      </c>
      <c r="CB42" s="61">
        <f t="shared" si="51"/>
        <v>0</v>
      </c>
      <c r="CC42" s="43">
        <f t="shared" si="52"/>
        <v>0</v>
      </c>
      <c r="CD42" s="35">
        <f t="shared" si="53"/>
        <v>0</v>
      </c>
      <c r="CE42" s="36">
        <f t="shared" si="54"/>
        <v>0</v>
      </c>
      <c r="CF42" s="35">
        <f t="shared" si="55"/>
        <v>0</v>
      </c>
      <c r="CG42" s="62">
        <f t="shared" si="56"/>
        <v>0</v>
      </c>
      <c r="CH42" s="61">
        <f t="shared" si="57"/>
        <v>0</v>
      </c>
      <c r="CI42" s="43">
        <f t="shared" si="58"/>
        <v>0</v>
      </c>
      <c r="CJ42" s="35">
        <f t="shared" si="59"/>
        <v>0</v>
      </c>
      <c r="CK42" s="36">
        <f t="shared" si="60"/>
        <v>0</v>
      </c>
      <c r="CL42" s="35">
        <f t="shared" si="61"/>
        <v>0</v>
      </c>
      <c r="CM42" s="62">
        <f t="shared" si="62"/>
        <v>0</v>
      </c>
      <c r="CN42" s="61">
        <f t="shared" si="63"/>
        <v>0</v>
      </c>
      <c r="CO42" s="43">
        <f t="shared" si="64"/>
        <v>0</v>
      </c>
      <c r="CP42" s="35">
        <f t="shared" si="65"/>
        <v>0</v>
      </c>
      <c r="CQ42" s="36">
        <f t="shared" si="66"/>
        <v>0</v>
      </c>
      <c r="CR42" s="35">
        <f t="shared" si="67"/>
        <v>0</v>
      </c>
      <c r="CS42" s="62">
        <f t="shared" si="68"/>
        <v>0</v>
      </c>
      <c r="CT42" s="61">
        <f t="shared" si="69"/>
        <v>0</v>
      </c>
      <c r="CU42" s="43">
        <f t="shared" si="70"/>
        <v>0</v>
      </c>
      <c r="CV42" s="35">
        <f t="shared" si="71"/>
        <v>0</v>
      </c>
      <c r="CW42" s="36">
        <f t="shared" si="72"/>
        <v>0</v>
      </c>
      <c r="CX42" s="35">
        <f t="shared" si="6"/>
        <v>0</v>
      </c>
      <c r="CY42" s="62">
        <f t="shared" si="73"/>
        <v>0</v>
      </c>
      <c r="CZ42" s="61">
        <f t="shared" si="74"/>
        <v>0</v>
      </c>
      <c r="DA42" s="43">
        <f t="shared" si="75"/>
        <v>0</v>
      </c>
      <c r="DB42" s="35">
        <f t="shared" si="76"/>
        <v>0</v>
      </c>
      <c r="DC42" s="36">
        <f t="shared" si="77"/>
        <v>0</v>
      </c>
      <c r="DD42" s="35">
        <f t="shared" si="78"/>
        <v>0</v>
      </c>
      <c r="DE42" s="62">
        <f t="shared" si="7"/>
        <v>0</v>
      </c>
      <c r="DF42" s="61">
        <f t="shared" si="79"/>
        <v>0</v>
      </c>
      <c r="DG42" s="43">
        <f t="shared" si="80"/>
        <v>0</v>
      </c>
      <c r="DH42" s="35">
        <f t="shared" si="81"/>
        <v>0</v>
      </c>
      <c r="DI42" s="36">
        <f t="shared" si="82"/>
        <v>0</v>
      </c>
      <c r="DJ42" s="35">
        <f t="shared" si="83"/>
        <v>0</v>
      </c>
      <c r="DK42" s="62">
        <f t="shared" si="84"/>
        <v>0</v>
      </c>
    </row>
    <row r="43" spans="2:115" x14ac:dyDescent="0.3">
      <c r="B43" s="1">
        <v>0.593163</v>
      </c>
      <c r="C43" s="1">
        <v>1.197179</v>
      </c>
      <c r="D43">
        <f t="shared" si="85"/>
        <v>11211.099662719447</v>
      </c>
      <c r="E43" s="4">
        <f t="shared" si="8"/>
        <v>0.32111033781736603</v>
      </c>
      <c r="G43" s="1">
        <v>0.58433000000000002</v>
      </c>
      <c r="H43" s="1">
        <v>1.2275069999999999</v>
      </c>
      <c r="I43">
        <f t="shared" si="9"/>
        <v>11228.502109296351</v>
      </c>
      <c r="J43" s="4">
        <f t="shared" si="10"/>
        <v>0.32061266631632657</v>
      </c>
      <c r="L43" s="1">
        <v>0.58098700000000003</v>
      </c>
      <c r="M43" s="1">
        <v>1.2050700000000001</v>
      </c>
      <c r="N43">
        <f t="shared" si="11"/>
        <v>11053.020519108204</v>
      </c>
      <c r="O43" s="4">
        <f t="shared" si="12"/>
        <v>0.32570282428919806</v>
      </c>
      <c r="Q43" s="1">
        <v>0.57819799999999999</v>
      </c>
      <c r="R43" s="1">
        <v>1.182245</v>
      </c>
      <c r="S43">
        <f t="shared" si="13"/>
        <v>10843.667375018114</v>
      </c>
      <c r="T43" s="4">
        <f t="shared" si="14"/>
        <v>0.33199100225941652</v>
      </c>
      <c r="V43" s="1">
        <v>0.58165599999999995</v>
      </c>
      <c r="W43" s="1">
        <v>1.159683</v>
      </c>
      <c r="X43">
        <f t="shared" si="15"/>
        <v>10699.703696327455</v>
      </c>
      <c r="Y43" s="4">
        <f t="shared" si="16"/>
        <v>0.33645791530055702</v>
      </c>
      <c r="AA43" s="1">
        <v>0.60017399999999999</v>
      </c>
      <c r="AB43" s="1">
        <v>1.2207030000000001</v>
      </c>
      <c r="AC43">
        <f t="shared" si="17"/>
        <v>11320.796654715146</v>
      </c>
      <c r="AD43" s="4">
        <f t="shared" si="18"/>
        <v>0.31799882197341556</v>
      </c>
      <c r="AF43" s="1">
        <v>0.62184499999999998</v>
      </c>
      <c r="AG43" s="1">
        <v>1.217867</v>
      </c>
      <c r="AH43">
        <f t="shared" si="19"/>
        <v>11375.000149814719</v>
      </c>
      <c r="AI43" s="4">
        <f t="shared" si="20"/>
        <v>0.31648351231526256</v>
      </c>
      <c r="AK43" s="1">
        <v>0.64251800000000003</v>
      </c>
      <c r="AL43" s="1">
        <v>1.198887</v>
      </c>
      <c r="AM43">
        <f t="shared" si="21"/>
        <v>11269.897466099999</v>
      </c>
      <c r="AN43" s="4">
        <f t="shared" si="22"/>
        <v>0.31943502687835873</v>
      </c>
      <c r="AP43" s="1">
        <v>0.66386800000000001</v>
      </c>
      <c r="AQ43" s="1">
        <v>1.1753009999999999</v>
      </c>
      <c r="AR43">
        <f t="shared" si="23"/>
        <v>11121.751834173405</v>
      </c>
      <c r="AS43" s="4">
        <f t="shared" si="24"/>
        <v>0.32369001337886449</v>
      </c>
      <c r="AU43" s="14">
        <v>0.69420999999999999</v>
      </c>
      <c r="AV43" s="14">
        <v>1.1472359999999999</v>
      </c>
      <c r="AW43" s="15">
        <f t="shared" si="25"/>
        <v>10977.898741495575</v>
      </c>
      <c r="AX43" s="16">
        <f t="shared" si="26"/>
        <v>0.32793160920607595</v>
      </c>
      <c r="BD43" s="61">
        <f t="shared" si="27"/>
        <v>0</v>
      </c>
      <c r="BE43" s="43">
        <f t="shared" si="28"/>
        <v>0</v>
      </c>
      <c r="BF43" s="35">
        <f t="shared" si="29"/>
        <v>0</v>
      </c>
      <c r="BG43" s="36">
        <f t="shared" si="30"/>
        <v>0</v>
      </c>
      <c r="BH43" s="35">
        <f t="shared" si="31"/>
        <v>0</v>
      </c>
      <c r="BI43" s="62">
        <f t="shared" si="32"/>
        <v>0</v>
      </c>
      <c r="BJ43" s="61">
        <f t="shared" si="33"/>
        <v>0</v>
      </c>
      <c r="BK43" s="43">
        <f t="shared" si="34"/>
        <v>0</v>
      </c>
      <c r="BL43" s="35">
        <f t="shared" si="35"/>
        <v>0</v>
      </c>
      <c r="BM43" s="36">
        <f t="shared" si="36"/>
        <v>0</v>
      </c>
      <c r="BN43" s="35">
        <f t="shared" si="37"/>
        <v>0</v>
      </c>
      <c r="BO43" s="62">
        <f t="shared" si="38"/>
        <v>0</v>
      </c>
      <c r="BP43" s="61">
        <f t="shared" si="39"/>
        <v>0</v>
      </c>
      <c r="BQ43" s="43">
        <f t="shared" si="40"/>
        <v>0</v>
      </c>
      <c r="BR43" s="35">
        <f t="shared" si="41"/>
        <v>0</v>
      </c>
      <c r="BS43" s="36">
        <f t="shared" si="42"/>
        <v>0</v>
      </c>
      <c r="BT43" s="35">
        <f t="shared" si="43"/>
        <v>0</v>
      </c>
      <c r="BU43" s="62">
        <f t="shared" si="44"/>
        <v>0</v>
      </c>
      <c r="BV43" s="61">
        <f t="shared" si="45"/>
        <v>0</v>
      </c>
      <c r="BW43" s="43">
        <f t="shared" si="46"/>
        <v>0</v>
      </c>
      <c r="BX43" s="35">
        <f t="shared" si="47"/>
        <v>0</v>
      </c>
      <c r="BY43" s="36">
        <f t="shared" si="48"/>
        <v>0</v>
      </c>
      <c r="BZ43" s="35">
        <f t="shared" si="49"/>
        <v>0</v>
      </c>
      <c r="CA43" s="62">
        <f t="shared" si="50"/>
        <v>0</v>
      </c>
      <c r="CB43" s="61">
        <f t="shared" si="51"/>
        <v>0</v>
      </c>
      <c r="CC43" s="43">
        <f t="shared" si="52"/>
        <v>0</v>
      </c>
      <c r="CD43" s="35">
        <f t="shared" si="53"/>
        <v>0</v>
      </c>
      <c r="CE43" s="36">
        <f t="shared" si="54"/>
        <v>0</v>
      </c>
      <c r="CF43" s="35">
        <f t="shared" si="55"/>
        <v>0</v>
      </c>
      <c r="CG43" s="62">
        <f t="shared" si="56"/>
        <v>0</v>
      </c>
      <c r="CH43" s="61">
        <f t="shared" si="57"/>
        <v>0</v>
      </c>
      <c r="CI43" s="43">
        <f t="shared" si="58"/>
        <v>0</v>
      </c>
      <c r="CJ43" s="35">
        <f t="shared" si="59"/>
        <v>0</v>
      </c>
      <c r="CK43" s="36">
        <f t="shared" si="60"/>
        <v>0</v>
      </c>
      <c r="CL43" s="35">
        <f t="shared" si="61"/>
        <v>0</v>
      </c>
      <c r="CM43" s="62">
        <f t="shared" si="62"/>
        <v>0</v>
      </c>
      <c r="CN43" s="61">
        <f t="shared" si="63"/>
        <v>0</v>
      </c>
      <c r="CO43" s="43">
        <f t="shared" si="64"/>
        <v>0</v>
      </c>
      <c r="CP43" s="35">
        <f t="shared" si="65"/>
        <v>0</v>
      </c>
      <c r="CQ43" s="36">
        <f t="shared" si="66"/>
        <v>0</v>
      </c>
      <c r="CR43" s="35">
        <f t="shared" si="67"/>
        <v>0</v>
      </c>
      <c r="CS43" s="62">
        <f t="shared" si="68"/>
        <v>0</v>
      </c>
      <c r="CT43" s="61">
        <f t="shared" si="69"/>
        <v>0</v>
      </c>
      <c r="CU43" s="43">
        <f t="shared" si="70"/>
        <v>0</v>
      </c>
      <c r="CV43" s="35">
        <f t="shared" si="71"/>
        <v>0</v>
      </c>
      <c r="CW43" s="36">
        <f t="shared" si="72"/>
        <v>0</v>
      </c>
      <c r="CX43" s="35">
        <f t="shared" si="6"/>
        <v>0</v>
      </c>
      <c r="CY43" s="62">
        <f t="shared" si="73"/>
        <v>0</v>
      </c>
      <c r="CZ43" s="61">
        <f t="shared" si="74"/>
        <v>0</v>
      </c>
      <c r="DA43" s="43">
        <f t="shared" si="75"/>
        <v>0</v>
      </c>
      <c r="DB43" s="35">
        <f t="shared" si="76"/>
        <v>0</v>
      </c>
      <c r="DC43" s="36">
        <f t="shared" si="77"/>
        <v>0</v>
      </c>
      <c r="DD43" s="35">
        <f t="shared" si="78"/>
        <v>0</v>
      </c>
      <c r="DE43" s="62">
        <f t="shared" si="7"/>
        <v>0</v>
      </c>
      <c r="DF43" s="61">
        <f t="shared" si="79"/>
        <v>0</v>
      </c>
      <c r="DG43" s="43">
        <f t="shared" si="80"/>
        <v>0</v>
      </c>
      <c r="DH43" s="35">
        <f t="shared" si="81"/>
        <v>0</v>
      </c>
      <c r="DI43" s="36">
        <f t="shared" si="82"/>
        <v>0</v>
      </c>
      <c r="DJ43" s="35">
        <f t="shared" si="83"/>
        <v>0</v>
      </c>
      <c r="DK43" s="62">
        <f t="shared" si="84"/>
        <v>0</v>
      </c>
    </row>
    <row r="44" spans="2:115" x14ac:dyDescent="0.3">
      <c r="B44" s="1">
        <v>0.60733499999999996</v>
      </c>
      <c r="C44" s="1">
        <v>1.189907</v>
      </c>
      <c r="D44">
        <f t="shared" si="85"/>
        <v>11143.000308531566</v>
      </c>
      <c r="E44" s="4">
        <f t="shared" si="8"/>
        <v>0.32307277217283065</v>
      </c>
      <c r="G44" s="1">
        <v>0.59829100000000002</v>
      </c>
      <c r="H44" s="1">
        <v>1.2120489999999999</v>
      </c>
      <c r="I44">
        <f t="shared" si="9"/>
        <v>11087.101542451923</v>
      </c>
      <c r="J44" s="4">
        <f t="shared" si="10"/>
        <v>0.32470163515827755</v>
      </c>
      <c r="L44" s="1">
        <v>0.59486799999999995</v>
      </c>
      <c r="M44" s="1">
        <v>1.1895880000000001</v>
      </c>
      <c r="N44">
        <f t="shared" si="11"/>
        <v>10911.018092961314</v>
      </c>
      <c r="O44" s="4">
        <f t="shared" si="12"/>
        <v>0.32994171298481817</v>
      </c>
      <c r="Q44" s="1">
        <v>0.59201300000000001</v>
      </c>
      <c r="R44" s="1">
        <v>1.1669620000000001</v>
      </c>
      <c r="S44">
        <f t="shared" si="13"/>
        <v>10703.490196436347</v>
      </c>
      <c r="T44" s="4">
        <f t="shared" si="14"/>
        <v>0.33633888889799657</v>
      </c>
      <c r="V44" s="1">
        <v>0.595553</v>
      </c>
      <c r="W44" s="1">
        <v>1.2141139999999999</v>
      </c>
      <c r="X44">
        <f t="shared" si="15"/>
        <v>11201.906084303133</v>
      </c>
      <c r="Y44" s="4">
        <f t="shared" si="16"/>
        <v>0.32137387806210616</v>
      </c>
      <c r="AA44" s="1">
        <v>0.61451299999999998</v>
      </c>
      <c r="AB44" s="1">
        <v>1.2135860000000001</v>
      </c>
      <c r="AC44">
        <f t="shared" si="17"/>
        <v>11254.793614015151</v>
      </c>
      <c r="AD44" s="4">
        <f t="shared" si="18"/>
        <v>0.31986370638703338</v>
      </c>
      <c r="AF44" s="1">
        <v>0.63670199999999999</v>
      </c>
      <c r="AG44" s="1">
        <v>1.2092909999999999</v>
      </c>
      <c r="AH44">
        <f t="shared" si="19"/>
        <v>11294.899448108528</v>
      </c>
      <c r="AI44" s="4">
        <f t="shared" si="20"/>
        <v>0.31872793702496083</v>
      </c>
      <c r="AK44" s="1">
        <v>0.65786900000000004</v>
      </c>
      <c r="AL44" s="1">
        <v>1.183462</v>
      </c>
      <c r="AM44">
        <f t="shared" si="21"/>
        <v>11124.8978386</v>
      </c>
      <c r="AN44" s="4">
        <f t="shared" si="22"/>
        <v>0.32359847723806495</v>
      </c>
      <c r="AP44" s="1">
        <v>0.67972999999999995</v>
      </c>
      <c r="AQ44" s="1">
        <v>1.1600410000000001</v>
      </c>
      <c r="AR44">
        <f t="shared" si="23"/>
        <v>10977.348032092505</v>
      </c>
      <c r="AS44" s="4">
        <f t="shared" si="24"/>
        <v>0.32794806081353395</v>
      </c>
      <c r="AU44" s="1">
        <v>0.71079599999999998</v>
      </c>
      <c r="AV44" s="1">
        <v>1.1322810000000001</v>
      </c>
      <c r="AW44">
        <f t="shared" si="25"/>
        <v>10834.794379638848</v>
      </c>
      <c r="AX44" s="4">
        <f t="shared" si="26"/>
        <v>0.33226288140412291</v>
      </c>
      <c r="BD44" s="61">
        <f t="shared" si="27"/>
        <v>0</v>
      </c>
      <c r="BE44" s="43">
        <f t="shared" si="28"/>
        <v>0</v>
      </c>
      <c r="BF44" s="35">
        <f t="shared" si="29"/>
        <v>0</v>
      </c>
      <c r="BG44" s="36">
        <f t="shared" si="30"/>
        <v>0</v>
      </c>
      <c r="BH44" s="35">
        <f t="shared" si="31"/>
        <v>0</v>
      </c>
      <c r="BI44" s="62">
        <f t="shared" si="32"/>
        <v>0</v>
      </c>
      <c r="BJ44" s="61">
        <f t="shared" si="33"/>
        <v>0</v>
      </c>
      <c r="BK44" s="43">
        <f t="shared" si="34"/>
        <v>0</v>
      </c>
      <c r="BL44" s="35">
        <f t="shared" si="35"/>
        <v>0</v>
      </c>
      <c r="BM44" s="36">
        <f t="shared" si="36"/>
        <v>0</v>
      </c>
      <c r="BN44" s="35">
        <f t="shared" si="37"/>
        <v>0</v>
      </c>
      <c r="BO44" s="62">
        <f t="shared" si="38"/>
        <v>0</v>
      </c>
      <c r="BP44" s="61">
        <f t="shared" si="39"/>
        <v>0</v>
      </c>
      <c r="BQ44" s="43">
        <f t="shared" si="40"/>
        <v>0</v>
      </c>
      <c r="BR44" s="35">
        <f t="shared" si="41"/>
        <v>0</v>
      </c>
      <c r="BS44" s="36">
        <f t="shared" si="42"/>
        <v>0</v>
      </c>
      <c r="BT44" s="35">
        <f t="shared" si="43"/>
        <v>0</v>
      </c>
      <c r="BU44" s="62">
        <f t="shared" si="44"/>
        <v>0</v>
      </c>
      <c r="BV44" s="61">
        <f t="shared" si="45"/>
        <v>0</v>
      </c>
      <c r="BW44" s="43">
        <f t="shared" si="46"/>
        <v>0</v>
      </c>
      <c r="BX44" s="35">
        <f t="shared" si="47"/>
        <v>0</v>
      </c>
      <c r="BY44" s="36">
        <f t="shared" si="48"/>
        <v>0</v>
      </c>
      <c r="BZ44" s="35">
        <f t="shared" si="49"/>
        <v>0</v>
      </c>
      <c r="CA44" s="62">
        <f t="shared" si="50"/>
        <v>0</v>
      </c>
      <c r="CB44" s="61">
        <f t="shared" si="51"/>
        <v>0</v>
      </c>
      <c r="CC44" s="43">
        <f t="shared" si="52"/>
        <v>0</v>
      </c>
      <c r="CD44" s="35">
        <f t="shared" si="53"/>
        <v>0</v>
      </c>
      <c r="CE44" s="36">
        <f t="shared" si="54"/>
        <v>0</v>
      </c>
      <c r="CF44" s="35">
        <f t="shared" si="55"/>
        <v>0</v>
      </c>
      <c r="CG44" s="62">
        <f t="shared" si="56"/>
        <v>0</v>
      </c>
      <c r="CH44" s="61">
        <f t="shared" si="57"/>
        <v>0</v>
      </c>
      <c r="CI44" s="43">
        <f t="shared" si="58"/>
        <v>0</v>
      </c>
      <c r="CJ44" s="35">
        <f t="shared" si="59"/>
        <v>0</v>
      </c>
      <c r="CK44" s="36">
        <f t="shared" si="60"/>
        <v>0</v>
      </c>
      <c r="CL44" s="35">
        <f t="shared" si="61"/>
        <v>0</v>
      </c>
      <c r="CM44" s="62">
        <f t="shared" si="62"/>
        <v>0</v>
      </c>
      <c r="CN44" s="61">
        <f t="shared" si="63"/>
        <v>0</v>
      </c>
      <c r="CO44" s="43">
        <f t="shared" si="64"/>
        <v>0</v>
      </c>
      <c r="CP44" s="35">
        <f t="shared" si="65"/>
        <v>0</v>
      </c>
      <c r="CQ44" s="36">
        <f t="shared" si="66"/>
        <v>0</v>
      </c>
      <c r="CR44" s="35">
        <f t="shared" si="67"/>
        <v>0</v>
      </c>
      <c r="CS44" s="62">
        <f t="shared" si="68"/>
        <v>0</v>
      </c>
      <c r="CT44" s="61">
        <f t="shared" si="69"/>
        <v>0</v>
      </c>
      <c r="CU44" s="43">
        <f t="shared" si="70"/>
        <v>0</v>
      </c>
      <c r="CV44" s="35">
        <f t="shared" si="71"/>
        <v>0</v>
      </c>
      <c r="CW44" s="36">
        <f t="shared" si="72"/>
        <v>0</v>
      </c>
      <c r="CX44" s="35">
        <f t="shared" si="6"/>
        <v>0</v>
      </c>
      <c r="CY44" s="62">
        <f t="shared" si="73"/>
        <v>0</v>
      </c>
      <c r="CZ44" s="61">
        <f t="shared" si="74"/>
        <v>0</v>
      </c>
      <c r="DA44" s="43">
        <f t="shared" si="75"/>
        <v>0</v>
      </c>
      <c r="DB44" s="35">
        <f t="shared" si="76"/>
        <v>0</v>
      </c>
      <c r="DC44" s="36">
        <f t="shared" si="77"/>
        <v>0</v>
      </c>
      <c r="DD44" s="35">
        <f t="shared" si="78"/>
        <v>0</v>
      </c>
      <c r="DE44" s="62">
        <f t="shared" si="7"/>
        <v>0</v>
      </c>
      <c r="DF44" s="61">
        <f t="shared" si="79"/>
        <v>0</v>
      </c>
      <c r="DG44" s="43">
        <f t="shared" si="80"/>
        <v>0</v>
      </c>
      <c r="DH44" s="35">
        <f t="shared" si="81"/>
        <v>0</v>
      </c>
      <c r="DI44" s="36">
        <f t="shared" si="82"/>
        <v>0</v>
      </c>
      <c r="DJ44" s="35">
        <f t="shared" si="83"/>
        <v>0</v>
      </c>
      <c r="DK44" s="62">
        <f t="shared" si="84"/>
        <v>0</v>
      </c>
    </row>
    <row r="45" spans="2:115" x14ac:dyDescent="0.3">
      <c r="B45" s="1">
        <v>0.62147799999999997</v>
      </c>
      <c r="C45" s="1">
        <v>1.182976</v>
      </c>
      <c r="D45">
        <f t="shared" si="85"/>
        <v>11078.094282145947</v>
      </c>
      <c r="E45" s="4">
        <f t="shared" si="8"/>
        <v>0.32496564014642426</v>
      </c>
      <c r="G45" s="1">
        <v>0.61222399999999999</v>
      </c>
      <c r="H45" s="1">
        <v>1.1972149999999999</v>
      </c>
      <c r="I45">
        <f t="shared" si="9"/>
        <v>10951.408955534454</v>
      </c>
      <c r="J45" s="4">
        <f t="shared" si="10"/>
        <v>0.32872482569292488</v>
      </c>
      <c r="L45" s="1">
        <v>0.60872099999999996</v>
      </c>
      <c r="M45" s="1">
        <v>1.1748149999999999</v>
      </c>
      <c r="N45">
        <f t="shared" si="11"/>
        <v>10775.518684521317</v>
      </c>
      <c r="O45" s="4">
        <f t="shared" si="12"/>
        <v>0.33409064615806228</v>
      </c>
      <c r="Q45" s="1">
        <v>0.60579899999999998</v>
      </c>
      <c r="R45" s="1">
        <v>1.1522220000000001</v>
      </c>
      <c r="S45">
        <f t="shared" si="13"/>
        <v>10568.293467240819</v>
      </c>
      <c r="T45" s="4">
        <f t="shared" si="14"/>
        <v>0.3406415625341157</v>
      </c>
      <c r="V45" s="1">
        <v>0.60942200000000002</v>
      </c>
      <c r="W45" s="1">
        <v>1.2072529999999999</v>
      </c>
      <c r="X45">
        <f t="shared" si="15"/>
        <v>11138.603727486225</v>
      </c>
      <c r="Y45" s="4">
        <f t="shared" si="16"/>
        <v>0.32320029404730899</v>
      </c>
      <c r="AA45" s="1">
        <v>0.62882400000000005</v>
      </c>
      <c r="AB45" s="1">
        <v>1.206782</v>
      </c>
      <c r="AC45">
        <f t="shared" si="17"/>
        <v>11191.693334554313</v>
      </c>
      <c r="AD45" s="4">
        <f t="shared" si="18"/>
        <v>0.32166714118988704</v>
      </c>
      <c r="AF45" s="1">
        <v>0.65152900000000002</v>
      </c>
      <c r="AG45" s="1">
        <v>1.193767</v>
      </c>
      <c r="AH45">
        <f t="shared" si="19"/>
        <v>11149.903728275638</v>
      </c>
      <c r="AI45" s="4">
        <f t="shared" si="20"/>
        <v>0.32287274291620716</v>
      </c>
      <c r="AK45" s="1">
        <v>0.67318999999999996</v>
      </c>
      <c r="AL45" s="1">
        <v>1.168782</v>
      </c>
      <c r="AM45">
        <f t="shared" si="21"/>
        <v>10986.901434599999</v>
      </c>
      <c r="AN45" s="4">
        <f t="shared" si="22"/>
        <v>0.3276629012674005</v>
      </c>
      <c r="AP45" s="1">
        <v>0.69555900000000004</v>
      </c>
      <c r="AQ45" s="1">
        <v>1.145499</v>
      </c>
      <c r="AR45">
        <f t="shared" si="23"/>
        <v>10839.738589768751</v>
      </c>
      <c r="AS45" s="4">
        <f t="shared" si="24"/>
        <v>0.33211133000918619</v>
      </c>
      <c r="AU45" s="1">
        <v>0.72734900000000002</v>
      </c>
      <c r="AV45" s="1">
        <v>1.1179220000000001</v>
      </c>
      <c r="AW45">
        <f t="shared" si="25"/>
        <v>10697.393140461263</v>
      </c>
      <c r="AX45" s="4">
        <f t="shared" si="26"/>
        <v>0.3365305876609832</v>
      </c>
      <c r="BD45" s="61">
        <f t="shared" si="27"/>
        <v>0</v>
      </c>
      <c r="BE45" s="43">
        <f t="shared" si="28"/>
        <v>0</v>
      </c>
      <c r="BF45" s="35">
        <f t="shared" si="29"/>
        <v>0</v>
      </c>
      <c r="BG45" s="36">
        <f t="shared" si="30"/>
        <v>0</v>
      </c>
      <c r="BH45" s="35">
        <f t="shared" si="31"/>
        <v>0</v>
      </c>
      <c r="BI45" s="62">
        <f t="shared" si="32"/>
        <v>0</v>
      </c>
      <c r="BJ45" s="61">
        <f t="shared" si="33"/>
        <v>0</v>
      </c>
      <c r="BK45" s="43">
        <f t="shared" si="34"/>
        <v>0</v>
      </c>
      <c r="BL45" s="35">
        <f t="shared" si="35"/>
        <v>0</v>
      </c>
      <c r="BM45" s="36">
        <f t="shared" si="36"/>
        <v>0</v>
      </c>
      <c r="BN45" s="35">
        <f t="shared" si="37"/>
        <v>0</v>
      </c>
      <c r="BO45" s="62">
        <f t="shared" si="38"/>
        <v>0</v>
      </c>
      <c r="BP45" s="61">
        <f t="shared" si="39"/>
        <v>0</v>
      </c>
      <c r="BQ45" s="43">
        <f t="shared" si="40"/>
        <v>0</v>
      </c>
      <c r="BR45" s="35">
        <f t="shared" si="41"/>
        <v>0</v>
      </c>
      <c r="BS45" s="36">
        <f t="shared" si="42"/>
        <v>0</v>
      </c>
      <c r="BT45" s="35">
        <f t="shared" si="43"/>
        <v>0</v>
      </c>
      <c r="BU45" s="62">
        <f t="shared" si="44"/>
        <v>0</v>
      </c>
      <c r="BV45" s="61">
        <f t="shared" si="45"/>
        <v>0</v>
      </c>
      <c r="BW45" s="43">
        <f t="shared" si="46"/>
        <v>0</v>
      </c>
      <c r="BX45" s="35">
        <f t="shared" si="47"/>
        <v>0</v>
      </c>
      <c r="BY45" s="36">
        <f t="shared" si="48"/>
        <v>0</v>
      </c>
      <c r="BZ45" s="35">
        <f t="shared" si="49"/>
        <v>0</v>
      </c>
      <c r="CA45" s="62">
        <f t="shared" si="50"/>
        <v>0</v>
      </c>
      <c r="CB45" s="61">
        <f t="shared" si="51"/>
        <v>0</v>
      </c>
      <c r="CC45" s="43">
        <f t="shared" si="52"/>
        <v>0</v>
      </c>
      <c r="CD45" s="35">
        <f t="shared" si="53"/>
        <v>0</v>
      </c>
      <c r="CE45" s="36">
        <f t="shared" si="54"/>
        <v>0</v>
      </c>
      <c r="CF45" s="35">
        <f t="shared" si="55"/>
        <v>0</v>
      </c>
      <c r="CG45" s="62">
        <f t="shared" si="56"/>
        <v>0</v>
      </c>
      <c r="CH45" s="61">
        <f t="shared" si="57"/>
        <v>0</v>
      </c>
      <c r="CI45" s="43">
        <f t="shared" si="58"/>
        <v>0</v>
      </c>
      <c r="CJ45" s="35">
        <f t="shared" si="59"/>
        <v>0</v>
      </c>
      <c r="CK45" s="36">
        <f t="shared" si="60"/>
        <v>0</v>
      </c>
      <c r="CL45" s="35">
        <f t="shared" si="61"/>
        <v>0</v>
      </c>
      <c r="CM45" s="62">
        <f t="shared" si="62"/>
        <v>0</v>
      </c>
      <c r="CN45" s="61">
        <f t="shared" si="63"/>
        <v>0</v>
      </c>
      <c r="CO45" s="43">
        <f t="shared" si="64"/>
        <v>0</v>
      </c>
      <c r="CP45" s="35">
        <f t="shared" si="65"/>
        <v>0</v>
      </c>
      <c r="CQ45" s="36">
        <f t="shared" si="66"/>
        <v>0</v>
      </c>
      <c r="CR45" s="35">
        <f t="shared" si="67"/>
        <v>0</v>
      </c>
      <c r="CS45" s="62">
        <f t="shared" si="68"/>
        <v>0</v>
      </c>
      <c r="CT45" s="61">
        <f t="shared" si="69"/>
        <v>0</v>
      </c>
      <c r="CU45" s="43">
        <f t="shared" si="70"/>
        <v>0</v>
      </c>
      <c r="CV45" s="35">
        <f t="shared" si="71"/>
        <v>0</v>
      </c>
      <c r="CW45" s="36">
        <f t="shared" si="72"/>
        <v>0</v>
      </c>
      <c r="CX45" s="35">
        <f t="shared" si="6"/>
        <v>0</v>
      </c>
      <c r="CY45" s="62">
        <f t="shared" si="73"/>
        <v>0</v>
      </c>
      <c r="CZ45" s="61">
        <f t="shared" si="74"/>
        <v>0</v>
      </c>
      <c r="DA45" s="43">
        <f t="shared" si="75"/>
        <v>0</v>
      </c>
      <c r="DB45" s="35">
        <f t="shared" si="76"/>
        <v>0</v>
      </c>
      <c r="DC45" s="36">
        <f t="shared" si="77"/>
        <v>0</v>
      </c>
      <c r="DD45" s="35">
        <f t="shared" si="78"/>
        <v>0</v>
      </c>
      <c r="DE45" s="62">
        <f t="shared" si="7"/>
        <v>0</v>
      </c>
      <c r="DF45" s="61">
        <f t="shared" si="79"/>
        <v>0</v>
      </c>
      <c r="DG45" s="43">
        <f t="shared" si="80"/>
        <v>0</v>
      </c>
      <c r="DH45" s="35">
        <f t="shared" si="81"/>
        <v>0</v>
      </c>
      <c r="DI45" s="36">
        <f t="shared" si="82"/>
        <v>0</v>
      </c>
      <c r="DJ45" s="35">
        <f t="shared" si="83"/>
        <v>0</v>
      </c>
      <c r="DK45" s="62">
        <f t="shared" si="84"/>
        <v>0</v>
      </c>
    </row>
    <row r="46" spans="2:115" x14ac:dyDescent="0.3">
      <c r="B46" s="1">
        <v>0.63562200000000002</v>
      </c>
      <c r="C46" s="1">
        <v>1.1740280000000001</v>
      </c>
      <c r="D46">
        <f t="shared" si="85"/>
        <v>10994.299862278898</v>
      </c>
      <c r="E46" s="4">
        <f t="shared" si="8"/>
        <v>0.32744240607366809</v>
      </c>
      <c r="G46" s="1">
        <v>0.62615600000000005</v>
      </c>
      <c r="H46" s="1">
        <v>1.1828609999999999</v>
      </c>
      <c r="I46">
        <f t="shared" si="9"/>
        <v>10820.107122406953</v>
      </c>
      <c r="J46" s="4">
        <f t="shared" si="10"/>
        <v>0.33271389638508247</v>
      </c>
      <c r="L46" s="1">
        <v>0.62257399999999996</v>
      </c>
      <c r="M46" s="1">
        <v>1.160587</v>
      </c>
      <c r="N46">
        <f t="shared" si="11"/>
        <v>10645.018069664196</v>
      </c>
      <c r="O46" s="4">
        <f t="shared" si="12"/>
        <v>0.33818636816213166</v>
      </c>
      <c r="Q46" s="1">
        <v>0.61958599999999997</v>
      </c>
      <c r="R46" s="1">
        <v>1.138015</v>
      </c>
      <c r="S46">
        <f t="shared" si="13"/>
        <v>10437.985466448357</v>
      </c>
      <c r="T46" s="4">
        <f t="shared" si="14"/>
        <v>0.34489413800888735</v>
      </c>
      <c r="V46" s="1">
        <v>0.62329100000000004</v>
      </c>
      <c r="W46" s="1">
        <v>1.200728</v>
      </c>
      <c r="X46">
        <f t="shared" si="15"/>
        <v>11078.401442363018</v>
      </c>
      <c r="Y46" s="4">
        <f t="shared" si="16"/>
        <v>0.32495663013563097</v>
      </c>
      <c r="AA46" s="1">
        <v>0.64313399999999998</v>
      </c>
      <c r="AB46" s="1">
        <v>1.2002699999999999</v>
      </c>
      <c r="AC46">
        <f t="shared" si="17"/>
        <v>11131.301062383682</v>
      </c>
      <c r="AD46" s="4">
        <f t="shared" si="18"/>
        <v>0.32341232887551496</v>
      </c>
      <c r="AF46" s="1">
        <v>0.66635699999999998</v>
      </c>
      <c r="AG46" s="1">
        <v>1.1788099999999999</v>
      </c>
      <c r="AH46">
        <f t="shared" si="19"/>
        <v>11010.203845414226</v>
      </c>
      <c r="AI46" s="4">
        <f t="shared" si="20"/>
        <v>0.32696942314100824</v>
      </c>
      <c r="AK46" s="1">
        <v>0.68850999999999996</v>
      </c>
      <c r="AL46" s="1">
        <v>1.1545160000000001</v>
      </c>
      <c r="AM46">
        <f t="shared" si="21"/>
        <v>10852.7967548</v>
      </c>
      <c r="AN46" s="4">
        <f t="shared" si="22"/>
        <v>0.33171173120954134</v>
      </c>
      <c r="AP46" s="1">
        <v>0.71138800000000002</v>
      </c>
      <c r="AQ46" s="1">
        <v>1.1314649999999999</v>
      </c>
      <c r="AR46">
        <f t="shared" si="23"/>
        <v>10706.936298916629</v>
      </c>
      <c r="AS46" s="4">
        <f t="shared" si="24"/>
        <v>0.33623063586959623</v>
      </c>
      <c r="AU46" s="1">
        <v>0.74390199999999995</v>
      </c>
      <c r="AV46" s="1">
        <v>1.1040129999999999</v>
      </c>
      <c r="AW46">
        <f t="shared" si="25"/>
        <v>10564.297950286387</v>
      </c>
      <c r="AX46" s="4">
        <f t="shared" si="26"/>
        <v>0.34077039638042467</v>
      </c>
      <c r="BD46" s="61">
        <f t="shared" si="27"/>
        <v>0</v>
      </c>
      <c r="BE46" s="43">
        <f t="shared" si="28"/>
        <v>0</v>
      </c>
      <c r="BF46" s="35">
        <f t="shared" si="29"/>
        <v>0</v>
      </c>
      <c r="BG46" s="36">
        <f t="shared" si="30"/>
        <v>0</v>
      </c>
      <c r="BH46" s="35">
        <f t="shared" si="31"/>
        <v>0</v>
      </c>
      <c r="BI46" s="62">
        <f t="shared" si="32"/>
        <v>0</v>
      </c>
      <c r="BJ46" s="61">
        <f t="shared" si="33"/>
        <v>0</v>
      </c>
      <c r="BK46" s="43">
        <f t="shared" si="34"/>
        <v>0</v>
      </c>
      <c r="BL46" s="35">
        <f t="shared" si="35"/>
        <v>0</v>
      </c>
      <c r="BM46" s="36">
        <f t="shared" si="36"/>
        <v>0</v>
      </c>
      <c r="BN46" s="35">
        <f t="shared" si="37"/>
        <v>0</v>
      </c>
      <c r="BO46" s="62">
        <f t="shared" si="38"/>
        <v>0</v>
      </c>
      <c r="BP46" s="61">
        <f t="shared" si="39"/>
        <v>0</v>
      </c>
      <c r="BQ46" s="43">
        <f t="shared" si="40"/>
        <v>0</v>
      </c>
      <c r="BR46" s="35">
        <f t="shared" si="41"/>
        <v>0</v>
      </c>
      <c r="BS46" s="36">
        <f t="shared" si="42"/>
        <v>0</v>
      </c>
      <c r="BT46" s="35">
        <f t="shared" si="43"/>
        <v>0</v>
      </c>
      <c r="BU46" s="62">
        <f t="shared" si="44"/>
        <v>0</v>
      </c>
      <c r="BV46" s="61">
        <f t="shared" si="45"/>
        <v>0</v>
      </c>
      <c r="BW46" s="43">
        <f t="shared" si="46"/>
        <v>0</v>
      </c>
      <c r="BX46" s="35">
        <f t="shared" si="47"/>
        <v>0</v>
      </c>
      <c r="BY46" s="36">
        <f t="shared" si="48"/>
        <v>0</v>
      </c>
      <c r="BZ46" s="35">
        <f t="shared" si="49"/>
        <v>0</v>
      </c>
      <c r="CA46" s="62">
        <f t="shared" si="50"/>
        <v>0</v>
      </c>
      <c r="CB46" s="61">
        <f t="shared" si="51"/>
        <v>0</v>
      </c>
      <c r="CC46" s="43">
        <f t="shared" si="52"/>
        <v>0</v>
      </c>
      <c r="CD46" s="35">
        <f t="shared" si="53"/>
        <v>0</v>
      </c>
      <c r="CE46" s="36">
        <f t="shared" si="54"/>
        <v>0</v>
      </c>
      <c r="CF46" s="35">
        <f t="shared" si="55"/>
        <v>0</v>
      </c>
      <c r="CG46" s="62">
        <f t="shared" si="56"/>
        <v>0</v>
      </c>
      <c r="CH46" s="61">
        <f t="shared" si="57"/>
        <v>0</v>
      </c>
      <c r="CI46" s="43">
        <f t="shared" si="58"/>
        <v>0</v>
      </c>
      <c r="CJ46" s="35">
        <f t="shared" si="59"/>
        <v>0</v>
      </c>
      <c r="CK46" s="36">
        <f t="shared" si="60"/>
        <v>0</v>
      </c>
      <c r="CL46" s="35">
        <f t="shared" si="61"/>
        <v>0</v>
      </c>
      <c r="CM46" s="62">
        <f t="shared" si="62"/>
        <v>0</v>
      </c>
      <c r="CN46" s="61">
        <f t="shared" si="63"/>
        <v>0</v>
      </c>
      <c r="CO46" s="43">
        <f t="shared" si="64"/>
        <v>0</v>
      </c>
      <c r="CP46" s="35">
        <f t="shared" si="65"/>
        <v>0</v>
      </c>
      <c r="CQ46" s="36">
        <f t="shared" si="66"/>
        <v>0</v>
      </c>
      <c r="CR46" s="35">
        <f t="shared" si="67"/>
        <v>0</v>
      </c>
      <c r="CS46" s="62">
        <f t="shared" si="68"/>
        <v>0</v>
      </c>
      <c r="CT46" s="61">
        <f t="shared" si="69"/>
        <v>0</v>
      </c>
      <c r="CU46" s="43">
        <f t="shared" si="70"/>
        <v>0</v>
      </c>
      <c r="CV46" s="35">
        <f t="shared" si="71"/>
        <v>0</v>
      </c>
      <c r="CW46" s="36">
        <f t="shared" si="72"/>
        <v>0</v>
      </c>
      <c r="CX46" s="35">
        <f t="shared" si="6"/>
        <v>0</v>
      </c>
      <c r="CY46" s="62">
        <f t="shared" si="73"/>
        <v>0</v>
      </c>
      <c r="CZ46" s="61">
        <f t="shared" si="74"/>
        <v>0</v>
      </c>
      <c r="DA46" s="43">
        <f t="shared" si="75"/>
        <v>0</v>
      </c>
      <c r="DB46" s="35">
        <f t="shared" si="76"/>
        <v>0</v>
      </c>
      <c r="DC46" s="36">
        <f t="shared" si="77"/>
        <v>0</v>
      </c>
      <c r="DD46" s="35">
        <f t="shared" si="78"/>
        <v>0</v>
      </c>
      <c r="DE46" s="62">
        <f t="shared" si="7"/>
        <v>0</v>
      </c>
      <c r="DF46" s="61">
        <f t="shared" si="79"/>
        <v>0</v>
      </c>
      <c r="DG46" s="43">
        <f t="shared" si="80"/>
        <v>0</v>
      </c>
      <c r="DH46" s="35">
        <f t="shared" si="81"/>
        <v>0</v>
      </c>
      <c r="DI46" s="36">
        <f t="shared" si="82"/>
        <v>0</v>
      </c>
      <c r="DJ46" s="35">
        <f t="shared" si="83"/>
        <v>0</v>
      </c>
      <c r="DK46" s="62">
        <f t="shared" si="84"/>
        <v>0</v>
      </c>
    </row>
    <row r="47" spans="2:115" x14ac:dyDescent="0.3">
      <c r="B47" s="1">
        <v>0.64976500000000004</v>
      </c>
      <c r="C47" s="1">
        <v>1.160477</v>
      </c>
      <c r="D47">
        <f t="shared" si="85"/>
        <v>10867.400199380107</v>
      </c>
      <c r="E47" s="4">
        <f t="shared" si="8"/>
        <v>0.33126598210723385</v>
      </c>
      <c r="G47" s="1">
        <v>0.64008900000000002</v>
      </c>
      <c r="H47" s="1">
        <v>1.1690210000000001</v>
      </c>
      <c r="I47">
        <f t="shared" si="9"/>
        <v>10693.50705479621</v>
      </c>
      <c r="J47" s="4">
        <f t="shared" si="10"/>
        <v>0.33665288492846157</v>
      </c>
      <c r="L47" s="1">
        <v>0.63642699999999996</v>
      </c>
      <c r="M47" s="1">
        <v>1.1467400000000001</v>
      </c>
      <c r="N47">
        <f t="shared" si="11"/>
        <v>10518.012024265929</v>
      </c>
      <c r="O47" s="4">
        <f t="shared" si="12"/>
        <v>0.34227000232501165</v>
      </c>
      <c r="Q47" s="1">
        <v>0.63337200000000005</v>
      </c>
      <c r="R47" s="1">
        <v>1.1923760000000001</v>
      </c>
      <c r="S47">
        <f t="shared" si="13"/>
        <v>10936.589903069667</v>
      </c>
      <c r="T47" s="4">
        <f t="shared" si="14"/>
        <v>0.32917024702458275</v>
      </c>
      <c r="V47" s="1">
        <v>0.63715999999999995</v>
      </c>
      <c r="W47" s="1">
        <v>1.194518</v>
      </c>
      <c r="X47">
        <f t="shared" si="15"/>
        <v>11021.105474452654</v>
      </c>
      <c r="Y47" s="4">
        <f t="shared" si="16"/>
        <v>0.32664599829345053</v>
      </c>
      <c r="AA47" s="1">
        <v>0.65744499999999995</v>
      </c>
      <c r="AB47" s="1">
        <v>1.191708</v>
      </c>
      <c r="AC47">
        <f t="shared" si="17"/>
        <v>11051.897095196193</v>
      </c>
      <c r="AD47" s="4">
        <f t="shared" si="18"/>
        <v>0.3257359319392118</v>
      </c>
      <c r="AF47" s="1">
        <v>0.68118400000000001</v>
      </c>
      <c r="AG47" s="1">
        <v>1.164452</v>
      </c>
      <c r="AH47">
        <f t="shared" si="19"/>
        <v>10876.098682739617</v>
      </c>
      <c r="AI47" s="4">
        <f t="shared" si="20"/>
        <v>0.33100104228671673</v>
      </c>
      <c r="AK47" s="1">
        <v>0.70382999999999996</v>
      </c>
      <c r="AL47" s="1">
        <v>1.1409739999999999</v>
      </c>
      <c r="AM47">
        <f t="shared" si="21"/>
        <v>10725.497892199999</v>
      </c>
      <c r="AN47" s="4">
        <f t="shared" si="22"/>
        <v>0.33564875366933411</v>
      </c>
      <c r="AP47" s="1">
        <v>0.727217</v>
      </c>
      <c r="AQ47" s="1">
        <v>1.117991</v>
      </c>
      <c r="AR47">
        <f t="shared" si="23"/>
        <v>10579.433230159219</v>
      </c>
      <c r="AS47" s="4">
        <f t="shared" si="24"/>
        <v>0.34028287921297473</v>
      </c>
      <c r="AU47" s="1">
        <v>0.76045399999999996</v>
      </c>
      <c r="AV47" s="1">
        <v>1.0905629999999999</v>
      </c>
      <c r="AW47">
        <f t="shared" si="25"/>
        <v>10435.594930094278</v>
      </c>
      <c r="AX47" s="4">
        <f t="shared" si="26"/>
        <v>0.34497314471437396</v>
      </c>
      <c r="BD47" s="61">
        <f t="shared" si="27"/>
        <v>0</v>
      </c>
      <c r="BE47" s="43">
        <f t="shared" si="28"/>
        <v>0</v>
      </c>
      <c r="BF47" s="35">
        <f t="shared" si="29"/>
        <v>0</v>
      </c>
      <c r="BG47" s="36">
        <f t="shared" si="30"/>
        <v>0</v>
      </c>
      <c r="BH47" s="35">
        <f t="shared" si="31"/>
        <v>0</v>
      </c>
      <c r="BI47" s="62">
        <f t="shared" si="32"/>
        <v>0</v>
      </c>
      <c r="BJ47" s="61">
        <f t="shared" si="33"/>
        <v>0</v>
      </c>
      <c r="BK47" s="43">
        <f t="shared" si="34"/>
        <v>0</v>
      </c>
      <c r="BL47" s="35">
        <f t="shared" si="35"/>
        <v>0</v>
      </c>
      <c r="BM47" s="36">
        <f t="shared" si="36"/>
        <v>0</v>
      </c>
      <c r="BN47" s="35">
        <f t="shared" si="37"/>
        <v>0</v>
      </c>
      <c r="BO47" s="62">
        <f t="shared" si="38"/>
        <v>0</v>
      </c>
      <c r="BP47" s="61">
        <f t="shared" si="39"/>
        <v>0</v>
      </c>
      <c r="BQ47" s="43">
        <f t="shared" si="40"/>
        <v>0</v>
      </c>
      <c r="BR47" s="35">
        <f t="shared" si="41"/>
        <v>0</v>
      </c>
      <c r="BS47" s="36">
        <f t="shared" si="42"/>
        <v>0</v>
      </c>
      <c r="BT47" s="35">
        <f t="shared" si="43"/>
        <v>0</v>
      </c>
      <c r="BU47" s="62">
        <f t="shared" si="44"/>
        <v>0</v>
      </c>
      <c r="BV47" s="61">
        <f t="shared" si="45"/>
        <v>0</v>
      </c>
      <c r="BW47" s="43">
        <f t="shared" si="46"/>
        <v>0</v>
      </c>
      <c r="BX47" s="35">
        <f t="shared" si="47"/>
        <v>0</v>
      </c>
      <c r="BY47" s="36">
        <f t="shared" si="48"/>
        <v>0</v>
      </c>
      <c r="BZ47" s="35">
        <f t="shared" si="49"/>
        <v>0</v>
      </c>
      <c r="CA47" s="62">
        <f t="shared" si="50"/>
        <v>0</v>
      </c>
      <c r="CB47" s="61">
        <f t="shared" si="51"/>
        <v>0</v>
      </c>
      <c r="CC47" s="43">
        <f t="shared" si="52"/>
        <v>0</v>
      </c>
      <c r="CD47" s="35">
        <f t="shared" si="53"/>
        <v>0</v>
      </c>
      <c r="CE47" s="36">
        <f t="shared" si="54"/>
        <v>0</v>
      </c>
      <c r="CF47" s="35">
        <f t="shared" si="55"/>
        <v>0</v>
      </c>
      <c r="CG47" s="62">
        <f t="shared" si="56"/>
        <v>0</v>
      </c>
      <c r="CH47" s="61">
        <f t="shared" si="57"/>
        <v>0</v>
      </c>
      <c r="CI47" s="43">
        <f t="shared" si="58"/>
        <v>0</v>
      </c>
      <c r="CJ47" s="35">
        <f t="shared" si="59"/>
        <v>0</v>
      </c>
      <c r="CK47" s="36">
        <f t="shared" si="60"/>
        <v>0</v>
      </c>
      <c r="CL47" s="35">
        <f t="shared" si="61"/>
        <v>0</v>
      </c>
      <c r="CM47" s="62">
        <f t="shared" si="62"/>
        <v>0</v>
      </c>
      <c r="CN47" s="61">
        <f t="shared" si="63"/>
        <v>0</v>
      </c>
      <c r="CO47" s="43">
        <f t="shared" si="64"/>
        <v>0</v>
      </c>
      <c r="CP47" s="35">
        <f t="shared" si="65"/>
        <v>0</v>
      </c>
      <c r="CQ47" s="36">
        <f t="shared" si="66"/>
        <v>0</v>
      </c>
      <c r="CR47" s="35">
        <f t="shared" si="67"/>
        <v>0</v>
      </c>
      <c r="CS47" s="62">
        <f t="shared" si="68"/>
        <v>0</v>
      </c>
      <c r="CT47" s="61">
        <f t="shared" si="69"/>
        <v>0</v>
      </c>
      <c r="CU47" s="43">
        <f t="shared" si="70"/>
        <v>0</v>
      </c>
      <c r="CV47" s="35">
        <f t="shared" si="71"/>
        <v>0</v>
      </c>
      <c r="CW47" s="36">
        <f t="shared" si="72"/>
        <v>0</v>
      </c>
      <c r="CX47" s="35">
        <f t="shared" si="6"/>
        <v>0</v>
      </c>
      <c r="CY47" s="62">
        <f t="shared" si="73"/>
        <v>0</v>
      </c>
      <c r="CZ47" s="61">
        <f t="shared" si="74"/>
        <v>0</v>
      </c>
      <c r="DA47" s="43">
        <f t="shared" si="75"/>
        <v>0</v>
      </c>
      <c r="DB47" s="35">
        <f t="shared" si="76"/>
        <v>0</v>
      </c>
      <c r="DC47" s="36">
        <f t="shared" si="77"/>
        <v>0</v>
      </c>
      <c r="DD47" s="35">
        <f t="shared" si="78"/>
        <v>0</v>
      </c>
      <c r="DE47" s="62">
        <f t="shared" si="7"/>
        <v>0</v>
      </c>
      <c r="DF47" s="61">
        <f t="shared" si="79"/>
        <v>0</v>
      </c>
      <c r="DG47" s="43">
        <f t="shared" si="80"/>
        <v>0</v>
      </c>
      <c r="DH47" s="35">
        <f t="shared" si="81"/>
        <v>0</v>
      </c>
      <c r="DI47" s="36">
        <f t="shared" si="82"/>
        <v>0</v>
      </c>
      <c r="DJ47" s="35">
        <f t="shared" si="83"/>
        <v>0</v>
      </c>
      <c r="DK47" s="62">
        <f t="shared" si="84"/>
        <v>0</v>
      </c>
    </row>
    <row r="48" spans="2:115" x14ac:dyDescent="0.3">
      <c r="B48" s="1">
        <v>0.66390899999999997</v>
      </c>
      <c r="C48" s="1">
        <v>1.1473420000000001</v>
      </c>
      <c r="D48">
        <f t="shared" si="85"/>
        <v>10744.396209108127</v>
      </c>
      <c r="E48" s="4">
        <f t="shared" si="8"/>
        <v>0.33505838112599068</v>
      </c>
      <c r="G48" s="1">
        <v>0.65402199999999999</v>
      </c>
      <c r="H48" s="1">
        <v>1.1554759999999999</v>
      </c>
      <c r="I48">
        <f t="shared" si="9"/>
        <v>10569.605471285549</v>
      </c>
      <c r="J48" s="4">
        <f t="shared" si="10"/>
        <v>0.34059927873184304</v>
      </c>
      <c r="L48" s="1">
        <v>0.65027999999999997</v>
      </c>
      <c r="M48" s="1">
        <v>1.1334059999999999</v>
      </c>
      <c r="N48">
        <f t="shared" si="11"/>
        <v>10395.711265304382</v>
      </c>
      <c r="O48" s="4">
        <f t="shared" si="12"/>
        <v>0.34629665139074955</v>
      </c>
      <c r="Q48" s="1">
        <v>0.64715900000000004</v>
      </c>
      <c r="R48" s="1">
        <v>1.1862999999999999</v>
      </c>
      <c r="S48">
        <f t="shared" si="13"/>
        <v>10880.860233694359</v>
      </c>
      <c r="T48" s="4">
        <f t="shared" si="14"/>
        <v>0.33085619359873886</v>
      </c>
      <c r="V48" s="1">
        <v>0.65102899999999997</v>
      </c>
      <c r="W48" s="1">
        <v>1.1885030000000001</v>
      </c>
      <c r="X48">
        <f t="shared" si="15"/>
        <v>10965.608655293101</v>
      </c>
      <c r="Y48" s="4">
        <f t="shared" si="16"/>
        <v>0.32829914993020287</v>
      </c>
      <c r="AA48" s="1">
        <v>0.67175600000000002</v>
      </c>
      <c r="AB48" s="1">
        <v>1.1776150000000001</v>
      </c>
      <c r="AC48">
        <f t="shared" si="17"/>
        <v>10921.198647453457</v>
      </c>
      <c r="AD48" s="4">
        <f t="shared" si="18"/>
        <v>0.32963414696604088</v>
      </c>
      <c r="AF48" s="1">
        <v>0.69601100000000005</v>
      </c>
      <c r="AG48" s="1">
        <v>1.1510370000000001</v>
      </c>
      <c r="AH48">
        <f t="shared" si="19"/>
        <v>10750.801234816516</v>
      </c>
      <c r="AI48" s="4">
        <f t="shared" si="20"/>
        <v>0.33485876274424875</v>
      </c>
      <c r="AK48" s="1">
        <v>0.71914999999999996</v>
      </c>
      <c r="AL48" s="1">
        <v>1.1276870000000001</v>
      </c>
      <c r="AM48">
        <f t="shared" si="21"/>
        <v>10600.5961061</v>
      </c>
      <c r="AN48" s="4">
        <f t="shared" si="22"/>
        <v>0.33960354342039484</v>
      </c>
      <c r="AP48" s="1">
        <v>0.74304700000000001</v>
      </c>
      <c r="AQ48" s="1">
        <v>1.104813</v>
      </c>
      <c r="AR48">
        <f t="shared" si="23"/>
        <v>10454.731178794729</v>
      </c>
      <c r="AS48" s="4">
        <f t="shared" si="24"/>
        <v>0.34434170888122495</v>
      </c>
      <c r="AU48" s="1">
        <v>0.777007</v>
      </c>
      <c r="AV48" s="1">
        <v>1.077636</v>
      </c>
      <c r="AW48">
        <f t="shared" si="25"/>
        <v>10311.896495743096</v>
      </c>
      <c r="AX48" s="4">
        <f t="shared" si="26"/>
        <v>0.34911133965378083</v>
      </c>
      <c r="BD48" s="61">
        <f t="shared" si="27"/>
        <v>0</v>
      </c>
      <c r="BE48" s="43">
        <f t="shared" si="28"/>
        <v>0</v>
      </c>
      <c r="BF48" s="35">
        <f t="shared" si="29"/>
        <v>0</v>
      </c>
      <c r="BG48" s="36">
        <f t="shared" si="30"/>
        <v>0</v>
      </c>
      <c r="BH48" s="35">
        <f t="shared" si="31"/>
        <v>0</v>
      </c>
      <c r="BI48" s="62">
        <f t="shared" si="32"/>
        <v>0</v>
      </c>
      <c r="BJ48" s="61">
        <f t="shared" si="33"/>
        <v>0</v>
      </c>
      <c r="BK48" s="43">
        <f t="shared" si="34"/>
        <v>0</v>
      </c>
      <c r="BL48" s="35">
        <f t="shared" si="35"/>
        <v>0</v>
      </c>
      <c r="BM48" s="36">
        <f t="shared" si="36"/>
        <v>0</v>
      </c>
      <c r="BN48" s="35">
        <f t="shared" si="37"/>
        <v>0</v>
      </c>
      <c r="BO48" s="62">
        <f t="shared" si="38"/>
        <v>0</v>
      </c>
      <c r="BP48" s="61">
        <f t="shared" si="39"/>
        <v>0</v>
      </c>
      <c r="BQ48" s="43">
        <f t="shared" si="40"/>
        <v>0</v>
      </c>
      <c r="BR48" s="35">
        <f t="shared" si="41"/>
        <v>0</v>
      </c>
      <c r="BS48" s="36">
        <f t="shared" si="42"/>
        <v>0</v>
      </c>
      <c r="BT48" s="35">
        <f t="shared" si="43"/>
        <v>0</v>
      </c>
      <c r="BU48" s="62">
        <f t="shared" si="44"/>
        <v>0</v>
      </c>
      <c r="BV48" s="61">
        <f t="shared" si="45"/>
        <v>0</v>
      </c>
      <c r="BW48" s="43">
        <f t="shared" si="46"/>
        <v>0</v>
      </c>
      <c r="BX48" s="35">
        <f t="shared" si="47"/>
        <v>0</v>
      </c>
      <c r="BY48" s="36">
        <f t="shared" si="48"/>
        <v>0</v>
      </c>
      <c r="BZ48" s="35">
        <f t="shared" si="49"/>
        <v>0</v>
      </c>
      <c r="CA48" s="62">
        <f t="shared" si="50"/>
        <v>0</v>
      </c>
      <c r="CB48" s="61">
        <f t="shared" si="51"/>
        <v>0</v>
      </c>
      <c r="CC48" s="43">
        <f t="shared" si="52"/>
        <v>0</v>
      </c>
      <c r="CD48" s="35">
        <f t="shared" si="53"/>
        <v>0</v>
      </c>
      <c r="CE48" s="36">
        <f t="shared" si="54"/>
        <v>0</v>
      </c>
      <c r="CF48" s="35">
        <f t="shared" si="55"/>
        <v>0</v>
      </c>
      <c r="CG48" s="62">
        <f t="shared" si="56"/>
        <v>0</v>
      </c>
      <c r="CH48" s="61">
        <f t="shared" si="57"/>
        <v>0</v>
      </c>
      <c r="CI48" s="43">
        <f t="shared" si="58"/>
        <v>0</v>
      </c>
      <c r="CJ48" s="35">
        <f t="shared" si="59"/>
        <v>0</v>
      </c>
      <c r="CK48" s="36">
        <f t="shared" si="60"/>
        <v>0</v>
      </c>
      <c r="CL48" s="35">
        <f t="shared" si="61"/>
        <v>0</v>
      </c>
      <c r="CM48" s="62">
        <f t="shared" si="62"/>
        <v>0</v>
      </c>
      <c r="CN48" s="61">
        <f t="shared" si="63"/>
        <v>0</v>
      </c>
      <c r="CO48" s="43">
        <f t="shared" si="64"/>
        <v>0</v>
      </c>
      <c r="CP48" s="35">
        <f t="shared" si="65"/>
        <v>0</v>
      </c>
      <c r="CQ48" s="36">
        <f t="shared" si="66"/>
        <v>0</v>
      </c>
      <c r="CR48" s="35">
        <f t="shared" si="67"/>
        <v>0</v>
      </c>
      <c r="CS48" s="62">
        <f t="shared" si="68"/>
        <v>0</v>
      </c>
      <c r="CT48" s="61">
        <f t="shared" si="69"/>
        <v>0</v>
      </c>
      <c r="CU48" s="43">
        <f t="shared" si="70"/>
        <v>0</v>
      </c>
      <c r="CV48" s="35">
        <f t="shared" si="71"/>
        <v>0</v>
      </c>
      <c r="CW48" s="36">
        <f t="shared" si="72"/>
        <v>0</v>
      </c>
      <c r="CX48" s="35">
        <f t="shared" si="6"/>
        <v>0</v>
      </c>
      <c r="CY48" s="62">
        <f t="shared" si="73"/>
        <v>0</v>
      </c>
      <c r="CZ48" s="61">
        <f t="shared" si="74"/>
        <v>0</v>
      </c>
      <c r="DA48" s="43">
        <f t="shared" si="75"/>
        <v>0</v>
      </c>
      <c r="DB48" s="35">
        <f t="shared" si="76"/>
        <v>0</v>
      </c>
      <c r="DC48" s="36">
        <f t="shared" si="77"/>
        <v>0</v>
      </c>
      <c r="DD48" s="35">
        <f t="shared" si="78"/>
        <v>0</v>
      </c>
      <c r="DE48" s="62">
        <f t="shared" si="7"/>
        <v>0</v>
      </c>
      <c r="DF48" s="61">
        <f t="shared" si="79"/>
        <v>0</v>
      </c>
      <c r="DG48" s="43">
        <f t="shared" si="80"/>
        <v>0</v>
      </c>
      <c r="DH48" s="35">
        <f t="shared" si="81"/>
        <v>0</v>
      </c>
      <c r="DI48" s="36">
        <f t="shared" si="82"/>
        <v>0</v>
      </c>
      <c r="DJ48" s="35">
        <f t="shared" si="83"/>
        <v>0</v>
      </c>
      <c r="DK48" s="62">
        <f t="shared" si="84"/>
        <v>0</v>
      </c>
    </row>
    <row r="49" spans="2:115" x14ac:dyDescent="0.3">
      <c r="B49" s="1">
        <v>0.67805199999999999</v>
      </c>
      <c r="C49" s="1">
        <v>1.1346240000000001</v>
      </c>
      <c r="D49">
        <f t="shared" si="85"/>
        <v>10625.297256060616</v>
      </c>
      <c r="E49" s="4">
        <f t="shared" si="8"/>
        <v>0.33881405039718565</v>
      </c>
      <c r="G49" s="1">
        <v>0.66795499999999997</v>
      </c>
      <c r="H49" s="1">
        <v>1.1425320000000001</v>
      </c>
      <c r="I49">
        <f t="shared" si="9"/>
        <v>10451.20147741608</v>
      </c>
      <c r="J49" s="4">
        <f t="shared" si="10"/>
        <v>0.34445800397009013</v>
      </c>
      <c r="L49" s="1">
        <v>0.66413299999999997</v>
      </c>
      <c r="M49" s="1">
        <v>1.120519</v>
      </c>
      <c r="N49">
        <f t="shared" si="11"/>
        <v>10277.510434290627</v>
      </c>
      <c r="O49" s="4">
        <f t="shared" si="12"/>
        <v>0.35027938166705241</v>
      </c>
      <c r="Q49" s="1">
        <v>0.66094600000000003</v>
      </c>
      <c r="R49" s="1">
        <v>1.1805380000000001</v>
      </c>
      <c r="S49">
        <f t="shared" si="13"/>
        <v>10828.010603190654</v>
      </c>
      <c r="T49" s="4">
        <f t="shared" si="14"/>
        <v>0.33247104495254187</v>
      </c>
      <c r="V49" s="1">
        <v>0.66489799999999999</v>
      </c>
      <c r="W49" s="1">
        <v>1.182736</v>
      </c>
      <c r="X49">
        <f t="shared" si="15"/>
        <v>10912.39998428842</v>
      </c>
      <c r="Y49" s="4">
        <f t="shared" si="16"/>
        <v>0.32989993082944624</v>
      </c>
      <c r="AA49" s="1">
        <v>0.68606599999999995</v>
      </c>
      <c r="AB49" s="1">
        <v>1.164039</v>
      </c>
      <c r="AC49">
        <f t="shared" si="17"/>
        <v>10795.294856453998</v>
      </c>
      <c r="AD49" s="4">
        <f t="shared" si="18"/>
        <v>0.3334786171076865</v>
      </c>
      <c r="AF49" s="1">
        <v>0.71083799999999997</v>
      </c>
      <c r="AG49" s="1">
        <v>1.13805</v>
      </c>
      <c r="AH49">
        <f t="shared" si="19"/>
        <v>10629.501349898339</v>
      </c>
      <c r="AI49" s="4">
        <f t="shared" si="20"/>
        <v>0.33868004542230296</v>
      </c>
      <c r="AK49" s="1">
        <v>0.73446999999999996</v>
      </c>
      <c r="AL49" s="1">
        <v>1.1148690000000001</v>
      </c>
      <c r="AM49">
        <f t="shared" si="21"/>
        <v>10480.103060699999</v>
      </c>
      <c r="AN49" s="4">
        <f t="shared" si="22"/>
        <v>0.34350807231084085</v>
      </c>
      <c r="AP49" s="1">
        <v>0.758876</v>
      </c>
      <c r="AQ49" s="1">
        <v>1.092068</v>
      </c>
      <c r="AR49">
        <f t="shared" si="23"/>
        <v>10334.126561657044</v>
      </c>
      <c r="AS49" s="4">
        <f t="shared" si="24"/>
        <v>0.34836035522897174</v>
      </c>
      <c r="AU49" s="1">
        <v>0.79356000000000004</v>
      </c>
      <c r="AV49" s="1">
        <v>1.065075</v>
      </c>
      <c r="AW49">
        <f t="shared" si="25"/>
        <v>10191.700314580785</v>
      </c>
      <c r="AX49" s="4">
        <f t="shared" si="26"/>
        <v>0.35322859668956808</v>
      </c>
      <c r="BD49" s="61">
        <f t="shared" si="27"/>
        <v>0</v>
      </c>
      <c r="BE49" s="43">
        <f t="shared" si="28"/>
        <v>0</v>
      </c>
      <c r="BF49" s="35">
        <f t="shared" si="29"/>
        <v>0</v>
      </c>
      <c r="BG49" s="36">
        <f t="shared" si="30"/>
        <v>0</v>
      </c>
      <c r="BH49" s="35">
        <f t="shared" si="31"/>
        <v>0</v>
      </c>
      <c r="BI49" s="62">
        <f t="shared" si="32"/>
        <v>0</v>
      </c>
      <c r="BJ49" s="61">
        <f t="shared" si="33"/>
        <v>0</v>
      </c>
      <c r="BK49" s="43">
        <f t="shared" si="34"/>
        <v>0</v>
      </c>
      <c r="BL49" s="35">
        <f t="shared" si="35"/>
        <v>0</v>
      </c>
      <c r="BM49" s="36">
        <f t="shared" si="36"/>
        <v>0</v>
      </c>
      <c r="BN49" s="35">
        <f t="shared" si="37"/>
        <v>0</v>
      </c>
      <c r="BO49" s="62">
        <f t="shared" si="38"/>
        <v>0</v>
      </c>
      <c r="BP49" s="61">
        <f t="shared" si="39"/>
        <v>0</v>
      </c>
      <c r="BQ49" s="43">
        <f t="shared" si="40"/>
        <v>0</v>
      </c>
      <c r="BR49" s="35">
        <f t="shared" si="41"/>
        <v>0</v>
      </c>
      <c r="BS49" s="36">
        <f t="shared" si="42"/>
        <v>0</v>
      </c>
      <c r="BT49" s="35">
        <f t="shared" si="43"/>
        <v>0</v>
      </c>
      <c r="BU49" s="62">
        <f t="shared" si="44"/>
        <v>0</v>
      </c>
      <c r="BV49" s="61">
        <f t="shared" si="45"/>
        <v>0</v>
      </c>
      <c r="BW49" s="43">
        <f t="shared" si="46"/>
        <v>0</v>
      </c>
      <c r="BX49" s="35">
        <f t="shared" si="47"/>
        <v>0</v>
      </c>
      <c r="BY49" s="36">
        <f t="shared" si="48"/>
        <v>0</v>
      </c>
      <c r="BZ49" s="35">
        <f t="shared" si="49"/>
        <v>0</v>
      </c>
      <c r="CA49" s="62">
        <f t="shared" si="50"/>
        <v>0</v>
      </c>
      <c r="CB49" s="61">
        <f t="shared" si="51"/>
        <v>0</v>
      </c>
      <c r="CC49" s="43">
        <f t="shared" si="52"/>
        <v>0</v>
      </c>
      <c r="CD49" s="35">
        <f t="shared" si="53"/>
        <v>0</v>
      </c>
      <c r="CE49" s="36">
        <f t="shared" si="54"/>
        <v>0</v>
      </c>
      <c r="CF49" s="35">
        <f t="shared" si="55"/>
        <v>0</v>
      </c>
      <c r="CG49" s="62">
        <f t="shared" si="56"/>
        <v>0</v>
      </c>
      <c r="CH49" s="61">
        <f t="shared" si="57"/>
        <v>0</v>
      </c>
      <c r="CI49" s="43">
        <f t="shared" si="58"/>
        <v>0</v>
      </c>
      <c r="CJ49" s="35">
        <f t="shared" si="59"/>
        <v>0</v>
      </c>
      <c r="CK49" s="36">
        <f t="shared" si="60"/>
        <v>0</v>
      </c>
      <c r="CL49" s="35">
        <f t="shared" si="61"/>
        <v>0</v>
      </c>
      <c r="CM49" s="62">
        <f t="shared" si="62"/>
        <v>0</v>
      </c>
      <c r="CN49" s="61">
        <f t="shared" si="63"/>
        <v>0</v>
      </c>
      <c r="CO49" s="43">
        <f t="shared" si="64"/>
        <v>0</v>
      </c>
      <c r="CP49" s="35">
        <f t="shared" si="65"/>
        <v>0</v>
      </c>
      <c r="CQ49" s="36">
        <f t="shared" si="66"/>
        <v>0</v>
      </c>
      <c r="CR49" s="35">
        <f t="shared" si="67"/>
        <v>0</v>
      </c>
      <c r="CS49" s="62">
        <f t="shared" si="68"/>
        <v>0</v>
      </c>
      <c r="CT49" s="61">
        <f t="shared" si="69"/>
        <v>0</v>
      </c>
      <c r="CU49" s="43">
        <f t="shared" si="70"/>
        <v>0</v>
      </c>
      <c r="CV49" s="35">
        <f t="shared" si="71"/>
        <v>0</v>
      </c>
      <c r="CW49" s="36">
        <f t="shared" si="72"/>
        <v>0</v>
      </c>
      <c r="CX49" s="35">
        <f t="shared" si="6"/>
        <v>0</v>
      </c>
      <c r="CY49" s="62">
        <f t="shared" si="73"/>
        <v>0</v>
      </c>
      <c r="CZ49" s="61">
        <f t="shared" si="74"/>
        <v>0</v>
      </c>
      <c r="DA49" s="43">
        <f t="shared" si="75"/>
        <v>0</v>
      </c>
      <c r="DB49" s="35">
        <f t="shared" si="76"/>
        <v>0</v>
      </c>
      <c r="DC49" s="36">
        <f t="shared" si="77"/>
        <v>0</v>
      </c>
      <c r="DD49" s="35">
        <f t="shared" si="78"/>
        <v>0</v>
      </c>
      <c r="DE49" s="62">
        <f t="shared" si="7"/>
        <v>0</v>
      </c>
      <c r="DF49" s="61">
        <f t="shared" si="79"/>
        <v>0</v>
      </c>
      <c r="DG49" s="43">
        <f t="shared" si="80"/>
        <v>0</v>
      </c>
      <c r="DH49" s="35">
        <f t="shared" si="81"/>
        <v>0</v>
      </c>
      <c r="DI49" s="36">
        <f t="shared" si="82"/>
        <v>0</v>
      </c>
      <c r="DJ49" s="35">
        <f t="shared" si="83"/>
        <v>0</v>
      </c>
      <c r="DK49" s="62">
        <f t="shared" si="84"/>
        <v>0</v>
      </c>
    </row>
    <row r="50" spans="2:115" x14ac:dyDescent="0.3">
      <c r="B50" s="1">
        <v>0.69216699999999998</v>
      </c>
      <c r="C50" s="1">
        <v>1.1223970000000001</v>
      </c>
      <c r="D50">
        <f t="shared" si="85"/>
        <v>10510.79632046446</v>
      </c>
      <c r="E50" s="4">
        <f t="shared" si="8"/>
        <v>0.34250497205343239</v>
      </c>
      <c r="G50" s="1">
        <v>0.68185899999999999</v>
      </c>
      <c r="H50" s="1">
        <v>1.1300479999999999</v>
      </c>
      <c r="I50">
        <f t="shared" si="9"/>
        <v>10337.005289261995</v>
      </c>
      <c r="J50" s="4">
        <f t="shared" si="10"/>
        <v>0.34826334119608643</v>
      </c>
      <c r="L50" s="1">
        <v>0.67795799999999995</v>
      </c>
      <c r="M50" s="1">
        <v>1.1729719999999999</v>
      </c>
      <c r="N50">
        <f t="shared" si="11"/>
        <v>10758.614507322716</v>
      </c>
      <c r="O50" s="4">
        <f t="shared" si="12"/>
        <v>0.33461557689883814</v>
      </c>
      <c r="Q50" s="1">
        <v>0.67470399999999997</v>
      </c>
      <c r="R50" s="1">
        <v>1.1748320000000001</v>
      </c>
      <c r="S50">
        <f t="shared" si="13"/>
        <v>10775.674610192711</v>
      </c>
      <c r="T50" s="4">
        <f t="shared" si="14"/>
        <v>0.33408581181495217</v>
      </c>
      <c r="V50" s="1">
        <v>0.67873899999999998</v>
      </c>
      <c r="W50" s="1">
        <v>1.1760710000000001</v>
      </c>
      <c r="X50">
        <f t="shared" si="15"/>
        <v>10850.90600262617</v>
      </c>
      <c r="Y50" s="4">
        <f t="shared" si="16"/>
        <v>0.33176953142241916</v>
      </c>
      <c r="AA50" s="1">
        <v>0.70034799999999997</v>
      </c>
      <c r="AB50" s="1">
        <v>1.150841</v>
      </c>
      <c r="AC50">
        <f t="shared" si="17"/>
        <v>10672.896636535696</v>
      </c>
      <c r="AD50" s="4">
        <f t="shared" si="18"/>
        <v>0.33730299492233445</v>
      </c>
      <c r="AF50" s="1">
        <v>0.72563599999999995</v>
      </c>
      <c r="AG50" s="1">
        <v>1.1255980000000001</v>
      </c>
      <c r="AH50">
        <f t="shared" si="19"/>
        <v>10513.198418736323</v>
      </c>
      <c r="AI50" s="4">
        <f t="shared" si="20"/>
        <v>0.34242671512640555</v>
      </c>
      <c r="AK50" s="1">
        <v>0.74975999999999998</v>
      </c>
      <c r="AL50" s="1">
        <v>1.1025069999999999</v>
      </c>
      <c r="AM50">
        <f t="shared" si="21"/>
        <v>10363.896552099999</v>
      </c>
      <c r="AN50" s="4">
        <f t="shared" si="22"/>
        <v>0.347359700273209</v>
      </c>
      <c r="AO50" s="15"/>
      <c r="AP50" s="14">
        <v>0.77467299999999994</v>
      </c>
      <c r="AQ50" s="14">
        <v>1.0797349999999999</v>
      </c>
      <c r="AR50">
        <f t="shared" si="23"/>
        <v>10217.420657917608</v>
      </c>
      <c r="AS50" s="16">
        <f t="shared" si="24"/>
        <v>0.35233941329510737</v>
      </c>
      <c r="AT50" s="15"/>
      <c r="AU50" s="14">
        <v>0.81007899999999999</v>
      </c>
      <c r="AV50" s="14">
        <v>1.0529630000000001</v>
      </c>
      <c r="AW50">
        <f t="shared" si="25"/>
        <v>10075.8006134234</v>
      </c>
      <c r="AX50" s="16">
        <f t="shared" si="26"/>
        <v>0.35729170694425316</v>
      </c>
      <c r="AY50" s="15"/>
      <c r="AZ50" s="15"/>
      <c r="BA50" s="15"/>
      <c r="BD50" s="61">
        <f t="shared" si="27"/>
        <v>0</v>
      </c>
      <c r="BE50" s="43">
        <f t="shared" si="28"/>
        <v>0</v>
      </c>
      <c r="BF50" s="35">
        <f t="shared" si="29"/>
        <v>0</v>
      </c>
      <c r="BG50" s="36">
        <f t="shared" si="30"/>
        <v>0</v>
      </c>
      <c r="BH50" s="35">
        <f t="shared" si="31"/>
        <v>0</v>
      </c>
      <c r="BI50" s="62">
        <f t="shared" si="32"/>
        <v>0</v>
      </c>
      <c r="BJ50" s="61">
        <f t="shared" si="33"/>
        <v>0</v>
      </c>
      <c r="BK50" s="43">
        <f t="shared" si="34"/>
        <v>0</v>
      </c>
      <c r="BL50" s="35">
        <f t="shared" si="35"/>
        <v>0</v>
      </c>
      <c r="BM50" s="36">
        <f t="shared" si="36"/>
        <v>0</v>
      </c>
      <c r="BN50" s="35">
        <f t="shared" si="37"/>
        <v>0</v>
      </c>
      <c r="BO50" s="62">
        <f t="shared" si="38"/>
        <v>0</v>
      </c>
      <c r="BP50" s="61">
        <f t="shared" si="39"/>
        <v>0</v>
      </c>
      <c r="BQ50" s="43">
        <f t="shared" si="40"/>
        <v>0</v>
      </c>
      <c r="BR50" s="35">
        <f t="shared" si="41"/>
        <v>0</v>
      </c>
      <c r="BS50" s="36">
        <f t="shared" si="42"/>
        <v>0</v>
      </c>
      <c r="BT50" s="35">
        <f t="shared" si="43"/>
        <v>0</v>
      </c>
      <c r="BU50" s="62">
        <f t="shared" si="44"/>
        <v>0</v>
      </c>
      <c r="BV50" s="61">
        <f t="shared" si="45"/>
        <v>0</v>
      </c>
      <c r="BW50" s="43">
        <f t="shared" si="46"/>
        <v>0</v>
      </c>
      <c r="BX50" s="35">
        <f t="shared" si="47"/>
        <v>0</v>
      </c>
      <c r="BY50" s="36">
        <f t="shared" si="48"/>
        <v>0</v>
      </c>
      <c r="BZ50" s="35">
        <f t="shared" si="49"/>
        <v>0</v>
      </c>
      <c r="CA50" s="62">
        <f t="shared" si="50"/>
        <v>0</v>
      </c>
      <c r="CB50" s="61">
        <f t="shared" si="51"/>
        <v>0</v>
      </c>
      <c r="CC50" s="43">
        <f t="shared" si="52"/>
        <v>0</v>
      </c>
      <c r="CD50" s="35">
        <f t="shared" si="53"/>
        <v>0</v>
      </c>
      <c r="CE50" s="36">
        <f t="shared" si="54"/>
        <v>0</v>
      </c>
      <c r="CF50" s="35">
        <f t="shared" si="55"/>
        <v>0</v>
      </c>
      <c r="CG50" s="62">
        <f t="shared" si="56"/>
        <v>0</v>
      </c>
      <c r="CH50" s="61">
        <f t="shared" si="57"/>
        <v>0</v>
      </c>
      <c r="CI50" s="43">
        <f t="shared" si="58"/>
        <v>0</v>
      </c>
      <c r="CJ50" s="35">
        <f t="shared" si="59"/>
        <v>0</v>
      </c>
      <c r="CK50" s="36">
        <f t="shared" si="60"/>
        <v>0</v>
      </c>
      <c r="CL50" s="35">
        <f t="shared" si="61"/>
        <v>0</v>
      </c>
      <c r="CM50" s="62">
        <f t="shared" si="62"/>
        <v>0</v>
      </c>
      <c r="CN50" s="61">
        <f t="shared" si="63"/>
        <v>0</v>
      </c>
      <c r="CO50" s="43">
        <f t="shared" si="64"/>
        <v>0</v>
      </c>
      <c r="CP50" s="35">
        <f t="shared" si="65"/>
        <v>0</v>
      </c>
      <c r="CQ50" s="36">
        <f t="shared" si="66"/>
        <v>0</v>
      </c>
      <c r="CR50" s="35">
        <f t="shared" si="67"/>
        <v>0</v>
      </c>
      <c r="CS50" s="62">
        <f t="shared" si="68"/>
        <v>0</v>
      </c>
      <c r="CT50" s="61">
        <f t="shared" si="69"/>
        <v>0</v>
      </c>
      <c r="CU50" s="43">
        <f t="shared" si="70"/>
        <v>0</v>
      </c>
      <c r="CV50" s="35">
        <f t="shared" si="71"/>
        <v>0</v>
      </c>
      <c r="CW50" s="36">
        <f t="shared" si="72"/>
        <v>0</v>
      </c>
      <c r="CX50" s="35">
        <f t="shared" si="6"/>
        <v>0</v>
      </c>
      <c r="CY50" s="62">
        <f t="shared" si="73"/>
        <v>0</v>
      </c>
      <c r="CZ50" s="61">
        <f t="shared" si="74"/>
        <v>0</v>
      </c>
      <c r="DA50" s="43">
        <f t="shared" si="75"/>
        <v>0</v>
      </c>
      <c r="DB50" s="35">
        <f t="shared" si="76"/>
        <v>0</v>
      </c>
      <c r="DC50" s="36">
        <f t="shared" si="77"/>
        <v>0</v>
      </c>
      <c r="DD50" s="35">
        <f t="shared" si="78"/>
        <v>0</v>
      </c>
      <c r="DE50" s="62">
        <f t="shared" si="7"/>
        <v>0</v>
      </c>
      <c r="DF50" s="61">
        <f t="shared" si="79"/>
        <v>0</v>
      </c>
      <c r="DG50" s="43">
        <f t="shared" si="80"/>
        <v>0</v>
      </c>
      <c r="DH50" s="35">
        <f t="shared" si="81"/>
        <v>0</v>
      </c>
      <c r="DI50" s="36">
        <f t="shared" si="82"/>
        <v>0</v>
      </c>
      <c r="DJ50" s="35">
        <f t="shared" si="83"/>
        <v>0</v>
      </c>
      <c r="DK50" s="62">
        <f t="shared" si="84"/>
        <v>0</v>
      </c>
    </row>
    <row r="51" spans="2:115" x14ac:dyDescent="0.3">
      <c r="B51" s="1">
        <v>0.70630999999999999</v>
      </c>
      <c r="C51" s="1">
        <v>1.1106400000000001</v>
      </c>
      <c r="D51">
        <f t="shared" si="85"/>
        <v>10400.696745768784</v>
      </c>
      <c r="E51" s="4">
        <f t="shared" si="8"/>
        <v>0.34613065720472558</v>
      </c>
      <c r="G51" s="1">
        <v>0.69579199999999997</v>
      </c>
      <c r="H51" s="1">
        <v>1.1179680000000001</v>
      </c>
      <c r="I51">
        <f t="shared" si="9"/>
        <v>10226.504652214468</v>
      </c>
      <c r="J51" s="4">
        <f t="shared" si="10"/>
        <v>0.35202643742214001</v>
      </c>
      <c r="L51" s="1">
        <v>0.69181199999999998</v>
      </c>
      <c r="M51" s="1">
        <v>1.1676409999999999</v>
      </c>
      <c r="N51">
        <f t="shared" si="11"/>
        <v>10709.718051193724</v>
      </c>
      <c r="O51" s="4">
        <f t="shared" si="12"/>
        <v>0.336143303006818</v>
      </c>
      <c r="Q51" s="1">
        <v>0.68849099999999996</v>
      </c>
      <c r="R51" s="1">
        <v>1.169592</v>
      </c>
      <c r="S51">
        <f t="shared" si="13"/>
        <v>10727.612815010581</v>
      </c>
      <c r="T51" s="4">
        <f t="shared" si="14"/>
        <v>0.3355825813327929</v>
      </c>
      <c r="V51" s="1">
        <v>0.692608</v>
      </c>
      <c r="W51" s="1">
        <v>1.163216</v>
      </c>
      <c r="X51">
        <f t="shared" si="15"/>
        <v>10732.300581130565</v>
      </c>
      <c r="Y51" s="4">
        <f t="shared" si="16"/>
        <v>0.33543600207484758</v>
      </c>
      <c r="AA51" s="1">
        <v>0.71465800000000002</v>
      </c>
      <c r="AB51" s="1">
        <v>1.138193</v>
      </c>
      <c r="AC51">
        <f t="shared" si="17"/>
        <v>10555.599115280454</v>
      </c>
      <c r="AD51" s="4">
        <f t="shared" si="18"/>
        <v>0.3410512241591841</v>
      </c>
      <c r="AF51" s="1">
        <v>0.74046299999999998</v>
      </c>
      <c r="AG51" s="1">
        <v>1.113489</v>
      </c>
      <c r="AH51">
        <f t="shared" si="19"/>
        <v>10400.099142038533</v>
      </c>
      <c r="AI51" s="4">
        <f t="shared" si="20"/>
        <v>0.34615054633934583</v>
      </c>
      <c r="AK51" s="1">
        <v>0.76507999999999998</v>
      </c>
      <c r="AL51" s="1">
        <v>1.090497</v>
      </c>
      <c r="AM51">
        <f t="shared" si="21"/>
        <v>10250.9989491</v>
      </c>
      <c r="AN51" s="4">
        <f t="shared" si="22"/>
        <v>0.35118528622189221</v>
      </c>
      <c r="AO51" s="15"/>
      <c r="AP51" s="14">
        <v>0.79050200000000004</v>
      </c>
      <c r="AQ51" s="14">
        <v>1.0678350000000001</v>
      </c>
      <c r="AR51">
        <f t="shared" si="23"/>
        <v>10104.81218840498</v>
      </c>
      <c r="AS51" s="16">
        <f t="shared" si="24"/>
        <v>0.35626589914564766</v>
      </c>
      <c r="AT51" s="15"/>
      <c r="AU51" s="14">
        <v>0.82663200000000003</v>
      </c>
      <c r="AV51" s="14">
        <v>1.0412269999999999</v>
      </c>
      <c r="AW51">
        <f t="shared" si="25"/>
        <v>9963.498855432721</v>
      </c>
      <c r="AX51" s="16">
        <f t="shared" si="26"/>
        <v>0.36131885517676909</v>
      </c>
      <c r="AY51" s="15"/>
      <c r="AZ51" s="15"/>
      <c r="BA51" s="15"/>
      <c r="BD51" s="61">
        <f t="shared" si="27"/>
        <v>0</v>
      </c>
      <c r="BE51" s="43">
        <f t="shared" si="28"/>
        <v>0</v>
      </c>
      <c r="BF51" s="35">
        <f t="shared" si="29"/>
        <v>0</v>
      </c>
      <c r="BG51" s="36">
        <f t="shared" si="30"/>
        <v>0</v>
      </c>
      <c r="BH51" s="35">
        <f t="shared" si="31"/>
        <v>0</v>
      </c>
      <c r="BI51" s="62">
        <f t="shared" si="32"/>
        <v>0</v>
      </c>
      <c r="BJ51" s="61">
        <f t="shared" si="33"/>
        <v>0</v>
      </c>
      <c r="BK51" s="43">
        <f t="shared" si="34"/>
        <v>0</v>
      </c>
      <c r="BL51" s="35">
        <f t="shared" si="35"/>
        <v>0</v>
      </c>
      <c r="BM51" s="36">
        <f t="shared" si="36"/>
        <v>0</v>
      </c>
      <c r="BN51" s="35">
        <f t="shared" si="37"/>
        <v>0</v>
      </c>
      <c r="BO51" s="62">
        <f t="shared" si="38"/>
        <v>0</v>
      </c>
      <c r="BP51" s="61">
        <f t="shared" si="39"/>
        <v>0</v>
      </c>
      <c r="BQ51" s="43">
        <f t="shared" si="40"/>
        <v>0</v>
      </c>
      <c r="BR51" s="35">
        <f t="shared" si="41"/>
        <v>0</v>
      </c>
      <c r="BS51" s="36">
        <f t="shared" si="42"/>
        <v>0</v>
      </c>
      <c r="BT51" s="35">
        <f t="shared" si="43"/>
        <v>0</v>
      </c>
      <c r="BU51" s="62">
        <f t="shared" si="44"/>
        <v>0</v>
      </c>
      <c r="BV51" s="61">
        <f t="shared" si="45"/>
        <v>0</v>
      </c>
      <c r="BW51" s="43">
        <f t="shared" si="46"/>
        <v>0</v>
      </c>
      <c r="BX51" s="35">
        <f t="shared" si="47"/>
        <v>0</v>
      </c>
      <c r="BY51" s="36">
        <f t="shared" si="48"/>
        <v>0</v>
      </c>
      <c r="BZ51" s="35">
        <f t="shared" si="49"/>
        <v>0</v>
      </c>
      <c r="CA51" s="62">
        <f t="shared" si="50"/>
        <v>0</v>
      </c>
      <c r="CB51" s="61">
        <f t="shared" si="51"/>
        <v>0</v>
      </c>
      <c r="CC51" s="43">
        <f t="shared" si="52"/>
        <v>0</v>
      </c>
      <c r="CD51" s="35">
        <f t="shared" si="53"/>
        <v>0</v>
      </c>
      <c r="CE51" s="36">
        <f t="shared" si="54"/>
        <v>0</v>
      </c>
      <c r="CF51" s="35">
        <f t="shared" si="55"/>
        <v>0</v>
      </c>
      <c r="CG51" s="62">
        <f t="shared" si="56"/>
        <v>0</v>
      </c>
      <c r="CH51" s="61">
        <f t="shared" si="57"/>
        <v>0</v>
      </c>
      <c r="CI51" s="43">
        <f t="shared" si="58"/>
        <v>0</v>
      </c>
      <c r="CJ51" s="35">
        <f t="shared" si="59"/>
        <v>0</v>
      </c>
      <c r="CK51" s="36">
        <f t="shared" si="60"/>
        <v>0</v>
      </c>
      <c r="CL51" s="35">
        <f t="shared" si="61"/>
        <v>0</v>
      </c>
      <c r="CM51" s="62">
        <f t="shared" si="62"/>
        <v>0</v>
      </c>
      <c r="CN51" s="61">
        <f t="shared" si="63"/>
        <v>0</v>
      </c>
      <c r="CO51" s="43">
        <f t="shared" si="64"/>
        <v>0</v>
      </c>
      <c r="CP51" s="35">
        <f t="shared" si="65"/>
        <v>0</v>
      </c>
      <c r="CQ51" s="36">
        <f t="shared" si="66"/>
        <v>0</v>
      </c>
      <c r="CR51" s="35">
        <f t="shared" si="67"/>
        <v>0</v>
      </c>
      <c r="CS51" s="62">
        <f t="shared" si="68"/>
        <v>0</v>
      </c>
      <c r="CT51" s="61">
        <f t="shared" si="69"/>
        <v>0</v>
      </c>
      <c r="CU51" s="43">
        <f t="shared" si="70"/>
        <v>0</v>
      </c>
      <c r="CV51" s="35">
        <f t="shared" si="71"/>
        <v>0</v>
      </c>
      <c r="CW51" s="36">
        <f t="shared" si="72"/>
        <v>0</v>
      </c>
      <c r="CX51" s="35">
        <f t="shared" si="6"/>
        <v>0</v>
      </c>
      <c r="CY51" s="62">
        <f t="shared" si="73"/>
        <v>0</v>
      </c>
      <c r="CZ51" s="61">
        <f t="shared" si="74"/>
        <v>0</v>
      </c>
      <c r="DA51" s="43">
        <f t="shared" si="75"/>
        <v>0</v>
      </c>
      <c r="DB51" s="35">
        <f t="shared" si="76"/>
        <v>0</v>
      </c>
      <c r="DC51" s="36">
        <f t="shared" si="77"/>
        <v>0</v>
      </c>
      <c r="DD51" s="35">
        <f t="shared" si="78"/>
        <v>0</v>
      </c>
      <c r="DE51" s="62">
        <f t="shared" si="7"/>
        <v>0</v>
      </c>
      <c r="DF51" s="61">
        <f t="shared" si="79"/>
        <v>0</v>
      </c>
      <c r="DG51" s="43">
        <f t="shared" si="80"/>
        <v>0</v>
      </c>
      <c r="DH51" s="35">
        <f t="shared" si="81"/>
        <v>0</v>
      </c>
      <c r="DI51" s="36">
        <f t="shared" si="82"/>
        <v>0</v>
      </c>
      <c r="DJ51" s="35">
        <f t="shared" si="83"/>
        <v>0</v>
      </c>
      <c r="DK51" s="62">
        <f t="shared" si="84"/>
        <v>0</v>
      </c>
    </row>
    <row r="52" spans="2:115" x14ac:dyDescent="0.3">
      <c r="B52" s="1">
        <v>0.72042499999999998</v>
      </c>
      <c r="C52" s="1">
        <v>1.0991500000000001</v>
      </c>
      <c r="D52">
        <f t="shared" si="85"/>
        <v>10293.09751864849</v>
      </c>
      <c r="E52" s="4">
        <f t="shared" si="8"/>
        <v>0.34974894520116129</v>
      </c>
      <c r="G52" s="1">
        <v>0.70969700000000002</v>
      </c>
      <c r="H52" s="1">
        <v>1.1064130000000001</v>
      </c>
      <c r="I52">
        <f t="shared" si="9"/>
        <v>10120.806402124717</v>
      </c>
      <c r="J52" s="4">
        <f t="shared" si="10"/>
        <v>0.35570288146646412</v>
      </c>
      <c r="L52" s="1">
        <v>0.70563699999999996</v>
      </c>
      <c r="M52" s="1">
        <v>1.1625380000000001</v>
      </c>
      <c r="N52">
        <f t="shared" si="11"/>
        <v>10662.912833481054</v>
      </c>
      <c r="O52" s="4">
        <f t="shared" si="12"/>
        <v>0.33761881544188999</v>
      </c>
      <c r="Q52" s="1">
        <v>0.70224900000000001</v>
      </c>
      <c r="R52" s="1">
        <v>1.1644939999999999</v>
      </c>
      <c r="S52">
        <f t="shared" si="13"/>
        <v>10680.853457789495</v>
      </c>
      <c r="T52" s="4">
        <f t="shared" si="14"/>
        <v>0.33705171728337285</v>
      </c>
      <c r="V52" s="1">
        <v>0.70644899999999999</v>
      </c>
      <c r="W52" s="1">
        <v>1.150655</v>
      </c>
      <c r="X52">
        <f t="shared" si="15"/>
        <v>10616.407722366945</v>
      </c>
      <c r="Y52" s="4">
        <f t="shared" si="16"/>
        <v>0.33909775266217584</v>
      </c>
      <c r="AA52" s="1">
        <v>0.72894000000000003</v>
      </c>
      <c r="AB52" s="1">
        <v>1.1260300000000001</v>
      </c>
      <c r="AC52">
        <f t="shared" si="17"/>
        <v>10442.799482846276</v>
      </c>
      <c r="AD52" s="4">
        <f t="shared" si="18"/>
        <v>0.34473514558174667</v>
      </c>
      <c r="AF52" s="1">
        <v>0.75526000000000004</v>
      </c>
      <c r="AG52" s="1">
        <v>1.1019369999999999</v>
      </c>
      <c r="AH52">
        <f t="shared" si="19"/>
        <v>10292.202301307434</v>
      </c>
      <c r="AI52" s="4">
        <f t="shared" si="20"/>
        <v>0.34977936641827245</v>
      </c>
      <c r="AK52" s="1">
        <v>0.78036899999999998</v>
      </c>
      <c r="AL52" s="1">
        <v>1.078902</v>
      </c>
      <c r="AM52">
        <f t="shared" si="21"/>
        <v>10142.0024706</v>
      </c>
      <c r="AN52" s="4">
        <f t="shared" si="22"/>
        <v>0.35495948758007195</v>
      </c>
      <c r="AO52" s="15"/>
      <c r="AP52" s="14">
        <v>0.80630000000000002</v>
      </c>
      <c r="AQ52" s="14">
        <v>1.056306</v>
      </c>
      <c r="AR52">
        <f t="shared" si="23"/>
        <v>9995.714453530094</v>
      </c>
      <c r="AS52" s="16">
        <f t="shared" si="24"/>
        <v>0.36015434581853439</v>
      </c>
      <c r="AT52" s="15"/>
      <c r="AU52" s="14">
        <v>0.84315099999999998</v>
      </c>
      <c r="AV52" s="14">
        <v>1.0328139999999999</v>
      </c>
      <c r="AW52">
        <f t="shared" si="25"/>
        <v>9882.9948770776118</v>
      </c>
      <c r="AX52" s="16">
        <f t="shared" si="26"/>
        <v>0.36426205262432709</v>
      </c>
      <c r="AY52" s="15"/>
      <c r="AZ52" s="15"/>
      <c r="BA52" s="15"/>
      <c r="BD52" s="61">
        <f t="shared" si="27"/>
        <v>0</v>
      </c>
      <c r="BE52" s="43">
        <f t="shared" si="28"/>
        <v>0</v>
      </c>
      <c r="BF52" s="35">
        <f t="shared" si="29"/>
        <v>0</v>
      </c>
      <c r="BG52" s="36">
        <f t="shared" si="30"/>
        <v>0</v>
      </c>
      <c r="BH52" s="35">
        <f t="shared" si="31"/>
        <v>0</v>
      </c>
      <c r="BI52" s="62">
        <f t="shared" si="32"/>
        <v>0</v>
      </c>
      <c r="BJ52" s="61">
        <f t="shared" si="33"/>
        <v>0</v>
      </c>
      <c r="BK52" s="43">
        <f t="shared" si="34"/>
        <v>0</v>
      </c>
      <c r="BL52" s="35">
        <f t="shared" si="35"/>
        <v>0</v>
      </c>
      <c r="BM52" s="36">
        <f t="shared" si="36"/>
        <v>0</v>
      </c>
      <c r="BN52" s="35">
        <f t="shared" si="37"/>
        <v>0</v>
      </c>
      <c r="BO52" s="62">
        <f t="shared" si="38"/>
        <v>0</v>
      </c>
      <c r="BP52" s="61">
        <f t="shared" si="39"/>
        <v>0</v>
      </c>
      <c r="BQ52" s="43">
        <f t="shared" si="40"/>
        <v>0</v>
      </c>
      <c r="BR52" s="35">
        <f t="shared" si="41"/>
        <v>0</v>
      </c>
      <c r="BS52" s="36">
        <f t="shared" si="42"/>
        <v>0</v>
      </c>
      <c r="BT52" s="35">
        <f t="shared" si="43"/>
        <v>0</v>
      </c>
      <c r="BU52" s="62">
        <f t="shared" si="44"/>
        <v>0</v>
      </c>
      <c r="BV52" s="61">
        <f t="shared" si="45"/>
        <v>0</v>
      </c>
      <c r="BW52" s="43">
        <f t="shared" si="46"/>
        <v>0</v>
      </c>
      <c r="BX52" s="35">
        <f t="shared" si="47"/>
        <v>0</v>
      </c>
      <c r="BY52" s="36">
        <f t="shared" si="48"/>
        <v>0</v>
      </c>
      <c r="BZ52" s="35">
        <f t="shared" si="49"/>
        <v>0</v>
      </c>
      <c r="CA52" s="62">
        <f t="shared" si="50"/>
        <v>0</v>
      </c>
      <c r="CB52" s="61">
        <f t="shared" si="51"/>
        <v>0</v>
      </c>
      <c r="CC52" s="43">
        <f t="shared" si="52"/>
        <v>0</v>
      </c>
      <c r="CD52" s="35">
        <f t="shared" si="53"/>
        <v>0</v>
      </c>
      <c r="CE52" s="36">
        <f t="shared" si="54"/>
        <v>0</v>
      </c>
      <c r="CF52" s="35">
        <f t="shared" si="55"/>
        <v>0</v>
      </c>
      <c r="CG52" s="62">
        <f t="shared" si="56"/>
        <v>0</v>
      </c>
      <c r="CH52" s="61">
        <f t="shared" si="57"/>
        <v>0</v>
      </c>
      <c r="CI52" s="43">
        <f t="shared" si="58"/>
        <v>0</v>
      </c>
      <c r="CJ52" s="35">
        <f t="shared" si="59"/>
        <v>0</v>
      </c>
      <c r="CK52" s="36">
        <f t="shared" si="60"/>
        <v>0</v>
      </c>
      <c r="CL52" s="35">
        <f t="shared" si="61"/>
        <v>0</v>
      </c>
      <c r="CM52" s="62">
        <f t="shared" si="62"/>
        <v>0</v>
      </c>
      <c r="CN52" s="61">
        <f t="shared" si="63"/>
        <v>0</v>
      </c>
      <c r="CO52" s="43">
        <f t="shared" si="64"/>
        <v>0</v>
      </c>
      <c r="CP52" s="35">
        <f t="shared" si="65"/>
        <v>0</v>
      </c>
      <c r="CQ52" s="36">
        <f t="shared" si="66"/>
        <v>0</v>
      </c>
      <c r="CR52" s="35">
        <f t="shared" si="67"/>
        <v>0</v>
      </c>
      <c r="CS52" s="62">
        <f t="shared" si="68"/>
        <v>0</v>
      </c>
      <c r="CT52" s="61">
        <f t="shared" si="69"/>
        <v>0</v>
      </c>
      <c r="CU52" s="43">
        <f t="shared" si="70"/>
        <v>0</v>
      </c>
      <c r="CV52" s="35">
        <f t="shared" si="71"/>
        <v>0</v>
      </c>
      <c r="CW52" s="36">
        <f t="shared" si="72"/>
        <v>0</v>
      </c>
      <c r="CX52" s="35">
        <f t="shared" si="6"/>
        <v>0</v>
      </c>
      <c r="CY52" s="62">
        <f t="shared" si="73"/>
        <v>0</v>
      </c>
      <c r="CZ52" s="61">
        <f t="shared" si="74"/>
        <v>0</v>
      </c>
      <c r="DA52" s="43">
        <f t="shared" si="75"/>
        <v>0</v>
      </c>
      <c r="DB52" s="35">
        <f t="shared" si="76"/>
        <v>0</v>
      </c>
      <c r="DC52" s="36">
        <f t="shared" si="77"/>
        <v>0</v>
      </c>
      <c r="DD52" s="35">
        <f t="shared" si="78"/>
        <v>0</v>
      </c>
      <c r="DE52" s="62">
        <f t="shared" si="7"/>
        <v>0</v>
      </c>
      <c r="DF52" s="61">
        <f t="shared" si="79"/>
        <v>0</v>
      </c>
      <c r="DG52" s="43">
        <f t="shared" si="80"/>
        <v>0</v>
      </c>
      <c r="DH52" s="35">
        <f t="shared" si="81"/>
        <v>0</v>
      </c>
      <c r="DI52" s="36">
        <f t="shared" si="82"/>
        <v>0</v>
      </c>
      <c r="DJ52" s="35">
        <f t="shared" si="83"/>
        <v>0</v>
      </c>
      <c r="DK52" s="62">
        <f t="shared" si="84"/>
        <v>0</v>
      </c>
    </row>
    <row r="53" spans="2:115" x14ac:dyDescent="0.3">
      <c r="B53" s="1">
        <v>0.734568</v>
      </c>
      <c r="C53" s="1">
        <v>1.088012</v>
      </c>
      <c r="D53">
        <f t="shared" si="85"/>
        <v>10188.794629904727</v>
      </c>
      <c r="E53" s="4">
        <f t="shared" si="8"/>
        <v>0.35332933195392741</v>
      </c>
      <c r="G53" s="1">
        <v>0.72362899999999997</v>
      </c>
      <c r="H53" s="1">
        <v>1.1556839999999999</v>
      </c>
      <c r="I53">
        <f t="shared" si="9"/>
        <v>10571.508131261202</v>
      </c>
      <c r="J53" s="4">
        <f t="shared" si="10"/>
        <v>0.34053797767551952</v>
      </c>
      <c r="L53" s="1">
        <v>0.71948999999999996</v>
      </c>
      <c r="M53" s="1">
        <v>1.1577189999999999</v>
      </c>
      <c r="N53">
        <f t="shared" si="11"/>
        <v>10618.712491690467</v>
      </c>
      <c r="O53" s="4">
        <f t="shared" si="12"/>
        <v>0.33902415220462301</v>
      </c>
      <c r="Q53" s="1">
        <v>0.71603600000000001</v>
      </c>
      <c r="R53" s="1">
        <v>1.1596139999999999</v>
      </c>
      <c r="S53">
        <f t="shared" si="13"/>
        <v>10636.09361800156</v>
      </c>
      <c r="T53" s="4">
        <f t="shared" si="14"/>
        <v>0.33847013097995021</v>
      </c>
      <c r="V53" s="1">
        <v>0.72031800000000001</v>
      </c>
      <c r="W53" s="1">
        <v>1.1385590000000001</v>
      </c>
      <c r="X53">
        <f t="shared" si="15"/>
        <v>10504.805141393717</v>
      </c>
      <c r="Y53" s="4">
        <f t="shared" si="16"/>
        <v>0.3427003120518971</v>
      </c>
      <c r="AA53" s="1">
        <v>0.74324999999999997</v>
      </c>
      <c r="AB53" s="1">
        <v>1.1145780000000001</v>
      </c>
      <c r="AC53">
        <f t="shared" si="17"/>
        <v>10336.593662683797</v>
      </c>
      <c r="AD53" s="4">
        <f t="shared" si="18"/>
        <v>0.34827720983135702</v>
      </c>
      <c r="AF53" s="1">
        <v>0.77008699999999997</v>
      </c>
      <c r="AG53" s="1">
        <v>1.0905560000000001</v>
      </c>
      <c r="AH53">
        <f t="shared" si="19"/>
        <v>10185.902617758213</v>
      </c>
      <c r="AI53" s="4">
        <f t="shared" si="20"/>
        <v>0.35342965028192208</v>
      </c>
      <c r="AK53" s="1">
        <v>0.79568899999999998</v>
      </c>
      <c r="AL53" s="1">
        <v>1.067753</v>
      </c>
      <c r="AM53">
        <f t="shared" si="21"/>
        <v>10037.198525899999</v>
      </c>
      <c r="AN53" s="4">
        <f t="shared" si="22"/>
        <v>0.3586658160352767</v>
      </c>
      <c r="AO53" s="15"/>
      <c r="AP53" s="14">
        <v>0.822129</v>
      </c>
      <c r="AQ53" s="14">
        <v>1.0452729999999999</v>
      </c>
      <c r="AR53">
        <f t="shared" si="23"/>
        <v>9891.3103153676693</v>
      </c>
      <c r="AS53" s="16">
        <f t="shared" si="24"/>
        <v>0.36395582437716539</v>
      </c>
      <c r="AT53" s="15"/>
      <c r="AU53" s="14">
        <v>0.85970400000000002</v>
      </c>
      <c r="AV53" s="14">
        <v>1.0284979999999999</v>
      </c>
      <c r="AW53">
        <f t="shared" si="25"/>
        <v>9841.695082642731</v>
      </c>
      <c r="AX53" s="16">
        <f t="shared" si="26"/>
        <v>0.36579064579526815</v>
      </c>
      <c r="AY53" s="15"/>
      <c r="AZ53" s="15"/>
      <c r="BA53" s="15"/>
      <c r="BD53" s="61">
        <f t="shared" si="27"/>
        <v>0</v>
      </c>
      <c r="BE53" s="43">
        <f t="shared" si="28"/>
        <v>0</v>
      </c>
      <c r="BF53" s="35">
        <f t="shared" si="29"/>
        <v>0</v>
      </c>
      <c r="BG53" s="36">
        <f t="shared" si="30"/>
        <v>0</v>
      </c>
      <c r="BH53" s="35">
        <f t="shared" si="31"/>
        <v>0</v>
      </c>
      <c r="BI53" s="62">
        <f t="shared" si="32"/>
        <v>0</v>
      </c>
      <c r="BJ53" s="61">
        <f t="shared" si="33"/>
        <v>0</v>
      </c>
      <c r="BK53" s="43">
        <f t="shared" si="34"/>
        <v>0</v>
      </c>
      <c r="BL53" s="35">
        <f t="shared" si="35"/>
        <v>0</v>
      </c>
      <c r="BM53" s="36">
        <f t="shared" si="36"/>
        <v>0</v>
      </c>
      <c r="BN53" s="35">
        <f t="shared" si="37"/>
        <v>0</v>
      </c>
      <c r="BO53" s="62">
        <f t="shared" si="38"/>
        <v>0</v>
      </c>
      <c r="BP53" s="61">
        <f t="shared" si="39"/>
        <v>0</v>
      </c>
      <c r="BQ53" s="43">
        <f t="shared" si="40"/>
        <v>0</v>
      </c>
      <c r="BR53" s="35">
        <f t="shared" si="41"/>
        <v>0</v>
      </c>
      <c r="BS53" s="36">
        <f t="shared" si="42"/>
        <v>0</v>
      </c>
      <c r="BT53" s="35">
        <f t="shared" si="43"/>
        <v>0</v>
      </c>
      <c r="BU53" s="62">
        <f t="shared" si="44"/>
        <v>0</v>
      </c>
      <c r="BV53" s="61">
        <f t="shared" si="45"/>
        <v>0</v>
      </c>
      <c r="BW53" s="43">
        <f t="shared" si="46"/>
        <v>0</v>
      </c>
      <c r="BX53" s="35">
        <f t="shared" si="47"/>
        <v>0</v>
      </c>
      <c r="BY53" s="36">
        <f t="shared" si="48"/>
        <v>0</v>
      </c>
      <c r="BZ53" s="35">
        <f t="shared" si="49"/>
        <v>0</v>
      </c>
      <c r="CA53" s="62">
        <f t="shared" si="50"/>
        <v>0</v>
      </c>
      <c r="CB53" s="61">
        <f t="shared" si="51"/>
        <v>0</v>
      </c>
      <c r="CC53" s="43">
        <f t="shared" si="52"/>
        <v>0</v>
      </c>
      <c r="CD53" s="35">
        <f t="shared" si="53"/>
        <v>0</v>
      </c>
      <c r="CE53" s="36">
        <f t="shared" si="54"/>
        <v>0</v>
      </c>
      <c r="CF53" s="35">
        <f t="shared" si="55"/>
        <v>0</v>
      </c>
      <c r="CG53" s="62">
        <f t="shared" si="56"/>
        <v>0</v>
      </c>
      <c r="CH53" s="61">
        <f t="shared" si="57"/>
        <v>0</v>
      </c>
      <c r="CI53" s="43">
        <f t="shared" si="58"/>
        <v>0</v>
      </c>
      <c r="CJ53" s="35">
        <f t="shared" si="59"/>
        <v>0</v>
      </c>
      <c r="CK53" s="36">
        <f t="shared" si="60"/>
        <v>0</v>
      </c>
      <c r="CL53" s="35">
        <f t="shared" si="61"/>
        <v>0</v>
      </c>
      <c r="CM53" s="62">
        <f t="shared" si="62"/>
        <v>0</v>
      </c>
      <c r="CN53" s="61">
        <f t="shared" si="63"/>
        <v>0</v>
      </c>
      <c r="CO53" s="43">
        <f t="shared" si="64"/>
        <v>0</v>
      </c>
      <c r="CP53" s="35">
        <f t="shared" si="65"/>
        <v>0</v>
      </c>
      <c r="CQ53" s="36">
        <f t="shared" si="66"/>
        <v>0</v>
      </c>
      <c r="CR53" s="35">
        <f t="shared" si="67"/>
        <v>0</v>
      </c>
      <c r="CS53" s="62">
        <f t="shared" si="68"/>
        <v>0</v>
      </c>
      <c r="CT53" s="61">
        <f t="shared" si="69"/>
        <v>0</v>
      </c>
      <c r="CU53" s="43">
        <f t="shared" si="70"/>
        <v>0</v>
      </c>
      <c r="CV53" s="35">
        <f t="shared" si="71"/>
        <v>0</v>
      </c>
      <c r="CW53" s="36">
        <f t="shared" si="72"/>
        <v>0</v>
      </c>
      <c r="CX53" s="35">
        <f t="shared" si="6"/>
        <v>0</v>
      </c>
      <c r="CY53" s="62">
        <f t="shared" si="73"/>
        <v>0</v>
      </c>
      <c r="CZ53" s="61">
        <f t="shared" si="74"/>
        <v>0</v>
      </c>
      <c r="DA53" s="43">
        <f t="shared" si="75"/>
        <v>0</v>
      </c>
      <c r="DB53" s="35">
        <f t="shared" si="76"/>
        <v>0</v>
      </c>
      <c r="DC53" s="36">
        <f t="shared" si="77"/>
        <v>0</v>
      </c>
      <c r="DD53" s="35">
        <f t="shared" si="78"/>
        <v>0</v>
      </c>
      <c r="DE53" s="62">
        <f t="shared" si="7"/>
        <v>0</v>
      </c>
      <c r="DF53" s="61">
        <f t="shared" si="79"/>
        <v>0</v>
      </c>
      <c r="DG53" s="43">
        <f t="shared" si="80"/>
        <v>0</v>
      </c>
      <c r="DH53" s="35">
        <f t="shared" si="81"/>
        <v>0</v>
      </c>
      <c r="DI53" s="36">
        <f t="shared" si="82"/>
        <v>0</v>
      </c>
      <c r="DJ53" s="35">
        <f t="shared" si="83"/>
        <v>0</v>
      </c>
      <c r="DK53" s="62">
        <f t="shared" si="84"/>
        <v>0</v>
      </c>
    </row>
    <row r="54" spans="2:115" x14ac:dyDescent="0.3">
      <c r="B54" s="1">
        <v>0.74868299999999999</v>
      </c>
      <c r="C54" s="1">
        <v>1.077216</v>
      </c>
      <c r="D54">
        <f t="shared" si="85"/>
        <v>10087.69443356089</v>
      </c>
      <c r="E54" s="4">
        <f t="shared" si="8"/>
        <v>0.35687044484843938</v>
      </c>
      <c r="G54" s="1">
        <v>0.73753400000000002</v>
      </c>
      <c r="H54" s="1">
        <v>1.1509389999999999</v>
      </c>
      <c r="I54">
        <f t="shared" si="9"/>
        <v>10528.103700566622</v>
      </c>
      <c r="J54" s="4">
        <f t="shared" si="10"/>
        <v>0.34194192063346107</v>
      </c>
      <c r="L54" s="1">
        <v>0.73331500000000005</v>
      </c>
      <c r="M54" s="1">
        <v>1.153205</v>
      </c>
      <c r="N54">
        <f t="shared" si="11"/>
        <v>10577.309639886626</v>
      </c>
      <c r="O54" s="4">
        <f t="shared" si="12"/>
        <v>0.34035119728598462</v>
      </c>
      <c r="Q54" s="1">
        <v>0.72979499999999997</v>
      </c>
      <c r="R54" s="1">
        <v>1.1492009999999999</v>
      </c>
      <c r="S54">
        <f t="shared" si="13"/>
        <v>10540.584558224557</v>
      </c>
      <c r="T54" s="4">
        <f t="shared" si="14"/>
        <v>0.34153703526727175</v>
      </c>
      <c r="V54" s="1">
        <v>0.73415900000000001</v>
      </c>
      <c r="W54" s="1">
        <v>1.1268750000000001</v>
      </c>
      <c r="X54">
        <f t="shared" si="15"/>
        <v>10397.003838806811</v>
      </c>
      <c r="Y54" s="4">
        <f t="shared" si="16"/>
        <v>0.34625359919200971</v>
      </c>
      <c r="AA54" s="1">
        <v>0.75753199999999998</v>
      </c>
      <c r="AB54" s="1">
        <v>1.103494</v>
      </c>
      <c r="AC54">
        <f t="shared" si="17"/>
        <v>10233.800673626783</v>
      </c>
      <c r="AD54" s="4">
        <f t="shared" si="18"/>
        <v>0.35177546591047554</v>
      </c>
      <c r="AF54" s="1">
        <v>0.78488500000000005</v>
      </c>
      <c r="AG54" s="1">
        <v>1.0795600000000001</v>
      </c>
      <c r="AH54">
        <f t="shared" si="19"/>
        <v>10083.198872893328</v>
      </c>
      <c r="AI54" s="4">
        <f t="shared" si="20"/>
        <v>0.35702955434885675</v>
      </c>
      <c r="AK54" s="1">
        <v>0.81097799999999998</v>
      </c>
      <c r="AL54" s="1">
        <v>1.0568280000000001</v>
      </c>
      <c r="AM54">
        <f t="shared" si="21"/>
        <v>9934.5002483999997</v>
      </c>
      <c r="AN54" s="4">
        <f t="shared" si="22"/>
        <v>0.36237353767038233</v>
      </c>
      <c r="AO54" s="15"/>
      <c r="AP54" s="14">
        <v>0.83792599999999995</v>
      </c>
      <c r="AQ54" s="14">
        <v>1.034578</v>
      </c>
      <c r="AR54">
        <f t="shared" si="23"/>
        <v>9790.1046362552697</v>
      </c>
      <c r="AS54" s="16">
        <f t="shared" si="24"/>
        <v>0.36771823527485864</v>
      </c>
      <c r="AT54" s="15"/>
      <c r="AU54" s="14">
        <v>0.87622299999999997</v>
      </c>
      <c r="AV54" s="14">
        <v>1.0243180000000001</v>
      </c>
      <c r="AW54">
        <f t="shared" si="25"/>
        <v>9801.6966719064494</v>
      </c>
      <c r="AX54" s="16">
        <f t="shared" si="26"/>
        <v>0.36728335108739829</v>
      </c>
      <c r="AY54" s="15"/>
      <c r="AZ54" s="15"/>
      <c r="BA54" s="15"/>
      <c r="BD54" s="61">
        <f t="shared" si="27"/>
        <v>0</v>
      </c>
      <c r="BE54" s="43">
        <f t="shared" si="28"/>
        <v>0</v>
      </c>
      <c r="BF54" s="35">
        <f t="shared" si="29"/>
        <v>0</v>
      </c>
      <c r="BG54" s="36">
        <f t="shared" si="30"/>
        <v>0</v>
      </c>
      <c r="BH54" s="35">
        <f t="shared" si="31"/>
        <v>0</v>
      </c>
      <c r="BI54" s="62">
        <f t="shared" si="32"/>
        <v>0</v>
      </c>
      <c r="BJ54" s="61">
        <f t="shared" si="33"/>
        <v>0</v>
      </c>
      <c r="BK54" s="43">
        <f t="shared" si="34"/>
        <v>0</v>
      </c>
      <c r="BL54" s="35">
        <f t="shared" si="35"/>
        <v>0</v>
      </c>
      <c r="BM54" s="36">
        <f t="shared" si="36"/>
        <v>0</v>
      </c>
      <c r="BN54" s="35">
        <f t="shared" si="37"/>
        <v>0</v>
      </c>
      <c r="BO54" s="62">
        <f t="shared" si="38"/>
        <v>0</v>
      </c>
      <c r="BP54" s="61">
        <f t="shared" si="39"/>
        <v>0</v>
      </c>
      <c r="BQ54" s="43">
        <f t="shared" si="40"/>
        <v>0</v>
      </c>
      <c r="BR54" s="35">
        <f t="shared" si="41"/>
        <v>0</v>
      </c>
      <c r="BS54" s="36">
        <f t="shared" si="42"/>
        <v>0</v>
      </c>
      <c r="BT54" s="35">
        <f t="shared" si="43"/>
        <v>0</v>
      </c>
      <c r="BU54" s="62">
        <f t="shared" si="44"/>
        <v>0</v>
      </c>
      <c r="BV54" s="61">
        <f t="shared" si="45"/>
        <v>0</v>
      </c>
      <c r="BW54" s="43">
        <f t="shared" si="46"/>
        <v>0</v>
      </c>
      <c r="BX54" s="35">
        <f t="shared" si="47"/>
        <v>0</v>
      </c>
      <c r="BY54" s="36">
        <f t="shared" si="48"/>
        <v>0</v>
      </c>
      <c r="BZ54" s="35">
        <f t="shared" si="49"/>
        <v>0</v>
      </c>
      <c r="CA54" s="62">
        <f t="shared" si="50"/>
        <v>0</v>
      </c>
      <c r="CB54" s="61">
        <f t="shared" si="51"/>
        <v>0</v>
      </c>
      <c r="CC54" s="43">
        <f t="shared" si="52"/>
        <v>0</v>
      </c>
      <c r="CD54" s="35">
        <f t="shared" si="53"/>
        <v>0</v>
      </c>
      <c r="CE54" s="36">
        <f t="shared" si="54"/>
        <v>0</v>
      </c>
      <c r="CF54" s="35">
        <f t="shared" si="55"/>
        <v>0</v>
      </c>
      <c r="CG54" s="62">
        <f t="shared" si="56"/>
        <v>0</v>
      </c>
      <c r="CH54" s="61">
        <f t="shared" si="57"/>
        <v>0</v>
      </c>
      <c r="CI54" s="43">
        <f t="shared" si="58"/>
        <v>0</v>
      </c>
      <c r="CJ54" s="35">
        <f t="shared" si="59"/>
        <v>0</v>
      </c>
      <c r="CK54" s="36">
        <f t="shared" si="60"/>
        <v>0</v>
      </c>
      <c r="CL54" s="35">
        <f t="shared" si="61"/>
        <v>0</v>
      </c>
      <c r="CM54" s="62">
        <f t="shared" si="62"/>
        <v>0</v>
      </c>
      <c r="CN54" s="61">
        <f t="shared" si="63"/>
        <v>0</v>
      </c>
      <c r="CO54" s="43">
        <f t="shared" si="64"/>
        <v>0</v>
      </c>
      <c r="CP54" s="35">
        <f t="shared" si="65"/>
        <v>0</v>
      </c>
      <c r="CQ54" s="36">
        <f t="shared" si="66"/>
        <v>0</v>
      </c>
      <c r="CR54" s="35">
        <f t="shared" si="67"/>
        <v>0</v>
      </c>
      <c r="CS54" s="62">
        <f t="shared" si="68"/>
        <v>0</v>
      </c>
      <c r="CT54" s="61">
        <f t="shared" si="69"/>
        <v>0</v>
      </c>
      <c r="CU54" s="43">
        <f t="shared" si="70"/>
        <v>0</v>
      </c>
      <c r="CV54" s="35">
        <f t="shared" si="71"/>
        <v>0</v>
      </c>
      <c r="CW54" s="36">
        <f t="shared" si="72"/>
        <v>0</v>
      </c>
      <c r="CX54" s="35">
        <f t="shared" si="6"/>
        <v>0</v>
      </c>
      <c r="CY54" s="62">
        <f t="shared" si="73"/>
        <v>0</v>
      </c>
      <c r="CZ54" s="61">
        <f t="shared" si="74"/>
        <v>0</v>
      </c>
      <c r="DA54" s="43">
        <f t="shared" si="75"/>
        <v>0</v>
      </c>
      <c r="DB54" s="35">
        <f t="shared" si="76"/>
        <v>0</v>
      </c>
      <c r="DC54" s="36">
        <f t="shared" si="77"/>
        <v>0</v>
      </c>
      <c r="DD54" s="35">
        <f t="shared" si="78"/>
        <v>0</v>
      </c>
      <c r="DE54" s="62">
        <f t="shared" si="7"/>
        <v>0</v>
      </c>
      <c r="DF54" s="61">
        <f t="shared" si="79"/>
        <v>0</v>
      </c>
      <c r="DG54" s="43">
        <f t="shared" si="80"/>
        <v>0</v>
      </c>
      <c r="DH54" s="35">
        <f t="shared" si="81"/>
        <v>0</v>
      </c>
      <c r="DI54" s="36">
        <f t="shared" si="82"/>
        <v>0</v>
      </c>
      <c r="DJ54" s="35">
        <f t="shared" si="83"/>
        <v>0</v>
      </c>
      <c r="DK54" s="62">
        <f t="shared" si="84"/>
        <v>0</v>
      </c>
    </row>
    <row r="55" spans="2:115" x14ac:dyDescent="0.3">
      <c r="B55" s="1">
        <v>0.76279799999999998</v>
      </c>
      <c r="C55" s="1">
        <v>1.066794</v>
      </c>
      <c r="D55">
        <f t="shared" si="85"/>
        <v>9990.0965967421162</v>
      </c>
      <c r="E55" s="4">
        <f t="shared" si="8"/>
        <v>0.36035687594592436</v>
      </c>
      <c r="G55" s="1">
        <v>0.75143800000000005</v>
      </c>
      <c r="H55" s="1">
        <v>1.1466209999999999</v>
      </c>
      <c r="I55">
        <f t="shared" si="9"/>
        <v>10488.605211264368</v>
      </c>
      <c r="J55" s="4">
        <f t="shared" si="10"/>
        <v>0.34322962181222483</v>
      </c>
      <c r="L55" s="1">
        <v>0.74714000000000003</v>
      </c>
      <c r="M55" s="1">
        <v>1.1489100000000001</v>
      </c>
      <c r="N55">
        <f t="shared" si="11"/>
        <v>10537.915477614253</v>
      </c>
      <c r="O55" s="4">
        <f t="shared" si="12"/>
        <v>0.34162354097900083</v>
      </c>
      <c r="Q55" s="1">
        <v>0.74355300000000002</v>
      </c>
      <c r="R55" s="1">
        <v>1.1377330000000001</v>
      </c>
      <c r="S55">
        <f t="shared" si="13"/>
        <v>10435.398934722909</v>
      </c>
      <c r="T55" s="4">
        <f t="shared" si="14"/>
        <v>0.3449796239242281</v>
      </c>
      <c r="V55" s="1">
        <v>0.748</v>
      </c>
      <c r="W55" s="1">
        <v>1.115354</v>
      </c>
      <c r="X55">
        <f t="shared" si="15"/>
        <v>10290.706440047505</v>
      </c>
      <c r="Y55" s="4">
        <f t="shared" si="16"/>
        <v>0.34983021048877394</v>
      </c>
      <c r="AA55" s="1">
        <v>0.77181299999999997</v>
      </c>
      <c r="AB55" s="1">
        <v>1.092722</v>
      </c>
      <c r="AC55">
        <f t="shared" si="17"/>
        <v>10133.901171811362</v>
      </c>
      <c r="AD55" s="4">
        <f t="shared" si="18"/>
        <v>0.35524325123811384</v>
      </c>
      <c r="AF55" s="1">
        <v>0.799682</v>
      </c>
      <c r="AG55" s="1">
        <v>1.0689070000000001</v>
      </c>
      <c r="AH55">
        <f t="shared" si="19"/>
        <v>9983.6987824926709</v>
      </c>
      <c r="AI55" s="4">
        <f t="shared" si="20"/>
        <v>0.36058780201912033</v>
      </c>
      <c r="AK55" s="1">
        <v>0.826268</v>
      </c>
      <c r="AL55" s="1">
        <v>1.046254</v>
      </c>
      <c r="AM55">
        <f t="shared" si="21"/>
        <v>9835.1014761999995</v>
      </c>
      <c r="AN55" s="4">
        <f t="shared" si="22"/>
        <v>0.36603587758719663</v>
      </c>
      <c r="AO55" s="15"/>
      <c r="AP55" s="14">
        <v>0.85372300000000001</v>
      </c>
      <c r="AQ55" s="14">
        <v>1.0271170000000001</v>
      </c>
      <c r="AR55">
        <f t="shared" si="23"/>
        <v>9719.5019647398294</v>
      </c>
      <c r="AS55" s="16">
        <f t="shared" si="24"/>
        <v>0.37038934845221411</v>
      </c>
      <c r="AT55" s="15"/>
      <c r="AU55" s="14">
        <v>0.89274200000000004</v>
      </c>
      <c r="AV55" s="14">
        <v>1.0205979999999999</v>
      </c>
      <c r="AW55">
        <f t="shared" si="25"/>
        <v>9766.1000001507109</v>
      </c>
      <c r="AX55" s="16">
        <f t="shared" si="26"/>
        <v>0.36862207021681581</v>
      </c>
      <c r="AY55" s="15"/>
      <c r="AZ55" s="15"/>
      <c r="BA55" s="15"/>
      <c r="BD55" s="61">
        <f t="shared" si="27"/>
        <v>0</v>
      </c>
      <c r="BE55" s="43">
        <f t="shared" si="28"/>
        <v>0</v>
      </c>
      <c r="BF55" s="35">
        <f t="shared" si="29"/>
        <v>0</v>
      </c>
      <c r="BG55" s="36">
        <f t="shared" si="30"/>
        <v>0</v>
      </c>
      <c r="BH55" s="35">
        <f t="shared" si="31"/>
        <v>0</v>
      </c>
      <c r="BI55" s="62">
        <f t="shared" si="32"/>
        <v>0</v>
      </c>
      <c r="BJ55" s="61">
        <f t="shared" si="33"/>
        <v>0</v>
      </c>
      <c r="BK55" s="43">
        <f t="shared" si="34"/>
        <v>0</v>
      </c>
      <c r="BL55" s="35">
        <f t="shared" si="35"/>
        <v>0</v>
      </c>
      <c r="BM55" s="36">
        <f t="shared" si="36"/>
        <v>0</v>
      </c>
      <c r="BN55" s="35">
        <f t="shared" si="37"/>
        <v>0</v>
      </c>
      <c r="BO55" s="62">
        <f t="shared" si="38"/>
        <v>0</v>
      </c>
      <c r="BP55" s="61">
        <f t="shared" si="39"/>
        <v>0</v>
      </c>
      <c r="BQ55" s="43">
        <f t="shared" si="40"/>
        <v>0</v>
      </c>
      <c r="BR55" s="35">
        <f t="shared" si="41"/>
        <v>0</v>
      </c>
      <c r="BS55" s="36">
        <f t="shared" si="42"/>
        <v>0</v>
      </c>
      <c r="BT55" s="35">
        <f t="shared" si="43"/>
        <v>0</v>
      </c>
      <c r="BU55" s="62">
        <f t="shared" si="44"/>
        <v>0</v>
      </c>
      <c r="BV55" s="61">
        <f t="shared" si="45"/>
        <v>0</v>
      </c>
      <c r="BW55" s="43">
        <f t="shared" si="46"/>
        <v>0</v>
      </c>
      <c r="BX55" s="35">
        <f t="shared" si="47"/>
        <v>0</v>
      </c>
      <c r="BY55" s="36">
        <f t="shared" si="48"/>
        <v>0</v>
      </c>
      <c r="BZ55" s="35">
        <f t="shared" si="49"/>
        <v>0</v>
      </c>
      <c r="CA55" s="62">
        <f t="shared" si="50"/>
        <v>0</v>
      </c>
      <c r="CB55" s="61">
        <f t="shared" si="51"/>
        <v>0</v>
      </c>
      <c r="CC55" s="43">
        <f t="shared" si="52"/>
        <v>0</v>
      </c>
      <c r="CD55" s="35">
        <f t="shared" si="53"/>
        <v>0</v>
      </c>
      <c r="CE55" s="36">
        <f t="shared" si="54"/>
        <v>0</v>
      </c>
      <c r="CF55" s="35">
        <f t="shared" si="55"/>
        <v>0</v>
      </c>
      <c r="CG55" s="62">
        <f t="shared" si="56"/>
        <v>0</v>
      </c>
      <c r="CH55" s="61">
        <f t="shared" si="57"/>
        <v>0</v>
      </c>
      <c r="CI55" s="43">
        <f t="shared" si="58"/>
        <v>0</v>
      </c>
      <c r="CJ55" s="35">
        <f t="shared" si="59"/>
        <v>0</v>
      </c>
      <c r="CK55" s="36">
        <f t="shared" si="60"/>
        <v>0</v>
      </c>
      <c r="CL55" s="35">
        <f t="shared" si="61"/>
        <v>0</v>
      </c>
      <c r="CM55" s="62">
        <f t="shared" si="62"/>
        <v>0</v>
      </c>
      <c r="CN55" s="61">
        <f t="shared" si="63"/>
        <v>0</v>
      </c>
      <c r="CO55" s="43">
        <f t="shared" si="64"/>
        <v>0</v>
      </c>
      <c r="CP55" s="35">
        <f t="shared" si="65"/>
        <v>0</v>
      </c>
      <c r="CQ55" s="36">
        <f t="shared" si="66"/>
        <v>0</v>
      </c>
      <c r="CR55" s="35">
        <f t="shared" si="67"/>
        <v>0</v>
      </c>
      <c r="CS55" s="62">
        <f t="shared" si="68"/>
        <v>0</v>
      </c>
      <c r="CT55" s="61">
        <f t="shared" si="69"/>
        <v>0</v>
      </c>
      <c r="CU55" s="43">
        <f t="shared" si="70"/>
        <v>0</v>
      </c>
      <c r="CV55" s="35">
        <f t="shared" si="71"/>
        <v>0</v>
      </c>
      <c r="CW55" s="36">
        <f t="shared" si="72"/>
        <v>0</v>
      </c>
      <c r="CX55" s="35">
        <f t="shared" si="6"/>
        <v>0</v>
      </c>
      <c r="CY55" s="62">
        <f t="shared" si="73"/>
        <v>0</v>
      </c>
      <c r="CZ55" s="61">
        <f t="shared" si="74"/>
        <v>0</v>
      </c>
      <c r="DA55" s="43">
        <f t="shared" si="75"/>
        <v>0</v>
      </c>
      <c r="DB55" s="35">
        <f t="shared" si="76"/>
        <v>0</v>
      </c>
      <c r="DC55" s="36">
        <f t="shared" si="77"/>
        <v>0</v>
      </c>
      <c r="DD55" s="35">
        <f t="shared" si="78"/>
        <v>0</v>
      </c>
      <c r="DE55" s="62">
        <f t="shared" si="7"/>
        <v>0</v>
      </c>
      <c r="DF55" s="61">
        <f t="shared" si="79"/>
        <v>0</v>
      </c>
      <c r="DG55" s="43" t="str">
        <f t="shared" si="80"/>
        <v>min</v>
      </c>
      <c r="DH55" s="35">
        <f t="shared" si="81"/>
        <v>0.89274200000000004</v>
      </c>
      <c r="DI55" s="36">
        <f t="shared" si="82"/>
        <v>1.0205979999999999</v>
      </c>
      <c r="DJ55" s="35">
        <f t="shared" si="83"/>
        <v>0</v>
      </c>
      <c r="DK55" s="62">
        <f t="shared" si="84"/>
        <v>0</v>
      </c>
    </row>
    <row r="56" spans="2:115" x14ac:dyDescent="0.3">
      <c r="B56" s="1">
        <v>0.77691299999999996</v>
      </c>
      <c r="C56" s="1">
        <v>1.0566390000000001</v>
      </c>
      <c r="D56">
        <f t="shared" si="85"/>
        <v>9894.9991074987247</v>
      </c>
      <c r="E56" s="4">
        <f t="shared" si="8"/>
        <v>0.36382014398281382</v>
      </c>
      <c r="G56" s="1">
        <v>0.765343</v>
      </c>
      <c r="H56" s="1">
        <v>1.1426419999999999</v>
      </c>
      <c r="I56">
        <f t="shared" si="9"/>
        <v>10452.207691826279</v>
      </c>
      <c r="J56" s="4">
        <f t="shared" si="10"/>
        <v>0.34442484364477682</v>
      </c>
      <c r="L56" s="1">
        <v>0.760965</v>
      </c>
      <c r="M56" s="1">
        <v>1.1447780000000001</v>
      </c>
      <c r="N56">
        <f t="shared" si="11"/>
        <v>10500.016367367582</v>
      </c>
      <c r="O56" s="4">
        <f t="shared" si="12"/>
        <v>0.34285660841332022</v>
      </c>
      <c r="Q56" s="1">
        <v>0.75731199999999999</v>
      </c>
      <c r="R56" s="1">
        <v>1.1266130000000001</v>
      </c>
      <c r="S56">
        <f t="shared" si="13"/>
        <v>10333.405201435644</v>
      </c>
      <c r="T56" s="4">
        <f t="shared" si="14"/>
        <v>0.34838467376657634</v>
      </c>
      <c r="V56" s="1">
        <v>0.76184099999999999</v>
      </c>
      <c r="W56" s="1">
        <v>1.1043419999999999</v>
      </c>
      <c r="X56">
        <f t="shared" si="15"/>
        <v>10189.105280848002</v>
      </c>
      <c r="Y56" s="4">
        <f t="shared" si="16"/>
        <v>0.35331855945847929</v>
      </c>
      <c r="AA56" s="1">
        <v>0.78609499999999999</v>
      </c>
      <c r="AB56" s="1">
        <v>1.0823160000000001</v>
      </c>
      <c r="AC56">
        <f t="shared" si="17"/>
        <v>10037.395953106266</v>
      </c>
      <c r="AD56" s="4">
        <f t="shared" si="18"/>
        <v>0.35865876137783631</v>
      </c>
      <c r="AF56" s="1">
        <v>0.81447899999999995</v>
      </c>
      <c r="AG56" s="1">
        <v>1.058543</v>
      </c>
      <c r="AH56">
        <f t="shared" si="19"/>
        <v>9886.8979811303871</v>
      </c>
      <c r="AI56" s="4">
        <f t="shared" si="20"/>
        <v>0.36411825092873118</v>
      </c>
      <c r="AK56" s="1">
        <v>0.841557</v>
      </c>
      <c r="AL56" s="1">
        <v>1.036063</v>
      </c>
      <c r="AM56">
        <f t="shared" si="21"/>
        <v>9739.3030188999983</v>
      </c>
      <c r="AN56" s="4">
        <f t="shared" si="22"/>
        <v>0.36963630693221833</v>
      </c>
      <c r="AO56" s="15"/>
      <c r="AP56" s="14">
        <v>0.86952099999999999</v>
      </c>
      <c r="AQ56" s="14">
        <v>1.0235350000000001</v>
      </c>
      <c r="AR56">
        <f t="shared" si="23"/>
        <v>9685.6058691268699</v>
      </c>
      <c r="AS56" s="16">
        <f t="shared" si="24"/>
        <v>0.37168557637422528</v>
      </c>
      <c r="AT56" s="15"/>
      <c r="AU56" s="14">
        <v>0.90926099999999999</v>
      </c>
      <c r="AV56" s="14">
        <v>1.016961</v>
      </c>
      <c r="AW56">
        <f t="shared" si="25"/>
        <v>9731.2975552110311</v>
      </c>
      <c r="AX56" s="16">
        <f t="shared" si="26"/>
        <v>0.36994038868662782</v>
      </c>
      <c r="AY56" s="15"/>
      <c r="AZ56" s="15"/>
      <c r="BA56" s="15"/>
      <c r="BD56" s="61">
        <f t="shared" si="27"/>
        <v>0</v>
      </c>
      <c r="BE56" s="43">
        <f t="shared" si="28"/>
        <v>0</v>
      </c>
      <c r="BF56" s="35">
        <f t="shared" si="29"/>
        <v>0</v>
      </c>
      <c r="BG56" s="36">
        <f t="shared" si="30"/>
        <v>0</v>
      </c>
      <c r="BH56" s="35">
        <f t="shared" si="31"/>
        <v>0</v>
      </c>
      <c r="BI56" s="62">
        <f t="shared" si="32"/>
        <v>0</v>
      </c>
      <c r="BJ56" s="61">
        <f t="shared" si="33"/>
        <v>0</v>
      </c>
      <c r="BK56" s="43">
        <f t="shared" si="34"/>
        <v>0</v>
      </c>
      <c r="BL56" s="35">
        <f t="shared" si="35"/>
        <v>0</v>
      </c>
      <c r="BM56" s="36">
        <f t="shared" si="36"/>
        <v>0</v>
      </c>
      <c r="BN56" s="35">
        <f t="shared" si="37"/>
        <v>0</v>
      </c>
      <c r="BO56" s="62">
        <f t="shared" si="38"/>
        <v>0</v>
      </c>
      <c r="BP56" s="61">
        <f t="shared" si="39"/>
        <v>0</v>
      </c>
      <c r="BQ56" s="43">
        <f t="shared" si="40"/>
        <v>0</v>
      </c>
      <c r="BR56" s="35">
        <f t="shared" si="41"/>
        <v>0</v>
      </c>
      <c r="BS56" s="36">
        <f t="shared" si="42"/>
        <v>0</v>
      </c>
      <c r="BT56" s="35">
        <f t="shared" si="43"/>
        <v>0</v>
      </c>
      <c r="BU56" s="62">
        <f t="shared" si="44"/>
        <v>0</v>
      </c>
      <c r="BV56" s="61">
        <f t="shared" si="45"/>
        <v>0</v>
      </c>
      <c r="BW56" s="43">
        <f t="shared" si="46"/>
        <v>0</v>
      </c>
      <c r="BX56" s="35">
        <f t="shared" si="47"/>
        <v>0</v>
      </c>
      <c r="BY56" s="36">
        <f t="shared" si="48"/>
        <v>0</v>
      </c>
      <c r="BZ56" s="35">
        <f t="shared" si="49"/>
        <v>0</v>
      </c>
      <c r="CA56" s="62">
        <f t="shared" si="50"/>
        <v>0</v>
      </c>
      <c r="CB56" s="61">
        <f t="shared" si="51"/>
        <v>0</v>
      </c>
      <c r="CC56" s="43">
        <f t="shared" si="52"/>
        <v>0</v>
      </c>
      <c r="CD56" s="35">
        <f t="shared" si="53"/>
        <v>0</v>
      </c>
      <c r="CE56" s="36">
        <f t="shared" si="54"/>
        <v>0</v>
      </c>
      <c r="CF56" s="35">
        <f t="shared" si="55"/>
        <v>0</v>
      </c>
      <c r="CG56" s="62">
        <f t="shared" si="56"/>
        <v>0</v>
      </c>
      <c r="CH56" s="61">
        <f t="shared" si="57"/>
        <v>0</v>
      </c>
      <c r="CI56" s="43">
        <f t="shared" si="58"/>
        <v>0</v>
      </c>
      <c r="CJ56" s="35">
        <f t="shared" si="59"/>
        <v>0</v>
      </c>
      <c r="CK56" s="36">
        <f t="shared" si="60"/>
        <v>0</v>
      </c>
      <c r="CL56" s="35">
        <f t="shared" si="61"/>
        <v>0</v>
      </c>
      <c r="CM56" s="62">
        <f t="shared" si="62"/>
        <v>0</v>
      </c>
      <c r="CN56" s="61">
        <f t="shared" si="63"/>
        <v>0</v>
      </c>
      <c r="CO56" s="43">
        <f t="shared" si="64"/>
        <v>0</v>
      </c>
      <c r="CP56" s="35">
        <f t="shared" si="65"/>
        <v>0</v>
      </c>
      <c r="CQ56" s="36">
        <f t="shared" si="66"/>
        <v>0</v>
      </c>
      <c r="CR56" s="35">
        <f t="shared" si="67"/>
        <v>0</v>
      </c>
      <c r="CS56" s="62">
        <f t="shared" si="68"/>
        <v>0</v>
      </c>
      <c r="CT56" s="61">
        <f t="shared" si="69"/>
        <v>0</v>
      </c>
      <c r="CU56" s="43">
        <f t="shared" si="70"/>
        <v>0</v>
      </c>
      <c r="CV56" s="35">
        <f t="shared" si="71"/>
        <v>0</v>
      </c>
      <c r="CW56" s="36">
        <f t="shared" si="72"/>
        <v>0</v>
      </c>
      <c r="CX56" s="35">
        <f t="shared" si="6"/>
        <v>0</v>
      </c>
      <c r="CY56" s="62">
        <f t="shared" si="73"/>
        <v>0</v>
      </c>
      <c r="CZ56" s="61">
        <f t="shared" si="74"/>
        <v>0</v>
      </c>
      <c r="DA56" s="43">
        <f t="shared" si="75"/>
        <v>0</v>
      </c>
      <c r="DB56" s="35">
        <f t="shared" si="76"/>
        <v>0</v>
      </c>
      <c r="DC56" s="36">
        <f t="shared" si="77"/>
        <v>0</v>
      </c>
      <c r="DD56" s="35">
        <f t="shared" si="78"/>
        <v>0</v>
      </c>
      <c r="DE56" s="62">
        <f t="shared" si="7"/>
        <v>0</v>
      </c>
      <c r="DF56" s="61">
        <f t="shared" si="79"/>
        <v>1</v>
      </c>
      <c r="DG56" s="43" t="str">
        <f t="shared" si="80"/>
        <v>min</v>
      </c>
      <c r="DH56" s="35">
        <f t="shared" si="81"/>
        <v>0</v>
      </c>
      <c r="DI56" s="36">
        <f t="shared" si="82"/>
        <v>0</v>
      </c>
      <c r="DJ56" s="35">
        <f t="shared" si="83"/>
        <v>0.90926099999999999</v>
      </c>
      <c r="DK56" s="62">
        <f t="shared" si="84"/>
        <v>1.016961</v>
      </c>
    </row>
    <row r="57" spans="2:115" x14ac:dyDescent="0.3">
      <c r="B57" s="1">
        <v>0.79102700000000004</v>
      </c>
      <c r="C57" s="1">
        <v>1.1077360000000001</v>
      </c>
      <c r="D57">
        <f t="shared" si="85"/>
        <v>10373.501954162402</v>
      </c>
      <c r="E57" s="4">
        <f t="shared" si="8"/>
        <v>0.34703806061900705</v>
      </c>
      <c r="G57" s="1">
        <v>0.77924800000000005</v>
      </c>
      <c r="H57" s="1">
        <v>1.139165</v>
      </c>
      <c r="I57">
        <f t="shared" si="9"/>
        <v>10420.4021690602</v>
      </c>
      <c r="J57" s="4">
        <f t="shared" si="10"/>
        <v>0.34547610942396845</v>
      </c>
      <c r="L57" s="1">
        <v>0.77478999999999998</v>
      </c>
      <c r="M57" s="1">
        <v>1.137985</v>
      </c>
      <c r="N57">
        <f t="shared" si="11"/>
        <v>10437.710303498841</v>
      </c>
      <c r="O57" s="4">
        <f t="shared" si="12"/>
        <v>0.34490323024133351</v>
      </c>
      <c r="Q57" s="1">
        <v>0.77107099999999995</v>
      </c>
      <c r="R57" s="1">
        <v>1.1158189999999999</v>
      </c>
      <c r="S57">
        <f t="shared" si="13"/>
        <v>10234.401572199786</v>
      </c>
      <c r="T57" s="4">
        <f t="shared" si="14"/>
        <v>0.35175481190603847</v>
      </c>
      <c r="V57" s="1">
        <v>0.77568199999999998</v>
      </c>
      <c r="W57" s="1">
        <v>1.0940669999999999</v>
      </c>
      <c r="X57">
        <f t="shared" si="15"/>
        <v>10094.303981286168</v>
      </c>
      <c r="Y57" s="4">
        <f t="shared" si="16"/>
        <v>0.35663677324103182</v>
      </c>
      <c r="AA57" s="1">
        <v>0.80037700000000001</v>
      </c>
      <c r="AB57" s="1">
        <v>1.0721909999999999</v>
      </c>
      <c r="AC57">
        <f t="shared" si="17"/>
        <v>9943.4967277181149</v>
      </c>
      <c r="AD57" s="4">
        <f t="shared" si="18"/>
        <v>0.36204567654402464</v>
      </c>
      <c r="AF57" s="1">
        <v>0.82927600000000001</v>
      </c>
      <c r="AG57" s="1">
        <v>1.0485009999999999</v>
      </c>
      <c r="AH57">
        <f t="shared" si="19"/>
        <v>9793.1046921222769</v>
      </c>
      <c r="AI57" s="4">
        <f t="shared" si="20"/>
        <v>0.36760558711231744</v>
      </c>
      <c r="AK57" s="1">
        <v>0.856846</v>
      </c>
      <c r="AL57" s="1">
        <v>1.026106</v>
      </c>
      <c r="AM57">
        <f t="shared" si="21"/>
        <v>9645.7042317999985</v>
      </c>
      <c r="AN57" s="4">
        <f t="shared" si="22"/>
        <v>0.37322313783285049</v>
      </c>
      <c r="AO57" s="15"/>
      <c r="AP57" s="14">
        <v>0.88531800000000005</v>
      </c>
      <c r="AQ57" s="14">
        <v>1.0200579999999999</v>
      </c>
      <c r="AR57">
        <f t="shared" si="23"/>
        <v>9652.7033776566641</v>
      </c>
      <c r="AS57" s="16">
        <f t="shared" si="24"/>
        <v>0.37295251487091202</v>
      </c>
      <c r="AT57" s="15"/>
      <c r="AU57" s="14">
        <v>0.92578099999999997</v>
      </c>
      <c r="AV57" s="14">
        <v>1.013565</v>
      </c>
      <c r="AW57">
        <f t="shared" si="25"/>
        <v>9698.8012387372473</v>
      </c>
      <c r="AX57" s="16">
        <f t="shared" si="26"/>
        <v>0.37117989237902027</v>
      </c>
      <c r="AY57" s="15"/>
      <c r="AZ57" s="15"/>
      <c r="BA57" s="15"/>
      <c r="BD57" s="61">
        <f t="shared" si="27"/>
        <v>0</v>
      </c>
      <c r="BE57" s="43">
        <f t="shared" si="28"/>
        <v>0</v>
      </c>
      <c r="BF57" s="35">
        <f t="shared" si="29"/>
        <v>0</v>
      </c>
      <c r="BG57" s="36">
        <f t="shared" si="30"/>
        <v>0</v>
      </c>
      <c r="BH57" s="35">
        <f t="shared" si="31"/>
        <v>0</v>
      </c>
      <c r="BI57" s="62">
        <f t="shared" si="32"/>
        <v>0</v>
      </c>
      <c r="BJ57" s="61">
        <f t="shared" si="33"/>
        <v>0</v>
      </c>
      <c r="BK57" s="43">
        <f t="shared" si="34"/>
        <v>0</v>
      </c>
      <c r="BL57" s="35">
        <f t="shared" si="35"/>
        <v>0</v>
      </c>
      <c r="BM57" s="36">
        <f t="shared" si="36"/>
        <v>0</v>
      </c>
      <c r="BN57" s="35">
        <f t="shared" si="37"/>
        <v>0</v>
      </c>
      <c r="BO57" s="62">
        <f t="shared" si="38"/>
        <v>0</v>
      </c>
      <c r="BP57" s="61">
        <f t="shared" si="39"/>
        <v>0</v>
      </c>
      <c r="BQ57" s="43">
        <f t="shared" si="40"/>
        <v>0</v>
      </c>
      <c r="BR57" s="35">
        <f t="shared" si="41"/>
        <v>0</v>
      </c>
      <c r="BS57" s="36">
        <f t="shared" si="42"/>
        <v>0</v>
      </c>
      <c r="BT57" s="35">
        <f t="shared" si="43"/>
        <v>0</v>
      </c>
      <c r="BU57" s="62">
        <f t="shared" si="44"/>
        <v>0</v>
      </c>
      <c r="BV57" s="61">
        <f t="shared" si="45"/>
        <v>0</v>
      </c>
      <c r="BW57" s="43">
        <f t="shared" si="46"/>
        <v>0</v>
      </c>
      <c r="BX57" s="35">
        <f t="shared" si="47"/>
        <v>0</v>
      </c>
      <c r="BY57" s="36">
        <f t="shared" si="48"/>
        <v>0</v>
      </c>
      <c r="BZ57" s="35">
        <f t="shared" si="49"/>
        <v>0</v>
      </c>
      <c r="CA57" s="62">
        <f t="shared" si="50"/>
        <v>0</v>
      </c>
      <c r="CB57" s="61">
        <f t="shared" si="51"/>
        <v>0</v>
      </c>
      <c r="CC57" s="43">
        <f t="shared" si="52"/>
        <v>0</v>
      </c>
      <c r="CD57" s="35">
        <f t="shared" si="53"/>
        <v>0</v>
      </c>
      <c r="CE57" s="36">
        <f t="shared" si="54"/>
        <v>0</v>
      </c>
      <c r="CF57" s="35">
        <f t="shared" si="55"/>
        <v>0</v>
      </c>
      <c r="CG57" s="62">
        <f t="shared" si="56"/>
        <v>0</v>
      </c>
      <c r="CH57" s="61">
        <f t="shared" si="57"/>
        <v>0</v>
      </c>
      <c r="CI57" s="43">
        <f t="shared" si="58"/>
        <v>0</v>
      </c>
      <c r="CJ57" s="35">
        <f t="shared" si="59"/>
        <v>0</v>
      </c>
      <c r="CK57" s="36">
        <f t="shared" si="60"/>
        <v>0</v>
      </c>
      <c r="CL57" s="35">
        <f t="shared" si="61"/>
        <v>0</v>
      </c>
      <c r="CM57" s="62">
        <f t="shared" si="62"/>
        <v>0</v>
      </c>
      <c r="CN57" s="61">
        <f t="shared" si="63"/>
        <v>0</v>
      </c>
      <c r="CO57" s="43">
        <f t="shared" si="64"/>
        <v>0</v>
      </c>
      <c r="CP57" s="35">
        <f t="shared" si="65"/>
        <v>0</v>
      </c>
      <c r="CQ57" s="36">
        <f t="shared" si="66"/>
        <v>0</v>
      </c>
      <c r="CR57" s="35">
        <f t="shared" si="67"/>
        <v>0</v>
      </c>
      <c r="CS57" s="62">
        <f t="shared" si="68"/>
        <v>0</v>
      </c>
      <c r="CT57" s="61">
        <f t="shared" si="69"/>
        <v>0</v>
      </c>
      <c r="CU57" s="43">
        <f t="shared" si="70"/>
        <v>0</v>
      </c>
      <c r="CV57" s="35">
        <f t="shared" si="71"/>
        <v>0</v>
      </c>
      <c r="CW57" s="36">
        <f t="shared" si="72"/>
        <v>0</v>
      </c>
      <c r="CX57" s="35">
        <f t="shared" si="6"/>
        <v>0</v>
      </c>
      <c r="CY57" s="62">
        <f t="shared" si="73"/>
        <v>0</v>
      </c>
      <c r="CZ57" s="61">
        <f t="shared" si="74"/>
        <v>0</v>
      </c>
      <c r="DA57" s="43" t="str">
        <f t="shared" si="75"/>
        <v>min</v>
      </c>
      <c r="DB57" s="35">
        <f t="shared" si="76"/>
        <v>0.88531800000000005</v>
      </c>
      <c r="DC57" s="36">
        <f t="shared" si="77"/>
        <v>1.0200579999999999</v>
      </c>
      <c r="DD57" s="35">
        <f t="shared" si="78"/>
        <v>0</v>
      </c>
      <c r="DE57" s="62">
        <f t="shared" si="7"/>
        <v>0</v>
      </c>
      <c r="DF57" s="61">
        <f t="shared" si="79"/>
        <v>1</v>
      </c>
      <c r="DG57" s="43" t="str">
        <f t="shared" si="80"/>
        <v>min</v>
      </c>
      <c r="DH57" s="35">
        <f t="shared" si="81"/>
        <v>0</v>
      </c>
      <c r="DI57" s="36">
        <f t="shared" si="82"/>
        <v>0</v>
      </c>
      <c r="DJ57" s="35">
        <f t="shared" si="83"/>
        <v>0</v>
      </c>
      <c r="DK57" s="62">
        <f t="shared" si="84"/>
        <v>0</v>
      </c>
    </row>
    <row r="58" spans="2:115" x14ac:dyDescent="0.3">
      <c r="B58" s="1">
        <v>0.80511299999999997</v>
      </c>
      <c r="C58" s="1">
        <v>1.104479</v>
      </c>
      <c r="D58">
        <f t="shared" si="85"/>
        <v>10343.001459581828</v>
      </c>
      <c r="E58" s="4">
        <f t="shared" si="8"/>
        <v>0.34806144174570669</v>
      </c>
      <c r="G58" s="1">
        <v>0.79312400000000005</v>
      </c>
      <c r="H58" s="1">
        <v>1.1358200000000001</v>
      </c>
      <c r="I58">
        <f t="shared" si="9"/>
        <v>10389.804103586361</v>
      </c>
      <c r="J58" s="4">
        <f t="shared" si="10"/>
        <v>0.34649353963828339</v>
      </c>
      <c r="L58" s="1">
        <v>0.78858700000000004</v>
      </c>
      <c r="M58" s="1">
        <v>1.127159</v>
      </c>
      <c r="N58">
        <f t="shared" si="11"/>
        <v>10338.413167116834</v>
      </c>
      <c r="O58" s="4">
        <f t="shared" si="12"/>
        <v>0.348215914938517</v>
      </c>
      <c r="Q58" s="1">
        <v>0.78480099999999997</v>
      </c>
      <c r="R58" s="1">
        <v>1.1050139999999999</v>
      </c>
      <c r="S58">
        <f t="shared" si="13"/>
        <v>10135.29704988244</v>
      </c>
      <c r="T58" s="4">
        <f t="shared" si="14"/>
        <v>0.35519432556165254</v>
      </c>
      <c r="V58" s="1">
        <v>0.78949400000000003</v>
      </c>
      <c r="W58" s="1">
        <v>1.084074</v>
      </c>
      <c r="X58">
        <f t="shared" si="15"/>
        <v>10002.104527610121</v>
      </c>
      <c r="Y58" s="4">
        <f t="shared" si="16"/>
        <v>0.35992425294721203</v>
      </c>
      <c r="AA58" s="1">
        <v>0.81462900000000005</v>
      </c>
      <c r="AB58" s="1">
        <v>1.062303</v>
      </c>
      <c r="AC58">
        <f t="shared" si="17"/>
        <v>9851.795439753867</v>
      </c>
      <c r="AD58" s="4">
        <f t="shared" si="18"/>
        <v>0.36541562621908652</v>
      </c>
      <c r="AF58" s="1">
        <v>0.84404400000000002</v>
      </c>
      <c r="AG58" s="1">
        <v>1.038683</v>
      </c>
      <c r="AH58">
        <f t="shared" si="19"/>
        <v>9701.4035856214196</v>
      </c>
      <c r="AI58" s="4">
        <f t="shared" si="20"/>
        <v>0.37108032546296787</v>
      </c>
      <c r="AK58" s="1">
        <v>0.87210399999999999</v>
      </c>
      <c r="AL58" s="1">
        <v>1.018861</v>
      </c>
      <c r="AM58">
        <f t="shared" si="21"/>
        <v>9577.5990583000003</v>
      </c>
      <c r="AN58" s="4">
        <f t="shared" si="22"/>
        <v>0.37587708339912396</v>
      </c>
      <c r="AO58" s="15"/>
      <c r="AP58" s="14">
        <v>0.90108299999999997</v>
      </c>
      <c r="AQ58" s="14">
        <v>1.016824</v>
      </c>
      <c r="AR58">
        <f t="shared" si="23"/>
        <v>9622.100370059703</v>
      </c>
      <c r="AS58" s="16">
        <f t="shared" si="24"/>
        <v>0.37413868714172044</v>
      </c>
      <c r="AT58" s="15"/>
      <c r="AU58" s="14">
        <v>0.94226600000000005</v>
      </c>
      <c r="AV58" s="14">
        <v>1.0103979999999999</v>
      </c>
      <c r="AW58">
        <f t="shared" si="25"/>
        <v>9668.4962227559517</v>
      </c>
      <c r="AX58" s="16">
        <f t="shared" si="26"/>
        <v>0.37234332175948659</v>
      </c>
      <c r="AY58" s="15"/>
      <c r="AZ58" s="15"/>
      <c r="BA58" s="15"/>
      <c r="BD58" s="61">
        <f t="shared" si="27"/>
        <v>0</v>
      </c>
      <c r="BE58" s="43">
        <f t="shared" si="28"/>
        <v>0</v>
      </c>
      <c r="BF58" s="35">
        <f t="shared" si="29"/>
        <v>0</v>
      </c>
      <c r="BG58" s="36">
        <f t="shared" si="30"/>
        <v>0</v>
      </c>
      <c r="BH58" s="35">
        <f t="shared" si="31"/>
        <v>0</v>
      </c>
      <c r="BI58" s="62">
        <f t="shared" si="32"/>
        <v>0</v>
      </c>
      <c r="BJ58" s="61">
        <f t="shared" si="33"/>
        <v>0</v>
      </c>
      <c r="BK58" s="43">
        <f t="shared" si="34"/>
        <v>0</v>
      </c>
      <c r="BL58" s="35">
        <f t="shared" si="35"/>
        <v>0</v>
      </c>
      <c r="BM58" s="36">
        <f t="shared" si="36"/>
        <v>0</v>
      </c>
      <c r="BN58" s="35">
        <f t="shared" si="37"/>
        <v>0</v>
      </c>
      <c r="BO58" s="62">
        <f t="shared" si="38"/>
        <v>0</v>
      </c>
      <c r="BP58" s="61">
        <f t="shared" si="39"/>
        <v>0</v>
      </c>
      <c r="BQ58" s="43">
        <f t="shared" si="40"/>
        <v>0</v>
      </c>
      <c r="BR58" s="35">
        <f t="shared" si="41"/>
        <v>0</v>
      </c>
      <c r="BS58" s="36">
        <f t="shared" si="42"/>
        <v>0</v>
      </c>
      <c r="BT58" s="35">
        <f t="shared" si="43"/>
        <v>0</v>
      </c>
      <c r="BU58" s="62">
        <f t="shared" si="44"/>
        <v>0</v>
      </c>
      <c r="BV58" s="61">
        <f t="shared" si="45"/>
        <v>0</v>
      </c>
      <c r="BW58" s="43">
        <f t="shared" si="46"/>
        <v>0</v>
      </c>
      <c r="BX58" s="35">
        <f t="shared" si="47"/>
        <v>0</v>
      </c>
      <c r="BY58" s="36">
        <f t="shared" si="48"/>
        <v>0</v>
      </c>
      <c r="BZ58" s="35">
        <f t="shared" si="49"/>
        <v>0</v>
      </c>
      <c r="CA58" s="62">
        <f t="shared" si="50"/>
        <v>0</v>
      </c>
      <c r="CB58" s="61">
        <f t="shared" si="51"/>
        <v>0</v>
      </c>
      <c r="CC58" s="43">
        <f t="shared" si="52"/>
        <v>0</v>
      </c>
      <c r="CD58" s="35">
        <f t="shared" si="53"/>
        <v>0</v>
      </c>
      <c r="CE58" s="36">
        <f t="shared" si="54"/>
        <v>0</v>
      </c>
      <c r="CF58" s="35">
        <f t="shared" si="55"/>
        <v>0</v>
      </c>
      <c r="CG58" s="62">
        <f t="shared" si="56"/>
        <v>0</v>
      </c>
      <c r="CH58" s="61">
        <f t="shared" si="57"/>
        <v>0</v>
      </c>
      <c r="CI58" s="43">
        <f t="shared" si="58"/>
        <v>0</v>
      </c>
      <c r="CJ58" s="35">
        <f t="shared" si="59"/>
        <v>0</v>
      </c>
      <c r="CK58" s="36">
        <f t="shared" si="60"/>
        <v>0</v>
      </c>
      <c r="CL58" s="35">
        <f t="shared" si="61"/>
        <v>0</v>
      </c>
      <c r="CM58" s="62">
        <f t="shared" si="62"/>
        <v>0</v>
      </c>
      <c r="CN58" s="61">
        <f t="shared" si="63"/>
        <v>0</v>
      </c>
      <c r="CO58" s="43">
        <f t="shared" si="64"/>
        <v>0</v>
      </c>
      <c r="CP58" s="35">
        <f t="shared" si="65"/>
        <v>0</v>
      </c>
      <c r="CQ58" s="36">
        <f t="shared" si="66"/>
        <v>0</v>
      </c>
      <c r="CR58" s="35">
        <f t="shared" si="67"/>
        <v>0</v>
      </c>
      <c r="CS58" s="62">
        <f t="shared" si="68"/>
        <v>0</v>
      </c>
      <c r="CT58" s="61">
        <f t="shared" si="69"/>
        <v>0</v>
      </c>
      <c r="CU58" s="43">
        <f t="shared" si="70"/>
        <v>0</v>
      </c>
      <c r="CV58" s="35">
        <f t="shared" si="71"/>
        <v>0</v>
      </c>
      <c r="CW58" s="36">
        <f t="shared" si="72"/>
        <v>0</v>
      </c>
      <c r="CX58" s="35">
        <f t="shared" si="6"/>
        <v>0</v>
      </c>
      <c r="CY58" s="62">
        <f t="shared" si="73"/>
        <v>0</v>
      </c>
      <c r="CZ58" s="61">
        <f t="shared" si="74"/>
        <v>1</v>
      </c>
      <c r="DA58" s="43" t="str">
        <f t="shared" si="75"/>
        <v>min</v>
      </c>
      <c r="DB58" s="35">
        <f t="shared" si="76"/>
        <v>0</v>
      </c>
      <c r="DC58" s="36">
        <f t="shared" si="77"/>
        <v>0</v>
      </c>
      <c r="DD58" s="35">
        <f t="shared" si="78"/>
        <v>0.90108299999999997</v>
      </c>
      <c r="DE58" s="62">
        <f>IF(DD58=0,0,AQ58)</f>
        <v>1.016824</v>
      </c>
      <c r="DF58" s="61">
        <f t="shared" si="79"/>
        <v>1</v>
      </c>
      <c r="DG58" s="43" t="str">
        <f t="shared" si="80"/>
        <v>min</v>
      </c>
      <c r="DH58" s="35">
        <f t="shared" si="81"/>
        <v>0</v>
      </c>
      <c r="DI58" s="36">
        <f t="shared" si="82"/>
        <v>0</v>
      </c>
      <c r="DJ58" s="35">
        <f t="shared" si="83"/>
        <v>0</v>
      </c>
      <c r="DK58" s="62">
        <f t="shared" si="84"/>
        <v>0</v>
      </c>
    </row>
    <row r="59" spans="2:115" x14ac:dyDescent="0.3">
      <c r="B59" s="1">
        <v>0.81922799999999996</v>
      </c>
      <c r="C59" s="1">
        <v>1.101521</v>
      </c>
      <c r="D59">
        <f t="shared" si="85"/>
        <v>10315.300979701773</v>
      </c>
      <c r="E59" s="4">
        <f t="shared" si="8"/>
        <v>0.34899611820188303</v>
      </c>
      <c r="G59" s="1">
        <v>0.80702799999999997</v>
      </c>
      <c r="H59" s="1">
        <v>1.132584</v>
      </c>
      <c r="I59">
        <f t="shared" si="9"/>
        <v>10360.203105118993</v>
      </c>
      <c r="J59" s="4">
        <f t="shared" si="10"/>
        <v>0.34748353516556391</v>
      </c>
      <c r="L59" s="1">
        <v>0.80241200000000001</v>
      </c>
      <c r="M59" s="1">
        <v>1.1165499999999999</v>
      </c>
      <c r="N59">
        <f t="shared" si="11"/>
        <v>10241.10637606966</v>
      </c>
      <c r="O59" s="4">
        <f t="shared" si="12"/>
        <v>0.35152451969565529</v>
      </c>
      <c r="Q59" s="1">
        <v>0.79856000000000005</v>
      </c>
      <c r="R59" s="1">
        <v>1.0943940000000001</v>
      </c>
      <c r="S59">
        <f t="shared" si="13"/>
        <v>10037.889365753777</v>
      </c>
      <c r="T59" s="4">
        <f t="shared" si="14"/>
        <v>0.35864113149942695</v>
      </c>
      <c r="V59" s="1">
        <v>0.80333500000000002</v>
      </c>
      <c r="W59" s="1">
        <v>1.074146</v>
      </c>
      <c r="X59">
        <f t="shared" si="15"/>
        <v>9910.5047901843427</v>
      </c>
      <c r="Y59" s="4">
        <f t="shared" si="16"/>
        <v>0.36325092174573659</v>
      </c>
      <c r="AA59" s="1">
        <v>0.82891099999999995</v>
      </c>
      <c r="AB59" s="1">
        <v>1.0525880000000001</v>
      </c>
      <c r="AC59">
        <f t="shared" si="17"/>
        <v>9761.6985533690895</v>
      </c>
      <c r="AD59" s="4">
        <f t="shared" si="18"/>
        <v>0.36878827801515335</v>
      </c>
      <c r="AF59" s="1">
        <v>0.85884099999999997</v>
      </c>
      <c r="AG59" s="1">
        <v>1.0291539999999999</v>
      </c>
      <c r="AH59">
        <f t="shared" si="19"/>
        <v>9612.4017681589339</v>
      </c>
      <c r="AI59" s="4">
        <f t="shared" si="20"/>
        <v>0.37451618095333827</v>
      </c>
      <c r="AK59" s="1">
        <v>0.88739299999999999</v>
      </c>
      <c r="AL59" s="1">
        <v>1.015744</v>
      </c>
      <c r="AM59">
        <f t="shared" si="21"/>
        <v>9548.2983231999988</v>
      </c>
      <c r="AN59" s="4">
        <f t="shared" si="22"/>
        <v>0.37703053236752065</v>
      </c>
      <c r="AO59" s="15"/>
      <c r="AP59" s="14">
        <v>0.91688000000000003</v>
      </c>
      <c r="AQ59" s="14">
        <v>1.0136540000000001</v>
      </c>
      <c r="AR59">
        <f t="shared" si="23"/>
        <v>9592.1029878449954</v>
      </c>
      <c r="AS59" s="16">
        <f t="shared" si="24"/>
        <v>0.37530873100110362</v>
      </c>
      <c r="AT59" s="15"/>
      <c r="AU59" s="14">
        <v>0.95878600000000003</v>
      </c>
      <c r="AV59" s="14">
        <v>1.007242</v>
      </c>
      <c r="AW59">
        <f t="shared" si="25"/>
        <v>9638.296465750278</v>
      </c>
      <c r="AX59" s="16">
        <f t="shared" si="26"/>
        <v>0.37350998828398912</v>
      </c>
      <c r="AY59" s="15"/>
      <c r="AZ59" s="15"/>
      <c r="BA59" s="15"/>
      <c r="BD59" s="61">
        <f t="shared" si="27"/>
        <v>0</v>
      </c>
      <c r="BE59" s="43">
        <f t="shared" si="28"/>
        <v>0</v>
      </c>
      <c r="BF59" s="35">
        <f t="shared" si="29"/>
        <v>0</v>
      </c>
      <c r="BG59" s="36">
        <f t="shared" si="30"/>
        <v>0</v>
      </c>
      <c r="BH59" s="35">
        <f t="shared" si="31"/>
        <v>0</v>
      </c>
      <c r="BI59" s="62">
        <f t="shared" si="32"/>
        <v>0</v>
      </c>
      <c r="BJ59" s="61">
        <f t="shared" si="33"/>
        <v>0</v>
      </c>
      <c r="BK59" s="43">
        <f t="shared" si="34"/>
        <v>0</v>
      </c>
      <c r="BL59" s="35">
        <f t="shared" si="35"/>
        <v>0</v>
      </c>
      <c r="BM59" s="36">
        <f t="shared" si="36"/>
        <v>0</v>
      </c>
      <c r="BN59" s="35">
        <f t="shared" si="37"/>
        <v>0</v>
      </c>
      <c r="BO59" s="62">
        <f t="shared" si="38"/>
        <v>0</v>
      </c>
      <c r="BP59" s="61">
        <f t="shared" si="39"/>
        <v>0</v>
      </c>
      <c r="BQ59" s="43">
        <f t="shared" si="40"/>
        <v>0</v>
      </c>
      <c r="BR59" s="35">
        <f t="shared" si="41"/>
        <v>0</v>
      </c>
      <c r="BS59" s="36">
        <f t="shared" si="42"/>
        <v>0</v>
      </c>
      <c r="BT59" s="35">
        <f t="shared" si="43"/>
        <v>0</v>
      </c>
      <c r="BU59" s="62">
        <f t="shared" si="44"/>
        <v>0</v>
      </c>
      <c r="BV59" s="61">
        <f t="shared" si="45"/>
        <v>0</v>
      </c>
      <c r="BW59" s="43">
        <f t="shared" si="46"/>
        <v>0</v>
      </c>
      <c r="BX59" s="35">
        <f t="shared" si="47"/>
        <v>0</v>
      </c>
      <c r="BY59" s="36">
        <f t="shared" si="48"/>
        <v>0</v>
      </c>
      <c r="BZ59" s="35">
        <f t="shared" si="49"/>
        <v>0</v>
      </c>
      <c r="CA59" s="62">
        <f t="shared" si="50"/>
        <v>0</v>
      </c>
      <c r="CB59" s="61">
        <f t="shared" si="51"/>
        <v>0</v>
      </c>
      <c r="CC59" s="43">
        <f t="shared" si="52"/>
        <v>0</v>
      </c>
      <c r="CD59" s="35">
        <f t="shared" si="53"/>
        <v>0</v>
      </c>
      <c r="CE59" s="36">
        <f t="shared" si="54"/>
        <v>0</v>
      </c>
      <c r="CF59" s="35">
        <f t="shared" si="55"/>
        <v>0</v>
      </c>
      <c r="CG59" s="62">
        <f t="shared" si="56"/>
        <v>0</v>
      </c>
      <c r="CH59" s="61">
        <f t="shared" si="57"/>
        <v>0</v>
      </c>
      <c r="CI59" s="43">
        <f t="shared" si="58"/>
        <v>0</v>
      </c>
      <c r="CJ59" s="35">
        <f t="shared" si="59"/>
        <v>0</v>
      </c>
      <c r="CK59" s="36">
        <f t="shared" si="60"/>
        <v>0</v>
      </c>
      <c r="CL59" s="35">
        <f t="shared" si="61"/>
        <v>0</v>
      </c>
      <c r="CM59" s="62">
        <f t="shared" si="62"/>
        <v>0</v>
      </c>
      <c r="CN59" s="61">
        <f t="shared" si="63"/>
        <v>0</v>
      </c>
      <c r="CO59" s="43">
        <f t="shared" si="64"/>
        <v>0</v>
      </c>
      <c r="CP59" s="35">
        <f t="shared" si="65"/>
        <v>0</v>
      </c>
      <c r="CQ59" s="36">
        <f t="shared" si="66"/>
        <v>0</v>
      </c>
      <c r="CR59" s="35">
        <f t="shared" si="67"/>
        <v>0</v>
      </c>
      <c r="CS59" s="62">
        <f t="shared" si="68"/>
        <v>0</v>
      </c>
      <c r="CT59" s="61">
        <f t="shared" si="69"/>
        <v>0</v>
      </c>
      <c r="CU59" s="43" t="str">
        <f t="shared" si="70"/>
        <v>min</v>
      </c>
      <c r="CV59" s="35">
        <f t="shared" si="71"/>
        <v>0.88739299999999999</v>
      </c>
      <c r="CW59" s="36">
        <f t="shared" si="72"/>
        <v>1.015744</v>
      </c>
      <c r="CX59" s="35">
        <f t="shared" si="6"/>
        <v>0</v>
      </c>
      <c r="CY59" s="62">
        <f t="shared" si="73"/>
        <v>0</v>
      </c>
      <c r="CZ59" s="61">
        <f t="shared" si="74"/>
        <v>1</v>
      </c>
      <c r="DA59" s="43" t="str">
        <f t="shared" si="75"/>
        <v>min</v>
      </c>
      <c r="DB59" s="35">
        <f t="shared" si="76"/>
        <v>0</v>
      </c>
      <c r="DC59" s="36">
        <f t="shared" si="77"/>
        <v>0</v>
      </c>
      <c r="DD59" s="35">
        <f t="shared" si="78"/>
        <v>0</v>
      </c>
      <c r="DE59" s="62">
        <f t="shared" ref="DE59:DE74" si="86">IF(DD59=0,0,AQ59)</f>
        <v>0</v>
      </c>
      <c r="DF59" s="61">
        <f t="shared" si="79"/>
        <v>1</v>
      </c>
      <c r="DG59" s="43" t="str">
        <f t="shared" si="80"/>
        <v>min</v>
      </c>
      <c r="DH59" s="35">
        <f t="shared" si="81"/>
        <v>0</v>
      </c>
      <c r="DI59" s="36">
        <f t="shared" si="82"/>
        <v>0</v>
      </c>
      <c r="DJ59" s="35">
        <f t="shared" si="83"/>
        <v>0</v>
      </c>
      <c r="DK59" s="62">
        <f t="shared" si="84"/>
        <v>0</v>
      </c>
    </row>
    <row r="60" spans="2:115" x14ac:dyDescent="0.3">
      <c r="B60" s="14">
        <v>0.833314</v>
      </c>
      <c r="C60" s="14">
        <v>1.0997049999999999</v>
      </c>
      <c r="D60">
        <f t="shared" si="85"/>
        <v>10298.294870350122</v>
      </c>
      <c r="E60" s="16">
        <f t="shared" si="8"/>
        <v>0.34957243362343215</v>
      </c>
      <c r="F60" s="15"/>
      <c r="G60" s="14">
        <v>0.820905</v>
      </c>
      <c r="H60" s="14">
        <v>1.1271070000000001</v>
      </c>
      <c r="I60">
        <f t="shared" si="9"/>
        <v>10310.102774894713</v>
      </c>
      <c r="J60" s="16">
        <f t="shared" si="10"/>
        <v>0.34917207700063524</v>
      </c>
      <c r="K60" s="15"/>
      <c r="L60" s="14">
        <v>0.81620899999999996</v>
      </c>
      <c r="M60" s="14">
        <v>1.106225</v>
      </c>
      <c r="N60">
        <f t="shared" si="11"/>
        <v>10146.40446094457</v>
      </c>
      <c r="O60" s="16">
        <f t="shared" si="12"/>
        <v>0.35480548935902179</v>
      </c>
      <c r="P60" s="15"/>
      <c r="Q60" s="14">
        <v>0.81229099999999999</v>
      </c>
      <c r="R60" s="14">
        <v>1.084144</v>
      </c>
      <c r="S60">
        <f t="shared" si="13"/>
        <v>9943.8753580024768</v>
      </c>
      <c r="T60" s="16">
        <f t="shared" si="14"/>
        <v>0.36203189102756078</v>
      </c>
      <c r="U60" s="15"/>
      <c r="V60" s="14">
        <v>0.81714799999999999</v>
      </c>
      <c r="W60" s="14">
        <v>1.064435</v>
      </c>
      <c r="X60">
        <f t="shared" si="15"/>
        <v>9820.9071823940794</v>
      </c>
      <c r="Y60" s="16">
        <f t="shared" si="16"/>
        <v>0.36656491433436139</v>
      </c>
      <c r="Z60" s="15"/>
      <c r="AA60" s="14">
        <v>0.843163</v>
      </c>
      <c r="AB60" s="14">
        <v>1.042894</v>
      </c>
      <c r="AC60">
        <f t="shared" si="17"/>
        <v>9671.796420933264</v>
      </c>
      <c r="AD60" s="16">
        <f t="shared" si="18"/>
        <v>0.37221627124081091</v>
      </c>
      <c r="AE60" s="15"/>
      <c r="AF60" s="14">
        <v>0.87360800000000005</v>
      </c>
      <c r="AG60" s="14">
        <v>1.0197750000000001</v>
      </c>
      <c r="AH60">
        <f t="shared" si="19"/>
        <v>9524.8009657682705</v>
      </c>
      <c r="AI60" s="16">
        <f t="shared" si="20"/>
        <v>0.37796065376465571</v>
      </c>
      <c r="AJ60" s="15"/>
      <c r="AK60" s="14">
        <v>0.90265200000000001</v>
      </c>
      <c r="AL60" s="14">
        <v>1.012723</v>
      </c>
      <c r="AM60">
        <f t="shared" si="21"/>
        <v>9519.9000168999992</v>
      </c>
      <c r="AN60" s="16">
        <f t="shared" si="22"/>
        <v>0.3781552320517208</v>
      </c>
      <c r="AO60" s="15"/>
      <c r="AP60" s="14">
        <v>0.93264499999999995</v>
      </c>
      <c r="AQ60" s="14">
        <v>1.0105999999999999</v>
      </c>
      <c r="AR60">
        <f t="shared" si="23"/>
        <v>9563.2033016356181</v>
      </c>
      <c r="AS60" s="16">
        <f t="shared" si="24"/>
        <v>0.37644290165663252</v>
      </c>
      <c r="AT60" s="15"/>
      <c r="AU60" s="14">
        <v>0.975271</v>
      </c>
      <c r="AV60" s="14">
        <v>1.0042120000000001</v>
      </c>
      <c r="AW60">
        <f t="shared" si="25"/>
        <v>9609.302402465366</v>
      </c>
      <c r="AX60" s="16">
        <f t="shared" si="26"/>
        <v>0.37463697667339335</v>
      </c>
      <c r="AY60" s="15"/>
      <c r="AZ60" s="15"/>
      <c r="BA60" s="15"/>
      <c r="BD60" s="61">
        <f t="shared" si="27"/>
        <v>0</v>
      </c>
      <c r="BE60" s="43">
        <f t="shared" si="28"/>
        <v>0</v>
      </c>
      <c r="BF60" s="35">
        <f t="shared" si="29"/>
        <v>0</v>
      </c>
      <c r="BG60" s="36">
        <f t="shared" si="30"/>
        <v>0</v>
      </c>
      <c r="BH60" s="35">
        <f t="shared" si="31"/>
        <v>0</v>
      </c>
      <c r="BI60" s="62">
        <f t="shared" si="32"/>
        <v>0</v>
      </c>
      <c r="BJ60" s="61">
        <f t="shared" si="33"/>
        <v>0</v>
      </c>
      <c r="BK60" s="43">
        <f t="shared" si="34"/>
        <v>0</v>
      </c>
      <c r="BL60" s="35">
        <f t="shared" si="35"/>
        <v>0</v>
      </c>
      <c r="BM60" s="36">
        <f t="shared" si="36"/>
        <v>0</v>
      </c>
      <c r="BN60" s="35">
        <f t="shared" si="37"/>
        <v>0</v>
      </c>
      <c r="BO60" s="62">
        <f t="shared" si="38"/>
        <v>0</v>
      </c>
      <c r="BP60" s="61">
        <f t="shared" si="39"/>
        <v>0</v>
      </c>
      <c r="BQ60" s="43">
        <f t="shared" si="40"/>
        <v>0</v>
      </c>
      <c r="BR60" s="35">
        <f t="shared" si="41"/>
        <v>0</v>
      </c>
      <c r="BS60" s="36">
        <f t="shared" si="42"/>
        <v>0</v>
      </c>
      <c r="BT60" s="35">
        <f t="shared" si="43"/>
        <v>0</v>
      </c>
      <c r="BU60" s="62">
        <f t="shared" si="44"/>
        <v>0</v>
      </c>
      <c r="BV60" s="61">
        <f t="shared" si="45"/>
        <v>0</v>
      </c>
      <c r="BW60" s="43">
        <f t="shared" si="46"/>
        <v>0</v>
      </c>
      <c r="BX60" s="35">
        <f t="shared" si="47"/>
        <v>0</v>
      </c>
      <c r="BY60" s="36">
        <f t="shared" si="48"/>
        <v>0</v>
      </c>
      <c r="BZ60" s="35">
        <f t="shared" si="49"/>
        <v>0</v>
      </c>
      <c r="CA60" s="62">
        <f t="shared" si="50"/>
        <v>0</v>
      </c>
      <c r="CB60" s="61">
        <f t="shared" si="51"/>
        <v>0</v>
      </c>
      <c r="CC60" s="43">
        <f t="shared" si="52"/>
        <v>0</v>
      </c>
      <c r="CD60" s="35">
        <f t="shared" si="53"/>
        <v>0</v>
      </c>
      <c r="CE60" s="36">
        <f t="shared" si="54"/>
        <v>0</v>
      </c>
      <c r="CF60" s="35">
        <f t="shared" si="55"/>
        <v>0</v>
      </c>
      <c r="CG60" s="62">
        <f t="shared" si="56"/>
        <v>0</v>
      </c>
      <c r="CH60" s="61">
        <f t="shared" si="57"/>
        <v>0</v>
      </c>
      <c r="CI60" s="43">
        <f t="shared" si="58"/>
        <v>0</v>
      </c>
      <c r="CJ60" s="35">
        <f t="shared" si="59"/>
        <v>0</v>
      </c>
      <c r="CK60" s="36">
        <f t="shared" si="60"/>
        <v>0</v>
      </c>
      <c r="CL60" s="35">
        <f t="shared" si="61"/>
        <v>0</v>
      </c>
      <c r="CM60" s="62">
        <f t="shared" si="62"/>
        <v>0</v>
      </c>
      <c r="CN60" s="61">
        <f t="shared" si="63"/>
        <v>0</v>
      </c>
      <c r="CO60" s="43">
        <f t="shared" si="64"/>
        <v>0</v>
      </c>
      <c r="CP60" s="35">
        <f t="shared" si="65"/>
        <v>0</v>
      </c>
      <c r="CQ60" s="36">
        <f t="shared" si="66"/>
        <v>0</v>
      </c>
      <c r="CR60" s="35">
        <f t="shared" si="67"/>
        <v>0</v>
      </c>
      <c r="CS60" s="62">
        <f t="shared" si="68"/>
        <v>0</v>
      </c>
      <c r="CT60" s="61">
        <f t="shared" si="69"/>
        <v>1</v>
      </c>
      <c r="CU60" s="43" t="str">
        <f t="shared" si="70"/>
        <v>min</v>
      </c>
      <c r="CV60" s="35">
        <f t="shared" si="71"/>
        <v>0</v>
      </c>
      <c r="CW60" s="36">
        <f t="shared" si="72"/>
        <v>0</v>
      </c>
      <c r="CX60" s="35">
        <f>IF(CV59=0,0,AK60)</f>
        <v>0.90265200000000001</v>
      </c>
      <c r="CY60" s="62">
        <f t="shared" si="73"/>
        <v>1.012723</v>
      </c>
      <c r="CZ60" s="61">
        <f t="shared" si="74"/>
        <v>1</v>
      </c>
      <c r="DA60" s="43" t="str">
        <f t="shared" si="75"/>
        <v>min</v>
      </c>
      <c r="DB60" s="35">
        <f t="shared" si="76"/>
        <v>0</v>
      </c>
      <c r="DC60" s="36">
        <f t="shared" si="77"/>
        <v>0</v>
      </c>
      <c r="DD60" s="35">
        <f t="shared" si="78"/>
        <v>0</v>
      </c>
      <c r="DE60" s="62">
        <f t="shared" si="86"/>
        <v>0</v>
      </c>
      <c r="DF60" s="61">
        <f t="shared" si="79"/>
        <v>1</v>
      </c>
      <c r="DG60" s="43" t="str">
        <f t="shared" si="80"/>
        <v>min</v>
      </c>
      <c r="DH60" s="35">
        <f t="shared" si="81"/>
        <v>0</v>
      </c>
      <c r="DI60" s="36">
        <f t="shared" si="82"/>
        <v>0</v>
      </c>
      <c r="DJ60" s="35">
        <f t="shared" si="83"/>
        <v>0</v>
      </c>
      <c r="DK60" s="62">
        <f t="shared" si="84"/>
        <v>0</v>
      </c>
    </row>
    <row r="61" spans="2:115" x14ac:dyDescent="0.3">
      <c r="B61" s="14">
        <v>0.84742899999999999</v>
      </c>
      <c r="C61" s="14">
        <v>1.0979110000000001</v>
      </c>
      <c r="D61">
        <f t="shared" si="85"/>
        <v>10281.494782147009</v>
      </c>
      <c r="E61" s="16">
        <f t="shared" si="8"/>
        <v>0.35014363925478142</v>
      </c>
      <c r="F61" s="15"/>
      <c r="G61" s="14">
        <v>0.83480900000000002</v>
      </c>
      <c r="H61" s="14">
        <v>1.1159779999999999</v>
      </c>
      <c r="I61">
        <f t="shared" si="9"/>
        <v>10208.301318793558</v>
      </c>
      <c r="J61" s="16">
        <f t="shared" si="10"/>
        <v>0.35265416718963549</v>
      </c>
      <c r="K61" s="15"/>
      <c r="L61" s="14">
        <v>0.83003400000000005</v>
      </c>
      <c r="M61" s="14">
        <v>1.095181</v>
      </c>
      <c r="N61">
        <f t="shared" si="11"/>
        <v>10045.107807129412</v>
      </c>
      <c r="O61" s="16">
        <f t="shared" si="12"/>
        <v>0.35838341102172511</v>
      </c>
      <c r="P61" s="15"/>
      <c r="Q61" s="14">
        <v>0.82604900000000003</v>
      </c>
      <c r="R61" s="14">
        <v>1.0742849999999999</v>
      </c>
      <c r="S61">
        <f t="shared" si="13"/>
        <v>9853.4476406932008</v>
      </c>
      <c r="T61" s="16">
        <f t="shared" si="14"/>
        <v>0.36535435425998125</v>
      </c>
      <c r="U61" s="15"/>
      <c r="V61" s="14">
        <v>0.83098899999999998</v>
      </c>
      <c r="W61" s="14">
        <v>1.0549729999999999</v>
      </c>
      <c r="X61">
        <f t="shared" si="15"/>
        <v>9733.6069491625403</v>
      </c>
      <c r="Y61" s="16">
        <f t="shared" si="16"/>
        <v>0.36985261669208214</v>
      </c>
      <c r="Z61" s="15"/>
      <c r="AA61" s="14">
        <v>0.85744500000000001</v>
      </c>
      <c r="AB61" s="14">
        <v>1.0334810000000001</v>
      </c>
      <c r="AC61">
        <f t="shared" si="17"/>
        <v>9584.5002818143857</v>
      </c>
      <c r="AD61" s="16">
        <f t="shared" si="18"/>
        <v>0.37560643686668083</v>
      </c>
      <c r="AE61" s="15"/>
      <c r="AF61" s="14">
        <v>0.888405</v>
      </c>
      <c r="AG61" s="14">
        <v>1.0124200000000001</v>
      </c>
      <c r="AH61">
        <f t="shared" si="19"/>
        <v>9456.1045267466961</v>
      </c>
      <c r="AI61" s="16">
        <f t="shared" si="20"/>
        <v>0.38070645156442173</v>
      </c>
      <c r="AJ61" s="15"/>
      <c r="AK61" s="14">
        <v>0.91794100000000001</v>
      </c>
      <c r="AL61" s="14">
        <v>1.01017</v>
      </c>
      <c r="AM61">
        <f t="shared" si="21"/>
        <v>9495.9010509999989</v>
      </c>
      <c r="AN61" s="16">
        <f t="shared" si="22"/>
        <v>0.37911094278103175</v>
      </c>
      <c r="AO61" s="15"/>
      <c r="AP61" s="14">
        <v>0.94844300000000004</v>
      </c>
      <c r="AQ61" s="14">
        <v>1.007863</v>
      </c>
      <c r="AR61">
        <f t="shared" si="23"/>
        <v>9537.3033536477142</v>
      </c>
      <c r="AS61" s="16">
        <f t="shared" si="24"/>
        <v>0.37746518764374992</v>
      </c>
      <c r="AT61" s="15"/>
      <c r="AU61" s="14">
        <v>0.99179099999999998</v>
      </c>
      <c r="AV61" s="14">
        <v>1.001317</v>
      </c>
      <c r="AW61">
        <f t="shared" si="25"/>
        <v>9581.6001538812634</v>
      </c>
      <c r="AX61" s="16">
        <f t="shared" si="26"/>
        <v>0.37572012421554984</v>
      </c>
      <c r="AY61" s="15"/>
      <c r="AZ61" s="15"/>
      <c r="BA61" s="15"/>
      <c r="BD61" s="61">
        <f t="shared" si="27"/>
        <v>0</v>
      </c>
      <c r="BE61" s="43">
        <f t="shared" si="28"/>
        <v>0</v>
      </c>
      <c r="BF61" s="35">
        <f t="shared" si="29"/>
        <v>0</v>
      </c>
      <c r="BG61" s="36">
        <f t="shared" si="30"/>
        <v>0</v>
      </c>
      <c r="BH61" s="35">
        <f t="shared" si="31"/>
        <v>0</v>
      </c>
      <c r="BI61" s="62">
        <f t="shared" si="32"/>
        <v>0</v>
      </c>
      <c r="BJ61" s="61">
        <f t="shared" si="33"/>
        <v>0</v>
      </c>
      <c r="BK61" s="43">
        <f t="shared" si="34"/>
        <v>0</v>
      </c>
      <c r="BL61" s="35">
        <f t="shared" si="35"/>
        <v>0</v>
      </c>
      <c r="BM61" s="36">
        <f t="shared" si="36"/>
        <v>0</v>
      </c>
      <c r="BN61" s="35">
        <f t="shared" si="37"/>
        <v>0</v>
      </c>
      <c r="BO61" s="62">
        <f t="shared" si="38"/>
        <v>0</v>
      </c>
      <c r="BP61" s="61">
        <f t="shared" si="39"/>
        <v>0</v>
      </c>
      <c r="BQ61" s="43">
        <f t="shared" si="40"/>
        <v>0</v>
      </c>
      <c r="BR61" s="35">
        <f t="shared" si="41"/>
        <v>0</v>
      </c>
      <c r="BS61" s="36">
        <f t="shared" si="42"/>
        <v>0</v>
      </c>
      <c r="BT61" s="35">
        <f t="shared" si="43"/>
        <v>0</v>
      </c>
      <c r="BU61" s="62">
        <f t="shared" si="44"/>
        <v>0</v>
      </c>
      <c r="BV61" s="61">
        <f t="shared" si="45"/>
        <v>0</v>
      </c>
      <c r="BW61" s="43">
        <f t="shared" si="46"/>
        <v>0</v>
      </c>
      <c r="BX61" s="35">
        <f t="shared" si="47"/>
        <v>0</v>
      </c>
      <c r="BY61" s="36">
        <f t="shared" si="48"/>
        <v>0</v>
      </c>
      <c r="BZ61" s="35">
        <f t="shared" si="49"/>
        <v>0</v>
      </c>
      <c r="CA61" s="62">
        <f t="shared" si="50"/>
        <v>0</v>
      </c>
      <c r="CB61" s="61">
        <f t="shared" si="51"/>
        <v>0</v>
      </c>
      <c r="CC61" s="43">
        <f t="shared" si="52"/>
        <v>0</v>
      </c>
      <c r="CD61" s="35">
        <f t="shared" si="53"/>
        <v>0</v>
      </c>
      <c r="CE61" s="36">
        <f t="shared" si="54"/>
        <v>0</v>
      </c>
      <c r="CF61" s="35">
        <f t="shared" si="55"/>
        <v>0</v>
      </c>
      <c r="CG61" s="62">
        <f t="shared" si="56"/>
        <v>0</v>
      </c>
      <c r="CH61" s="61">
        <f t="shared" si="57"/>
        <v>0</v>
      </c>
      <c r="CI61" s="43">
        <f t="shared" si="58"/>
        <v>0</v>
      </c>
      <c r="CJ61" s="35">
        <f t="shared" si="59"/>
        <v>0</v>
      </c>
      <c r="CK61" s="36">
        <f t="shared" si="60"/>
        <v>0</v>
      </c>
      <c r="CL61" s="35">
        <f t="shared" si="61"/>
        <v>0</v>
      </c>
      <c r="CM61" s="62">
        <f t="shared" si="62"/>
        <v>0</v>
      </c>
      <c r="CN61" s="61">
        <f t="shared" si="63"/>
        <v>0</v>
      </c>
      <c r="CO61" s="43" t="str">
        <f t="shared" si="64"/>
        <v>min</v>
      </c>
      <c r="CP61" s="35">
        <f t="shared" si="65"/>
        <v>0.888405</v>
      </c>
      <c r="CQ61" s="36">
        <f t="shared" si="66"/>
        <v>1.0124200000000001</v>
      </c>
      <c r="CR61" s="35">
        <f t="shared" si="67"/>
        <v>0</v>
      </c>
      <c r="CS61" s="62">
        <f t="shared" si="68"/>
        <v>0</v>
      </c>
      <c r="CT61" s="61">
        <f t="shared" si="69"/>
        <v>1</v>
      </c>
      <c r="CU61" s="43" t="str">
        <f t="shared" si="70"/>
        <v>min</v>
      </c>
      <c r="CV61" s="35">
        <f t="shared" si="71"/>
        <v>0</v>
      </c>
      <c r="CW61" s="36">
        <f t="shared" si="72"/>
        <v>0</v>
      </c>
      <c r="CX61" s="35">
        <f t="shared" ref="CX61:CX74" si="87">IF(CV60=0,0,AK61)</f>
        <v>0</v>
      </c>
      <c r="CY61" s="62">
        <f t="shared" si="73"/>
        <v>0</v>
      </c>
      <c r="CZ61" s="61">
        <f t="shared" si="74"/>
        <v>1</v>
      </c>
      <c r="DA61" s="43" t="str">
        <f t="shared" si="75"/>
        <v>min</v>
      </c>
      <c r="DB61" s="35">
        <f t="shared" si="76"/>
        <v>0</v>
      </c>
      <c r="DC61" s="36">
        <f t="shared" si="77"/>
        <v>0</v>
      </c>
      <c r="DD61" s="35">
        <f t="shared" si="78"/>
        <v>0</v>
      </c>
      <c r="DE61" s="62">
        <f t="shared" si="86"/>
        <v>0</v>
      </c>
      <c r="DF61" s="61">
        <f t="shared" si="79"/>
        <v>1</v>
      </c>
      <c r="DG61" s="43" t="str">
        <f t="shared" si="80"/>
        <v>min</v>
      </c>
      <c r="DH61" s="35">
        <f t="shared" si="81"/>
        <v>0</v>
      </c>
      <c r="DI61" s="36">
        <f t="shared" si="82"/>
        <v>0</v>
      </c>
      <c r="DJ61" s="35">
        <f t="shared" si="83"/>
        <v>0</v>
      </c>
      <c r="DK61" s="62">
        <f t="shared" si="84"/>
        <v>0</v>
      </c>
    </row>
    <row r="62" spans="2:115" x14ac:dyDescent="0.3">
      <c r="B62" s="14">
        <v>0.86151500000000003</v>
      </c>
      <c r="C62" s="14">
        <v>1.096203</v>
      </c>
      <c r="D62">
        <f t="shared" si="85"/>
        <v>10265.500049342703</v>
      </c>
      <c r="E62" s="16">
        <f t="shared" si="8"/>
        <v>0.35068920000935627</v>
      </c>
      <c r="F62" s="15"/>
      <c r="G62" s="14">
        <v>0.84868600000000005</v>
      </c>
      <c r="H62" s="14">
        <v>1.1051120000000001</v>
      </c>
      <c r="I62">
        <f t="shared" si="9"/>
        <v>10108.905629873159</v>
      </c>
      <c r="J62" s="16">
        <f t="shared" si="10"/>
        <v>0.35612163490393278</v>
      </c>
      <c r="K62" s="15"/>
      <c r="L62" s="14">
        <v>0.843831</v>
      </c>
      <c r="M62" s="14">
        <v>1.0842890000000001</v>
      </c>
      <c r="N62">
        <f t="shared" si="11"/>
        <v>9945.2053122584712</v>
      </c>
      <c r="O62" s="16">
        <f t="shared" si="12"/>
        <v>0.36198347715985668</v>
      </c>
      <c r="P62" s="15"/>
      <c r="Q62" s="14">
        <v>0.83977999999999997</v>
      </c>
      <c r="R62" s="14">
        <v>1.0640559999999999</v>
      </c>
      <c r="S62">
        <f t="shared" si="13"/>
        <v>9759.6262470065612</v>
      </c>
      <c r="T62" s="16">
        <f t="shared" si="14"/>
        <v>0.36886658452767895</v>
      </c>
      <c r="U62" s="15"/>
      <c r="V62" s="14">
        <v>0.84480200000000005</v>
      </c>
      <c r="W62" s="14">
        <v>1.0456840000000001</v>
      </c>
      <c r="X62">
        <f t="shared" si="15"/>
        <v>9647.9028837971055</v>
      </c>
      <c r="Y62" s="16">
        <f t="shared" si="16"/>
        <v>0.37313808434431045</v>
      </c>
      <c r="Z62" s="15"/>
      <c r="AA62" s="14">
        <v>0.87169799999999997</v>
      </c>
      <c r="AB62" s="14">
        <v>1.0243370000000001</v>
      </c>
      <c r="AC62">
        <f t="shared" si="17"/>
        <v>9499.6988480416203</v>
      </c>
      <c r="AD62" s="16">
        <f t="shared" si="18"/>
        <v>0.37895938151156727</v>
      </c>
      <c r="AE62" s="15"/>
      <c r="AF62" s="14">
        <v>0.903173</v>
      </c>
      <c r="AG62" s="14">
        <v>1.009914</v>
      </c>
      <c r="AH62">
        <f t="shared" si="19"/>
        <v>9432.6982349468217</v>
      </c>
      <c r="AI62" s="16">
        <f t="shared" si="20"/>
        <v>0.38165113632730302</v>
      </c>
      <c r="AJ62" s="15"/>
      <c r="AK62" s="14">
        <v>0.933199</v>
      </c>
      <c r="AL62" s="14">
        <v>1.007649</v>
      </c>
      <c r="AM62">
        <f t="shared" si="21"/>
        <v>9472.2028946999999</v>
      </c>
      <c r="AN62" s="16">
        <f t="shared" si="22"/>
        <v>0.38005942651569624</v>
      </c>
      <c r="AO62" s="15"/>
      <c r="AP62" s="14">
        <v>0.96420799999999995</v>
      </c>
      <c r="AQ62" s="14">
        <v>1.005379</v>
      </c>
      <c r="AR62">
        <f t="shared" si="23"/>
        <v>9513.7975184990282</v>
      </c>
      <c r="AS62" s="16">
        <f t="shared" si="24"/>
        <v>0.37839779467662715</v>
      </c>
      <c r="AT62" s="15"/>
      <c r="AU62" s="14">
        <v>1</v>
      </c>
      <c r="AV62" s="14">
        <v>1</v>
      </c>
      <c r="AW62">
        <f t="shared" si="25"/>
        <v>9568.9977837999995</v>
      </c>
      <c r="AX62" s="16">
        <f t="shared" si="26"/>
        <v>0.3762149476191417</v>
      </c>
      <c r="AY62" s="15"/>
      <c r="AZ62" s="15"/>
      <c r="BA62" s="15"/>
      <c r="BD62" s="61">
        <f t="shared" si="27"/>
        <v>0</v>
      </c>
      <c r="BE62" s="43">
        <f t="shared" si="28"/>
        <v>0</v>
      </c>
      <c r="BF62" s="35">
        <f t="shared" si="29"/>
        <v>0</v>
      </c>
      <c r="BG62" s="36">
        <f t="shared" si="30"/>
        <v>0</v>
      </c>
      <c r="BH62" s="35">
        <f t="shared" si="31"/>
        <v>0</v>
      </c>
      <c r="BI62" s="62">
        <f t="shared" si="32"/>
        <v>0</v>
      </c>
      <c r="BJ62" s="61">
        <f t="shared" si="33"/>
        <v>0</v>
      </c>
      <c r="BK62" s="43">
        <f t="shared" si="34"/>
        <v>0</v>
      </c>
      <c r="BL62" s="35">
        <f t="shared" si="35"/>
        <v>0</v>
      </c>
      <c r="BM62" s="36">
        <f t="shared" si="36"/>
        <v>0</v>
      </c>
      <c r="BN62" s="35">
        <f t="shared" si="37"/>
        <v>0</v>
      </c>
      <c r="BO62" s="62">
        <f t="shared" si="38"/>
        <v>0</v>
      </c>
      <c r="BP62" s="61">
        <f t="shared" si="39"/>
        <v>0</v>
      </c>
      <c r="BQ62" s="43">
        <f t="shared" si="40"/>
        <v>0</v>
      </c>
      <c r="BR62" s="35">
        <f t="shared" si="41"/>
        <v>0</v>
      </c>
      <c r="BS62" s="36">
        <f t="shared" si="42"/>
        <v>0</v>
      </c>
      <c r="BT62" s="35">
        <f t="shared" si="43"/>
        <v>0</v>
      </c>
      <c r="BU62" s="62">
        <f t="shared" si="44"/>
        <v>0</v>
      </c>
      <c r="BV62" s="61">
        <f t="shared" si="45"/>
        <v>0</v>
      </c>
      <c r="BW62" s="43">
        <f t="shared" si="46"/>
        <v>0</v>
      </c>
      <c r="BX62" s="35">
        <f t="shared" si="47"/>
        <v>0</v>
      </c>
      <c r="BY62" s="36">
        <f t="shared" si="48"/>
        <v>0</v>
      </c>
      <c r="BZ62" s="35">
        <f t="shared" si="49"/>
        <v>0</v>
      </c>
      <c r="CA62" s="62">
        <f t="shared" si="50"/>
        <v>0</v>
      </c>
      <c r="CB62" s="61">
        <f t="shared" si="51"/>
        <v>0</v>
      </c>
      <c r="CC62" s="43">
        <f t="shared" si="52"/>
        <v>0</v>
      </c>
      <c r="CD62" s="35">
        <f t="shared" si="53"/>
        <v>0</v>
      </c>
      <c r="CE62" s="36">
        <f t="shared" si="54"/>
        <v>0</v>
      </c>
      <c r="CF62" s="35">
        <f t="shared" si="55"/>
        <v>0</v>
      </c>
      <c r="CG62" s="62">
        <f t="shared" si="56"/>
        <v>0</v>
      </c>
      <c r="CH62" s="61">
        <f t="shared" si="57"/>
        <v>0</v>
      </c>
      <c r="CI62" s="43">
        <f t="shared" si="58"/>
        <v>0</v>
      </c>
      <c r="CJ62" s="35">
        <f t="shared" si="59"/>
        <v>0</v>
      </c>
      <c r="CK62" s="36">
        <f t="shared" si="60"/>
        <v>0</v>
      </c>
      <c r="CL62" s="35">
        <f t="shared" si="61"/>
        <v>0</v>
      </c>
      <c r="CM62" s="62">
        <f t="shared" si="62"/>
        <v>0</v>
      </c>
      <c r="CN62" s="61">
        <f t="shared" si="63"/>
        <v>1</v>
      </c>
      <c r="CO62" s="43" t="str">
        <f t="shared" si="64"/>
        <v>min</v>
      </c>
      <c r="CP62" s="35">
        <f t="shared" si="65"/>
        <v>0</v>
      </c>
      <c r="CQ62" s="36">
        <f t="shared" si="66"/>
        <v>0</v>
      </c>
      <c r="CR62" s="35">
        <f t="shared" si="67"/>
        <v>0.903173</v>
      </c>
      <c r="CS62" s="62">
        <f t="shared" si="68"/>
        <v>1.009914</v>
      </c>
      <c r="CT62" s="61">
        <f t="shared" si="69"/>
        <v>1</v>
      </c>
      <c r="CU62" s="43" t="str">
        <f t="shared" si="70"/>
        <v>min</v>
      </c>
      <c r="CV62" s="35">
        <f t="shared" si="71"/>
        <v>0</v>
      </c>
      <c r="CW62" s="36">
        <f t="shared" si="72"/>
        <v>0</v>
      </c>
      <c r="CX62" s="35">
        <f t="shared" si="87"/>
        <v>0</v>
      </c>
      <c r="CY62" s="62">
        <f t="shared" si="73"/>
        <v>0</v>
      </c>
      <c r="CZ62" s="61">
        <f t="shared" si="74"/>
        <v>1</v>
      </c>
      <c r="DA62" s="43" t="str">
        <f t="shared" si="75"/>
        <v>min</v>
      </c>
      <c r="DB62" s="35">
        <f t="shared" si="76"/>
        <v>0</v>
      </c>
      <c r="DC62" s="36">
        <f t="shared" si="77"/>
        <v>0</v>
      </c>
      <c r="DD62" s="35">
        <f t="shared" si="78"/>
        <v>0</v>
      </c>
      <c r="DE62" s="62">
        <f t="shared" si="86"/>
        <v>0</v>
      </c>
      <c r="DF62" s="61">
        <f t="shared" si="79"/>
        <v>1</v>
      </c>
      <c r="DG62" s="43" t="str">
        <f t="shared" si="80"/>
        <v>min</v>
      </c>
      <c r="DH62" s="35">
        <f t="shared" si="81"/>
        <v>0</v>
      </c>
      <c r="DI62" s="36">
        <f t="shared" si="82"/>
        <v>0</v>
      </c>
      <c r="DJ62" s="35">
        <f t="shared" si="83"/>
        <v>0</v>
      </c>
      <c r="DK62" s="62">
        <f t="shared" si="84"/>
        <v>0</v>
      </c>
    </row>
    <row r="63" spans="2:115" x14ac:dyDescent="0.3">
      <c r="B63" s="14">
        <v>0.87560099999999996</v>
      </c>
      <c r="C63" s="14">
        <v>1.0864750000000001</v>
      </c>
      <c r="D63">
        <f t="shared" si="85"/>
        <v>10174.401243300386</v>
      </c>
      <c r="E63" s="16">
        <f t="shared" si="8"/>
        <v>0.35382917519303836</v>
      </c>
      <c r="F63" s="15"/>
      <c r="G63" s="14">
        <v>0.86256200000000005</v>
      </c>
      <c r="H63" s="14">
        <v>1.0944860000000001</v>
      </c>
      <c r="I63">
        <f t="shared" si="9"/>
        <v>10011.705317847742</v>
      </c>
      <c r="J63" s="16">
        <f t="shared" si="10"/>
        <v>0.35957910123286635</v>
      </c>
      <c r="K63" s="15"/>
      <c r="L63" s="14">
        <v>0.85762799999999995</v>
      </c>
      <c r="M63" s="14">
        <v>1.0736920000000001</v>
      </c>
      <c r="N63">
        <f t="shared" si="11"/>
        <v>9848.0085863911027</v>
      </c>
      <c r="O63" s="16">
        <f t="shared" si="12"/>
        <v>0.36555613943866949</v>
      </c>
      <c r="P63" s="15"/>
      <c r="Q63" s="14">
        <v>0.85351100000000002</v>
      </c>
      <c r="R63" s="14">
        <v>1.0541210000000001</v>
      </c>
      <c r="S63">
        <f t="shared" si="13"/>
        <v>9668.5014502251815</v>
      </c>
      <c r="T63" s="16">
        <f t="shared" si="14"/>
        <v>0.37234312044460155</v>
      </c>
      <c r="U63" s="15"/>
      <c r="V63" s="14">
        <v>0.85861500000000002</v>
      </c>
      <c r="W63" s="14">
        <v>1.0357019999999999</v>
      </c>
      <c r="X63">
        <f t="shared" si="15"/>
        <v>9555.8049205634088</v>
      </c>
      <c r="Y63" s="16">
        <f t="shared" si="16"/>
        <v>0.37673435465944449</v>
      </c>
      <c r="Z63" s="15"/>
      <c r="AA63" s="14">
        <v>0.88595000000000002</v>
      </c>
      <c r="AB63" s="14">
        <v>1.015301</v>
      </c>
      <c r="AC63">
        <f t="shared" si="17"/>
        <v>9415.8990060063279</v>
      </c>
      <c r="AD63" s="16">
        <f t="shared" si="18"/>
        <v>0.38233205323289771</v>
      </c>
      <c r="AE63" s="15"/>
      <c r="AF63" s="14">
        <v>0.91793999999999998</v>
      </c>
      <c r="AG63" s="14">
        <v>1.007441</v>
      </c>
      <c r="AH63">
        <f t="shared" si="19"/>
        <v>9409.6001664627511</v>
      </c>
      <c r="AI63" s="16">
        <f t="shared" si="20"/>
        <v>0.38258798847064174</v>
      </c>
      <c r="AJ63" s="15"/>
      <c r="AK63" s="14">
        <v>0.94845699999999999</v>
      </c>
      <c r="AL63" s="14">
        <v>1.0051380000000001</v>
      </c>
      <c r="AM63">
        <f t="shared" si="21"/>
        <v>9448.5987413999992</v>
      </c>
      <c r="AN63" s="16">
        <f t="shared" si="22"/>
        <v>0.38100887745674211</v>
      </c>
      <c r="AO63" s="15"/>
      <c r="AP63" s="14">
        <v>0.97997299999999998</v>
      </c>
      <c r="AQ63" s="14">
        <v>1.002874</v>
      </c>
      <c r="AR63">
        <f t="shared" si="23"/>
        <v>9490.0929625217886</v>
      </c>
      <c r="AS63" s="16">
        <f t="shared" si="24"/>
        <v>0.3793429647335485</v>
      </c>
      <c r="AT63" s="15"/>
      <c r="AU63" s="14">
        <v>1.0000340000000001</v>
      </c>
      <c r="AV63" s="14">
        <v>1</v>
      </c>
      <c r="AW63">
        <f t="shared" si="25"/>
        <v>9568.9977837999995</v>
      </c>
      <c r="AX63" s="16">
        <f t="shared" si="26"/>
        <v>0.3762149476191417</v>
      </c>
      <c r="AY63" s="15"/>
      <c r="AZ63" s="15"/>
      <c r="BA63" s="15"/>
      <c r="BD63" s="61">
        <f t="shared" si="27"/>
        <v>0</v>
      </c>
      <c r="BE63" s="43">
        <f t="shared" si="28"/>
        <v>0</v>
      </c>
      <c r="BF63" s="35">
        <f t="shared" si="29"/>
        <v>0</v>
      </c>
      <c r="BG63" s="36">
        <f t="shared" si="30"/>
        <v>0</v>
      </c>
      <c r="BH63" s="35">
        <f t="shared" si="31"/>
        <v>0</v>
      </c>
      <c r="BI63" s="62">
        <f t="shared" si="32"/>
        <v>0</v>
      </c>
      <c r="BJ63" s="61">
        <f t="shared" si="33"/>
        <v>0</v>
      </c>
      <c r="BK63" s="43">
        <f t="shared" si="34"/>
        <v>0</v>
      </c>
      <c r="BL63" s="35">
        <f t="shared" si="35"/>
        <v>0</v>
      </c>
      <c r="BM63" s="36">
        <f t="shared" si="36"/>
        <v>0</v>
      </c>
      <c r="BN63" s="35">
        <f t="shared" si="37"/>
        <v>0</v>
      </c>
      <c r="BO63" s="62">
        <f t="shared" si="38"/>
        <v>0</v>
      </c>
      <c r="BP63" s="61">
        <f t="shared" si="39"/>
        <v>0</v>
      </c>
      <c r="BQ63" s="43">
        <f t="shared" si="40"/>
        <v>0</v>
      </c>
      <c r="BR63" s="35">
        <f t="shared" si="41"/>
        <v>0</v>
      </c>
      <c r="BS63" s="36">
        <f t="shared" si="42"/>
        <v>0</v>
      </c>
      <c r="BT63" s="35">
        <f t="shared" si="43"/>
        <v>0</v>
      </c>
      <c r="BU63" s="62">
        <f t="shared" si="44"/>
        <v>0</v>
      </c>
      <c r="BV63" s="61">
        <f t="shared" si="45"/>
        <v>0</v>
      </c>
      <c r="BW63" s="43">
        <f t="shared" si="46"/>
        <v>0</v>
      </c>
      <c r="BX63" s="35">
        <f t="shared" si="47"/>
        <v>0</v>
      </c>
      <c r="BY63" s="36">
        <f t="shared" si="48"/>
        <v>0</v>
      </c>
      <c r="BZ63" s="35">
        <f t="shared" si="49"/>
        <v>0</v>
      </c>
      <c r="CA63" s="62">
        <f t="shared" si="50"/>
        <v>0</v>
      </c>
      <c r="CB63" s="61">
        <f t="shared" si="51"/>
        <v>0</v>
      </c>
      <c r="CC63" s="43">
        <f t="shared" si="52"/>
        <v>0</v>
      </c>
      <c r="CD63" s="35">
        <f t="shared" si="53"/>
        <v>0</v>
      </c>
      <c r="CE63" s="36">
        <f t="shared" si="54"/>
        <v>0</v>
      </c>
      <c r="CF63" s="35">
        <f t="shared" si="55"/>
        <v>0</v>
      </c>
      <c r="CG63" s="62">
        <f t="shared" si="56"/>
        <v>0</v>
      </c>
      <c r="CH63" s="61">
        <f t="shared" si="57"/>
        <v>0</v>
      </c>
      <c r="CI63" s="43" t="str">
        <f t="shared" si="58"/>
        <v>min</v>
      </c>
      <c r="CJ63" s="35">
        <f t="shared" si="59"/>
        <v>0.88595000000000002</v>
      </c>
      <c r="CK63" s="36">
        <f t="shared" si="60"/>
        <v>1.015301</v>
      </c>
      <c r="CL63" s="35">
        <f t="shared" si="61"/>
        <v>0</v>
      </c>
      <c r="CM63" s="62">
        <f t="shared" si="62"/>
        <v>0</v>
      </c>
      <c r="CN63" s="61">
        <f t="shared" si="63"/>
        <v>1</v>
      </c>
      <c r="CO63" s="43" t="str">
        <f t="shared" si="64"/>
        <v>min</v>
      </c>
      <c r="CP63" s="35">
        <f t="shared" si="65"/>
        <v>0</v>
      </c>
      <c r="CQ63" s="36">
        <f t="shared" si="66"/>
        <v>0</v>
      </c>
      <c r="CR63" s="35">
        <f t="shared" si="67"/>
        <v>0</v>
      </c>
      <c r="CS63" s="62">
        <f t="shared" si="68"/>
        <v>0</v>
      </c>
      <c r="CT63" s="61">
        <f t="shared" si="69"/>
        <v>1</v>
      </c>
      <c r="CU63" s="43" t="str">
        <f t="shared" si="70"/>
        <v>min</v>
      </c>
      <c r="CV63" s="35">
        <f t="shared" si="71"/>
        <v>0</v>
      </c>
      <c r="CW63" s="36">
        <f t="shared" si="72"/>
        <v>0</v>
      </c>
      <c r="CX63" s="35">
        <f t="shared" si="87"/>
        <v>0</v>
      </c>
      <c r="CY63" s="62">
        <f t="shared" si="73"/>
        <v>0</v>
      </c>
      <c r="CZ63" s="61">
        <f t="shared" si="74"/>
        <v>1</v>
      </c>
      <c r="DA63" s="43" t="str">
        <f t="shared" si="75"/>
        <v>min</v>
      </c>
      <c r="DB63" s="35">
        <f t="shared" si="76"/>
        <v>0</v>
      </c>
      <c r="DC63" s="36">
        <f t="shared" si="77"/>
        <v>0</v>
      </c>
      <c r="DD63" s="35">
        <f t="shared" si="78"/>
        <v>0</v>
      </c>
      <c r="DE63" s="62">
        <f t="shared" si="86"/>
        <v>0</v>
      </c>
      <c r="DF63" s="61">
        <f t="shared" si="79"/>
        <v>1</v>
      </c>
      <c r="DG63" s="43" t="str">
        <f t="shared" si="80"/>
        <v>min</v>
      </c>
      <c r="DH63" s="35">
        <f t="shared" si="81"/>
        <v>0</v>
      </c>
      <c r="DI63" s="36">
        <f t="shared" si="82"/>
        <v>0</v>
      </c>
      <c r="DJ63" s="35">
        <f t="shared" si="83"/>
        <v>0</v>
      </c>
      <c r="DK63" s="62">
        <f t="shared" si="84"/>
        <v>0</v>
      </c>
    </row>
    <row r="64" spans="2:115" x14ac:dyDescent="0.3">
      <c r="B64" s="14">
        <v>0.88968700000000001</v>
      </c>
      <c r="C64" s="14">
        <v>1.0762229999999999</v>
      </c>
      <c r="D64">
        <f t="shared" si="85"/>
        <v>10078.395388083914</v>
      </c>
      <c r="E64" s="16">
        <f t="shared" si="8"/>
        <v>0.35719971894101538</v>
      </c>
      <c r="F64" s="15"/>
      <c r="G64" s="14">
        <v>0.87643800000000005</v>
      </c>
      <c r="H64" s="14">
        <v>1.083915</v>
      </c>
      <c r="I64">
        <f t="shared" si="9"/>
        <v>9915.0081130274248</v>
      </c>
      <c r="J64" s="16">
        <f t="shared" si="10"/>
        <v>0.36308593588238475</v>
      </c>
      <c r="K64" s="15"/>
      <c r="L64" s="14">
        <v>0.87142500000000001</v>
      </c>
      <c r="M64" s="14">
        <v>1.063334</v>
      </c>
      <c r="N64">
        <f t="shared" si="11"/>
        <v>9753.003992021544</v>
      </c>
      <c r="O64" s="16">
        <f t="shared" si="12"/>
        <v>0.36911704362522396</v>
      </c>
      <c r="P64" s="15"/>
      <c r="Q64" s="14">
        <v>0.86724199999999996</v>
      </c>
      <c r="R64" s="14">
        <v>1.0444040000000001</v>
      </c>
      <c r="S64">
        <f t="shared" si="13"/>
        <v>9579.3761708769489</v>
      </c>
      <c r="T64" s="16">
        <f t="shared" si="14"/>
        <v>0.37580735277362387</v>
      </c>
      <c r="U64" s="15"/>
      <c r="V64" s="14">
        <v>0.87242799999999998</v>
      </c>
      <c r="W64" s="14">
        <v>1.0259689999999999</v>
      </c>
      <c r="X64">
        <f t="shared" si="15"/>
        <v>9466.00433188844</v>
      </c>
      <c r="Y64" s="16">
        <f t="shared" si="16"/>
        <v>0.38030829838864133</v>
      </c>
      <c r="Z64" s="15"/>
      <c r="AA64" s="14">
        <v>0.90020299999999998</v>
      </c>
      <c r="AB64" s="14">
        <v>1.0094240000000001</v>
      </c>
      <c r="AC64">
        <f t="shared" si="17"/>
        <v>9361.3957222921399</v>
      </c>
      <c r="AD64" s="16">
        <f t="shared" si="18"/>
        <v>0.38455804100102065</v>
      </c>
      <c r="AE64" s="15"/>
      <c r="AF64" s="14">
        <v>0.93270699999999995</v>
      </c>
      <c r="AG64" s="14">
        <v>1.0058240000000001</v>
      </c>
      <c r="AH64">
        <f t="shared" si="19"/>
        <v>9394.4972239885301</v>
      </c>
      <c r="AI64" s="16">
        <f t="shared" si="20"/>
        <v>0.38320305112311087</v>
      </c>
      <c r="AJ64" s="15"/>
      <c r="AK64" s="14">
        <v>0.96371499999999999</v>
      </c>
      <c r="AL64" s="14">
        <v>1.003117</v>
      </c>
      <c r="AM64">
        <f t="shared" si="21"/>
        <v>9429.6007350999989</v>
      </c>
      <c r="AN64" s="16">
        <f t="shared" si="22"/>
        <v>0.38177650370705996</v>
      </c>
      <c r="AO64" s="15"/>
      <c r="AP64" s="14">
        <v>0.99573800000000001</v>
      </c>
      <c r="AQ64" s="14">
        <v>1.0004329999999999</v>
      </c>
      <c r="AR64">
        <f t="shared" si="23"/>
        <v>9466.9940319268026</v>
      </c>
      <c r="AS64" s="16">
        <f t="shared" si="24"/>
        <v>0.38026854013631378</v>
      </c>
      <c r="AT64" s="15"/>
      <c r="AU64" s="14">
        <v>1.000067</v>
      </c>
      <c r="AV64" s="14">
        <v>0.99997899999999995</v>
      </c>
      <c r="AW64">
        <f t="shared" si="25"/>
        <v>9568.7968348465402</v>
      </c>
      <c r="AX64" s="16">
        <f t="shared" si="26"/>
        <v>0.37622284829895597</v>
      </c>
      <c r="AY64" s="15"/>
      <c r="AZ64" s="15"/>
      <c r="BA64" s="15"/>
      <c r="BD64" s="61">
        <f t="shared" si="27"/>
        <v>0</v>
      </c>
      <c r="BE64" s="43" t="str">
        <f t="shared" si="28"/>
        <v>min</v>
      </c>
      <c r="BF64" s="35">
        <f t="shared" si="29"/>
        <v>0.88968700000000001</v>
      </c>
      <c r="BG64" s="36">
        <f t="shared" si="30"/>
        <v>1.0762229999999999</v>
      </c>
      <c r="BH64" s="35">
        <f t="shared" si="31"/>
        <v>0</v>
      </c>
      <c r="BI64" s="62">
        <f t="shared" si="32"/>
        <v>0</v>
      </c>
      <c r="BJ64" s="61">
        <f t="shared" si="33"/>
        <v>0</v>
      </c>
      <c r="BK64" s="43">
        <f t="shared" si="34"/>
        <v>0</v>
      </c>
      <c r="BL64" s="35">
        <f t="shared" si="35"/>
        <v>0</v>
      </c>
      <c r="BM64" s="36">
        <f t="shared" si="36"/>
        <v>0</v>
      </c>
      <c r="BN64" s="35">
        <f t="shared" si="37"/>
        <v>0</v>
      </c>
      <c r="BO64" s="62">
        <f t="shared" si="38"/>
        <v>0</v>
      </c>
      <c r="BP64" s="61">
        <f t="shared" si="39"/>
        <v>0</v>
      </c>
      <c r="BQ64" s="43">
        <f t="shared" si="40"/>
        <v>0</v>
      </c>
      <c r="BR64" s="35">
        <f t="shared" si="41"/>
        <v>0</v>
      </c>
      <c r="BS64" s="36">
        <f t="shared" si="42"/>
        <v>0</v>
      </c>
      <c r="BT64" s="35">
        <f t="shared" si="43"/>
        <v>0</v>
      </c>
      <c r="BU64" s="62">
        <f t="shared" si="44"/>
        <v>0</v>
      </c>
      <c r="BV64" s="61">
        <f t="shared" si="45"/>
        <v>0</v>
      </c>
      <c r="BW64" s="43">
        <f t="shared" si="46"/>
        <v>0</v>
      </c>
      <c r="BX64" s="35">
        <f t="shared" si="47"/>
        <v>0</v>
      </c>
      <c r="BY64" s="36">
        <f t="shared" si="48"/>
        <v>0</v>
      </c>
      <c r="BZ64" s="35">
        <f t="shared" si="49"/>
        <v>0</v>
      </c>
      <c r="CA64" s="62">
        <f t="shared" si="50"/>
        <v>0</v>
      </c>
      <c r="CB64" s="61">
        <f t="shared" si="51"/>
        <v>0</v>
      </c>
      <c r="CC64" s="43">
        <f t="shared" si="52"/>
        <v>0</v>
      </c>
      <c r="CD64" s="35">
        <f t="shared" si="53"/>
        <v>0</v>
      </c>
      <c r="CE64" s="36">
        <f t="shared" si="54"/>
        <v>0</v>
      </c>
      <c r="CF64" s="35">
        <f t="shared" si="55"/>
        <v>0</v>
      </c>
      <c r="CG64" s="62">
        <f t="shared" si="56"/>
        <v>0</v>
      </c>
      <c r="CH64" s="61">
        <f t="shared" si="57"/>
        <v>1</v>
      </c>
      <c r="CI64" s="43" t="str">
        <f t="shared" si="58"/>
        <v>min</v>
      </c>
      <c r="CJ64" s="35">
        <f t="shared" si="59"/>
        <v>0</v>
      </c>
      <c r="CK64" s="36">
        <f t="shared" si="60"/>
        <v>0</v>
      </c>
      <c r="CL64" s="35">
        <f t="shared" si="61"/>
        <v>0.90020299999999998</v>
      </c>
      <c r="CM64" s="62">
        <f t="shared" si="62"/>
        <v>1.0094240000000001</v>
      </c>
      <c r="CN64" s="61">
        <f t="shared" si="63"/>
        <v>1</v>
      </c>
      <c r="CO64" s="43" t="str">
        <f t="shared" si="64"/>
        <v>min</v>
      </c>
      <c r="CP64" s="35">
        <f t="shared" si="65"/>
        <v>0</v>
      </c>
      <c r="CQ64" s="36">
        <f t="shared" si="66"/>
        <v>0</v>
      </c>
      <c r="CR64" s="35">
        <f t="shared" si="67"/>
        <v>0</v>
      </c>
      <c r="CS64" s="62">
        <f t="shared" si="68"/>
        <v>0</v>
      </c>
      <c r="CT64" s="61">
        <f t="shared" si="69"/>
        <v>1</v>
      </c>
      <c r="CU64" s="43" t="str">
        <f t="shared" si="70"/>
        <v>min</v>
      </c>
      <c r="CV64" s="35">
        <f t="shared" si="71"/>
        <v>0</v>
      </c>
      <c r="CW64" s="36">
        <f t="shared" si="72"/>
        <v>0</v>
      </c>
      <c r="CX64" s="35">
        <f t="shared" si="87"/>
        <v>0</v>
      </c>
      <c r="CY64" s="62">
        <f t="shared" si="73"/>
        <v>0</v>
      </c>
      <c r="CZ64" s="61">
        <f t="shared" si="74"/>
        <v>1</v>
      </c>
      <c r="DA64" s="43" t="str">
        <f t="shared" si="75"/>
        <v>min</v>
      </c>
      <c r="DB64" s="35">
        <f t="shared" si="76"/>
        <v>0</v>
      </c>
      <c r="DC64" s="36">
        <f t="shared" si="77"/>
        <v>0</v>
      </c>
      <c r="DD64" s="35">
        <f t="shared" si="78"/>
        <v>0</v>
      </c>
      <c r="DE64" s="62">
        <f t="shared" si="86"/>
        <v>0</v>
      </c>
      <c r="DF64" s="61">
        <f t="shared" si="79"/>
        <v>1</v>
      </c>
      <c r="DG64" s="43">
        <f t="shared" si="80"/>
        <v>0</v>
      </c>
      <c r="DH64" s="35">
        <f t="shared" si="81"/>
        <v>0</v>
      </c>
      <c r="DI64" s="36">
        <f t="shared" si="82"/>
        <v>0</v>
      </c>
      <c r="DJ64" s="35">
        <f t="shared" si="83"/>
        <v>0</v>
      </c>
      <c r="DK64" s="62">
        <f t="shared" si="84"/>
        <v>0</v>
      </c>
    </row>
    <row r="65" spans="2:115" x14ac:dyDescent="0.3">
      <c r="B65" s="14">
        <v>0.90377300000000005</v>
      </c>
      <c r="C65" s="14">
        <v>1.066228</v>
      </c>
      <c r="D65">
        <f t="shared" si="85"/>
        <v>9984.7962344662174</v>
      </c>
      <c r="E65" s="16">
        <f t="shared" si="8"/>
        <v>0.36054816898248443</v>
      </c>
      <c r="F65" s="15"/>
      <c r="G65" s="14">
        <v>0.89031499999999997</v>
      </c>
      <c r="H65" s="14">
        <v>1.0737369999999999</v>
      </c>
      <c r="I65">
        <f t="shared" si="9"/>
        <v>9821.905837872644</v>
      </c>
      <c r="J65" s="16">
        <f t="shared" si="10"/>
        <v>0.36652764335396382</v>
      </c>
      <c r="K65" s="15"/>
      <c r="L65" s="14">
        <v>0.88522199999999995</v>
      </c>
      <c r="M65" s="14">
        <v>1.0534779999999999</v>
      </c>
      <c r="N65">
        <f t="shared" si="11"/>
        <v>9662.6037910072209</v>
      </c>
      <c r="O65" s="16">
        <f t="shared" si="12"/>
        <v>0.37257038349750438</v>
      </c>
      <c r="P65" s="15"/>
      <c r="Q65" s="14">
        <v>0.88097199999999998</v>
      </c>
      <c r="R65" s="14">
        <v>1.0347949999999999</v>
      </c>
      <c r="S65">
        <f t="shared" si="13"/>
        <v>9491.2414781469724</v>
      </c>
      <c r="T65" s="16">
        <f t="shared" si="14"/>
        <v>0.37929706122099927</v>
      </c>
      <c r="U65" s="15"/>
      <c r="V65" s="14">
        <v>0.88624000000000003</v>
      </c>
      <c r="W65" s="14">
        <v>1.0164850000000001</v>
      </c>
      <c r="X65">
        <f t="shared" si="15"/>
        <v>9378.5011177721954</v>
      </c>
      <c r="Y65" s="16">
        <f t="shared" si="16"/>
        <v>0.38385664775131551</v>
      </c>
      <c r="Z65" s="15"/>
      <c r="AA65" s="14">
        <v>0.91445500000000002</v>
      </c>
      <c r="AB65" s="14">
        <v>1.008141</v>
      </c>
      <c r="AC65">
        <f t="shared" si="17"/>
        <v>9349.4971834108565</v>
      </c>
      <c r="AD65" s="16">
        <f t="shared" si="18"/>
        <v>0.38504744473185226</v>
      </c>
      <c r="AE65" s="15"/>
      <c r="AF65" s="14">
        <v>0.94747400000000004</v>
      </c>
      <c r="AG65" s="14">
        <v>1.004572</v>
      </c>
      <c r="AH65">
        <f t="shared" si="19"/>
        <v>9382.8034181890725</v>
      </c>
      <c r="AI65" s="16">
        <f t="shared" si="20"/>
        <v>0.38368063781675371</v>
      </c>
      <c r="AJ65" s="15"/>
      <c r="AK65" s="14">
        <v>0.97897299999999998</v>
      </c>
      <c r="AL65" s="14">
        <v>1.001787</v>
      </c>
      <c r="AM65">
        <f t="shared" si="21"/>
        <v>9417.0983360999999</v>
      </c>
      <c r="AN65" s="16">
        <f t="shared" si="22"/>
        <v>0.38228336070353758</v>
      </c>
      <c r="AO65" s="15"/>
      <c r="AP65" s="14">
        <v>1</v>
      </c>
      <c r="AQ65" s="14">
        <v>1</v>
      </c>
      <c r="AR65">
        <f t="shared" si="23"/>
        <v>9462.8965976999989</v>
      </c>
      <c r="AS65" s="16">
        <f t="shared" si="24"/>
        <v>0.38043319641419271</v>
      </c>
      <c r="AT65" s="15"/>
      <c r="AU65" s="14"/>
      <c r="AV65" s="14"/>
      <c r="AW65" s="15"/>
      <c r="AX65" s="16"/>
      <c r="AY65" s="15"/>
      <c r="AZ65" s="15"/>
      <c r="BA65" s="15"/>
      <c r="BD65" s="61">
        <f t="shared" si="27"/>
        <v>1</v>
      </c>
      <c r="BE65" s="43" t="str">
        <f t="shared" si="28"/>
        <v>min</v>
      </c>
      <c r="BF65" s="35">
        <f t="shared" si="29"/>
        <v>0</v>
      </c>
      <c r="BG65" s="36">
        <f t="shared" si="30"/>
        <v>0</v>
      </c>
      <c r="BH65" s="35">
        <f t="shared" si="31"/>
        <v>0.90377300000000005</v>
      </c>
      <c r="BI65" s="62">
        <f t="shared" si="32"/>
        <v>1.066228</v>
      </c>
      <c r="BJ65" s="61">
        <f t="shared" si="33"/>
        <v>0</v>
      </c>
      <c r="BK65" s="43" t="str">
        <f t="shared" si="34"/>
        <v>min</v>
      </c>
      <c r="BL65" s="35">
        <f t="shared" si="35"/>
        <v>0.89031499999999997</v>
      </c>
      <c r="BM65" s="36">
        <f t="shared" si="36"/>
        <v>1.0737369999999999</v>
      </c>
      <c r="BN65" s="35">
        <f t="shared" si="37"/>
        <v>0</v>
      </c>
      <c r="BO65" s="62">
        <f t="shared" si="38"/>
        <v>0</v>
      </c>
      <c r="BP65" s="61">
        <f t="shared" si="39"/>
        <v>0</v>
      </c>
      <c r="BQ65" s="43">
        <f t="shared" si="40"/>
        <v>0</v>
      </c>
      <c r="BR65" s="35">
        <f t="shared" si="41"/>
        <v>0</v>
      </c>
      <c r="BS65" s="36">
        <f t="shared" si="42"/>
        <v>0</v>
      </c>
      <c r="BT65" s="35">
        <f t="shared" si="43"/>
        <v>0</v>
      </c>
      <c r="BU65" s="62">
        <f t="shared" si="44"/>
        <v>0</v>
      </c>
      <c r="BV65" s="61">
        <f t="shared" si="45"/>
        <v>0</v>
      </c>
      <c r="BW65" s="43">
        <f t="shared" si="46"/>
        <v>0</v>
      </c>
      <c r="BX65" s="35">
        <f t="shared" si="47"/>
        <v>0</v>
      </c>
      <c r="BY65" s="36">
        <f t="shared" si="48"/>
        <v>0</v>
      </c>
      <c r="BZ65" s="35">
        <f t="shared" si="49"/>
        <v>0</v>
      </c>
      <c r="CA65" s="62">
        <f t="shared" si="50"/>
        <v>0</v>
      </c>
      <c r="CB65" s="61">
        <f t="shared" si="51"/>
        <v>0</v>
      </c>
      <c r="CC65" s="43" t="str">
        <f t="shared" si="52"/>
        <v>min</v>
      </c>
      <c r="CD65" s="35">
        <f t="shared" si="53"/>
        <v>0.88624000000000003</v>
      </c>
      <c r="CE65" s="36">
        <f t="shared" si="54"/>
        <v>1.0164850000000001</v>
      </c>
      <c r="CF65" s="35">
        <f t="shared" si="55"/>
        <v>0</v>
      </c>
      <c r="CG65" s="62">
        <f t="shared" si="56"/>
        <v>0</v>
      </c>
      <c r="CH65" s="61">
        <f t="shared" si="57"/>
        <v>1</v>
      </c>
      <c r="CI65" s="43" t="str">
        <f t="shared" si="58"/>
        <v>min</v>
      </c>
      <c r="CJ65" s="35">
        <f t="shared" si="59"/>
        <v>0</v>
      </c>
      <c r="CK65" s="36">
        <f t="shared" si="60"/>
        <v>0</v>
      </c>
      <c r="CL65" s="35">
        <f t="shared" si="61"/>
        <v>0</v>
      </c>
      <c r="CM65" s="62">
        <f t="shared" si="62"/>
        <v>0</v>
      </c>
      <c r="CN65" s="61">
        <f t="shared" si="63"/>
        <v>1</v>
      </c>
      <c r="CO65" s="43" t="str">
        <f t="shared" si="64"/>
        <v>min</v>
      </c>
      <c r="CP65" s="35">
        <f t="shared" si="65"/>
        <v>0</v>
      </c>
      <c r="CQ65" s="36">
        <f t="shared" si="66"/>
        <v>0</v>
      </c>
      <c r="CR65" s="35">
        <f t="shared" si="67"/>
        <v>0</v>
      </c>
      <c r="CS65" s="62">
        <f t="shared" si="68"/>
        <v>0</v>
      </c>
      <c r="CT65" s="61">
        <f t="shared" si="69"/>
        <v>1</v>
      </c>
      <c r="CU65" s="43" t="str">
        <f t="shared" si="70"/>
        <v>min</v>
      </c>
      <c r="CV65" s="35">
        <f t="shared" si="71"/>
        <v>0</v>
      </c>
      <c r="CW65" s="36">
        <f t="shared" si="72"/>
        <v>0</v>
      </c>
      <c r="CX65" s="35">
        <f t="shared" si="87"/>
        <v>0</v>
      </c>
      <c r="CY65" s="62">
        <f t="shared" si="73"/>
        <v>0</v>
      </c>
      <c r="CZ65" s="61">
        <f t="shared" si="74"/>
        <v>1</v>
      </c>
      <c r="DA65" s="43">
        <f t="shared" si="75"/>
        <v>0</v>
      </c>
      <c r="DB65" s="35">
        <f t="shared" si="76"/>
        <v>0</v>
      </c>
      <c r="DC65" s="36">
        <f t="shared" si="77"/>
        <v>0</v>
      </c>
      <c r="DD65" s="35">
        <f t="shared" si="78"/>
        <v>0</v>
      </c>
      <c r="DE65" s="62">
        <f t="shared" si="86"/>
        <v>0</v>
      </c>
      <c r="DF65" s="61">
        <f t="shared" si="79"/>
        <v>0</v>
      </c>
      <c r="DG65" s="43">
        <f t="shared" si="80"/>
        <v>0</v>
      </c>
      <c r="DH65" s="35">
        <f t="shared" si="81"/>
        <v>0</v>
      </c>
      <c r="DI65" s="36">
        <f t="shared" si="82"/>
        <v>0</v>
      </c>
      <c r="DJ65" s="35">
        <f t="shared" si="83"/>
        <v>0</v>
      </c>
      <c r="DK65" s="62">
        <f t="shared" si="84"/>
        <v>0</v>
      </c>
    </row>
    <row r="66" spans="2:115" x14ac:dyDescent="0.3">
      <c r="B66" s="14">
        <v>0.91783099999999995</v>
      </c>
      <c r="C66" s="14">
        <v>1.0564039999999999</v>
      </c>
      <c r="D66">
        <f t="shared" si="85"/>
        <v>9892.7984270484812</v>
      </c>
      <c r="E66" s="16">
        <f t="shared" si="8"/>
        <v>0.36390107678298877</v>
      </c>
      <c r="F66" s="15"/>
      <c r="G66" s="14">
        <v>0.90416300000000005</v>
      </c>
      <c r="H66" s="14">
        <v>1.063712</v>
      </c>
      <c r="I66">
        <f t="shared" si="9"/>
        <v>9730.2031154884171</v>
      </c>
      <c r="J66" s="16">
        <f t="shared" si="10"/>
        <v>0.36998199906737456</v>
      </c>
      <c r="K66" s="15"/>
      <c r="L66" s="14">
        <v>0.89898999999999996</v>
      </c>
      <c r="M66" s="14">
        <v>1.0440469999999999</v>
      </c>
      <c r="N66">
        <f t="shared" si="11"/>
        <v>9576.1017317777078</v>
      </c>
      <c r="O66" s="16">
        <f t="shared" si="12"/>
        <v>0.37593585582467448</v>
      </c>
      <c r="P66" s="15"/>
      <c r="Q66" s="14">
        <v>0.894675</v>
      </c>
      <c r="R66" s="14">
        <v>1.025414</v>
      </c>
      <c r="S66">
        <f t="shared" si="13"/>
        <v>9405.1980238333217</v>
      </c>
      <c r="T66" s="16">
        <f t="shared" si="14"/>
        <v>0.38276706039334729</v>
      </c>
      <c r="U66" s="15"/>
      <c r="V66" s="14">
        <v>0.90002499999999996</v>
      </c>
      <c r="W66" s="14">
        <v>1.0086599999999999</v>
      </c>
      <c r="X66">
        <f t="shared" si="15"/>
        <v>9306.3045076435956</v>
      </c>
      <c r="Y66" s="16">
        <f t="shared" si="16"/>
        <v>0.38683453749479108</v>
      </c>
      <c r="Z66" s="15"/>
      <c r="AA66" s="14">
        <v>0.92867900000000003</v>
      </c>
      <c r="AB66" s="14">
        <v>1.0068360000000001</v>
      </c>
      <c r="AC66">
        <f t="shared" si="17"/>
        <v>9337.3946165830512</v>
      </c>
      <c r="AD66" s="16">
        <f t="shared" si="18"/>
        <v>0.38554651996890676</v>
      </c>
      <c r="AE66" s="15"/>
      <c r="AF66" s="14">
        <v>0.96221100000000004</v>
      </c>
      <c r="AG66" s="14">
        <v>1.003212</v>
      </c>
      <c r="AH66">
        <f t="shared" si="19"/>
        <v>9370.1008815379046</v>
      </c>
      <c r="AI66" s="16">
        <f t="shared" si="20"/>
        <v>0.38420077281058429</v>
      </c>
      <c r="AJ66" s="15"/>
      <c r="AK66" s="14">
        <v>0.994201</v>
      </c>
      <c r="AL66" s="14">
        <v>1.000489</v>
      </c>
      <c r="AM66">
        <f t="shared" si="21"/>
        <v>9404.8967466999984</v>
      </c>
      <c r="AN66" s="16">
        <f t="shared" si="22"/>
        <v>0.38277932198066633</v>
      </c>
      <c r="AO66" s="15"/>
      <c r="AP66" s="14"/>
      <c r="AQ66" s="14"/>
      <c r="AR66" s="15"/>
      <c r="AS66" s="16"/>
      <c r="AT66" s="15"/>
      <c r="AU66" s="15"/>
      <c r="AV66" s="15"/>
      <c r="AW66" s="15"/>
      <c r="AX66" s="15"/>
      <c r="AY66" s="15"/>
      <c r="AZ66" s="15"/>
      <c r="BA66" s="15"/>
      <c r="BD66" s="61">
        <f t="shared" si="27"/>
        <v>1</v>
      </c>
      <c r="BE66" s="43" t="str">
        <f t="shared" si="28"/>
        <v>min</v>
      </c>
      <c r="BF66" s="35">
        <f t="shared" si="29"/>
        <v>0</v>
      </c>
      <c r="BG66" s="36">
        <f t="shared" si="30"/>
        <v>0</v>
      </c>
      <c r="BH66" s="35">
        <f t="shared" si="31"/>
        <v>0</v>
      </c>
      <c r="BI66" s="62">
        <f t="shared" si="32"/>
        <v>0</v>
      </c>
      <c r="BJ66" s="61">
        <f t="shared" si="33"/>
        <v>1</v>
      </c>
      <c r="BK66" s="43" t="str">
        <f t="shared" si="34"/>
        <v>min</v>
      </c>
      <c r="BL66" s="35">
        <f t="shared" si="35"/>
        <v>0</v>
      </c>
      <c r="BM66" s="36">
        <f t="shared" si="36"/>
        <v>0</v>
      </c>
      <c r="BN66" s="35">
        <f t="shared" si="37"/>
        <v>0.90416300000000005</v>
      </c>
      <c r="BO66" s="62">
        <f t="shared" si="38"/>
        <v>1.063712</v>
      </c>
      <c r="BP66" s="61">
        <f t="shared" si="39"/>
        <v>0</v>
      </c>
      <c r="BQ66" s="43" t="str">
        <f t="shared" si="40"/>
        <v>min</v>
      </c>
      <c r="BR66" s="35">
        <f t="shared" si="41"/>
        <v>0.89898999999999996</v>
      </c>
      <c r="BS66" s="36">
        <f t="shared" si="42"/>
        <v>1.0440469999999999</v>
      </c>
      <c r="BT66" s="35">
        <f t="shared" si="43"/>
        <v>0</v>
      </c>
      <c r="BU66" s="62">
        <f t="shared" si="44"/>
        <v>0</v>
      </c>
      <c r="BV66" s="61">
        <f t="shared" si="45"/>
        <v>0</v>
      </c>
      <c r="BW66" s="43" t="str">
        <f t="shared" si="46"/>
        <v>min</v>
      </c>
      <c r="BX66" s="35">
        <f t="shared" si="47"/>
        <v>0.894675</v>
      </c>
      <c r="BY66" s="36">
        <f t="shared" si="48"/>
        <v>1.025414</v>
      </c>
      <c r="BZ66" s="35">
        <f t="shared" si="49"/>
        <v>0</v>
      </c>
      <c r="CA66" s="62">
        <f t="shared" si="50"/>
        <v>0</v>
      </c>
      <c r="CB66" s="61">
        <f t="shared" si="51"/>
        <v>1</v>
      </c>
      <c r="CC66" s="43" t="str">
        <f t="shared" si="52"/>
        <v>min</v>
      </c>
      <c r="CD66" s="35">
        <f t="shared" si="53"/>
        <v>0</v>
      </c>
      <c r="CE66" s="36">
        <f t="shared" si="54"/>
        <v>0</v>
      </c>
      <c r="CF66" s="35">
        <f t="shared" si="55"/>
        <v>0.90002499999999996</v>
      </c>
      <c r="CG66" s="62">
        <f t="shared" si="56"/>
        <v>1.0086599999999999</v>
      </c>
      <c r="CH66" s="61">
        <f t="shared" si="57"/>
        <v>1</v>
      </c>
      <c r="CI66" s="43" t="str">
        <f t="shared" si="58"/>
        <v>min</v>
      </c>
      <c r="CJ66" s="35">
        <f t="shared" si="59"/>
        <v>0</v>
      </c>
      <c r="CK66" s="36">
        <f t="shared" si="60"/>
        <v>0</v>
      </c>
      <c r="CL66" s="35">
        <f t="shared" si="61"/>
        <v>0</v>
      </c>
      <c r="CM66" s="62">
        <f t="shared" si="62"/>
        <v>0</v>
      </c>
      <c r="CN66" s="61">
        <f t="shared" si="63"/>
        <v>1</v>
      </c>
      <c r="CO66" s="43" t="str">
        <f t="shared" si="64"/>
        <v>min</v>
      </c>
      <c r="CP66" s="35">
        <f t="shared" si="65"/>
        <v>0</v>
      </c>
      <c r="CQ66" s="36">
        <f t="shared" si="66"/>
        <v>0</v>
      </c>
      <c r="CR66" s="35">
        <f t="shared" si="67"/>
        <v>0</v>
      </c>
      <c r="CS66" s="62">
        <f t="shared" si="68"/>
        <v>0</v>
      </c>
      <c r="CT66" s="61">
        <f t="shared" si="69"/>
        <v>1</v>
      </c>
      <c r="CU66" s="43" t="str">
        <f t="shared" si="70"/>
        <v>min</v>
      </c>
      <c r="CV66" s="35">
        <f t="shared" si="71"/>
        <v>0</v>
      </c>
      <c r="CW66" s="36">
        <f t="shared" si="72"/>
        <v>0</v>
      </c>
      <c r="CX66" s="35">
        <f t="shared" si="87"/>
        <v>0</v>
      </c>
      <c r="CY66" s="62">
        <f t="shared" si="73"/>
        <v>0</v>
      </c>
      <c r="CZ66" s="61">
        <f t="shared" si="74"/>
        <v>0</v>
      </c>
      <c r="DA66" s="43">
        <f t="shared" si="75"/>
        <v>0</v>
      </c>
      <c r="DB66" s="35">
        <f t="shared" si="76"/>
        <v>0</v>
      </c>
      <c r="DC66" s="36">
        <f t="shared" si="77"/>
        <v>0</v>
      </c>
      <c r="DD66" s="35">
        <f t="shared" si="78"/>
        <v>0</v>
      </c>
      <c r="DE66" s="62">
        <f t="shared" si="86"/>
        <v>0</v>
      </c>
      <c r="DF66" s="61">
        <f t="shared" si="79"/>
        <v>0</v>
      </c>
      <c r="DG66" s="43">
        <f t="shared" si="80"/>
        <v>0</v>
      </c>
      <c r="DH66" s="35">
        <f t="shared" si="81"/>
        <v>0</v>
      </c>
      <c r="DI66" s="36">
        <f t="shared" si="82"/>
        <v>0</v>
      </c>
      <c r="DJ66" s="35">
        <f t="shared" si="83"/>
        <v>0</v>
      </c>
      <c r="DK66" s="62">
        <f t="shared" si="84"/>
        <v>0</v>
      </c>
    </row>
    <row r="67" spans="2:115" x14ac:dyDescent="0.3">
      <c r="B67" s="14">
        <v>0.931917</v>
      </c>
      <c r="C67" s="14">
        <v>1.0468679999999999</v>
      </c>
      <c r="D67">
        <f t="shared" si="85"/>
        <v>9803.4976237570008</v>
      </c>
      <c r="E67" s="16">
        <f t="shared" si="8"/>
        <v>0.36721587928741395</v>
      </c>
      <c r="F67" s="15"/>
      <c r="G67" s="14">
        <v>0.91803900000000005</v>
      </c>
      <c r="H67" s="14">
        <v>1.053895</v>
      </c>
      <c r="I67">
        <f t="shared" si="9"/>
        <v>9640.4030530798427</v>
      </c>
      <c r="J67" s="16">
        <f t="shared" si="10"/>
        <v>0.37342837018104752</v>
      </c>
      <c r="K67" s="15"/>
      <c r="L67" s="14">
        <v>0.91278700000000002</v>
      </c>
      <c r="M67" s="14">
        <v>1.034834</v>
      </c>
      <c r="N67">
        <f t="shared" si="11"/>
        <v>9491.5991899813453</v>
      </c>
      <c r="O67" s="16">
        <f t="shared" si="12"/>
        <v>0.37928276657529986</v>
      </c>
      <c r="P67" s="15"/>
      <c r="Q67" s="14">
        <v>0.90840600000000005</v>
      </c>
      <c r="R67" s="14">
        <v>1.0162180000000001</v>
      </c>
      <c r="S67">
        <f t="shared" si="13"/>
        <v>9320.8514077083491</v>
      </c>
      <c r="T67" s="16">
        <f t="shared" si="14"/>
        <v>0.38623081117061886</v>
      </c>
      <c r="U67" s="15"/>
      <c r="V67" s="14">
        <v>0.91383800000000004</v>
      </c>
      <c r="W67" s="14">
        <v>1.0073810000000001</v>
      </c>
      <c r="X67">
        <f t="shared" si="15"/>
        <v>9294.5039371190651</v>
      </c>
      <c r="Y67" s="16">
        <f t="shared" si="16"/>
        <v>0.38732567379124266</v>
      </c>
      <c r="Z67" s="15"/>
      <c r="AA67" s="14">
        <v>0.94293199999999999</v>
      </c>
      <c r="AB67" s="14">
        <v>1.0056290000000001</v>
      </c>
      <c r="AC67">
        <f t="shared" si="17"/>
        <v>9326.2009015170261</v>
      </c>
      <c r="AD67" s="16">
        <f t="shared" si="18"/>
        <v>0.38600926979971173</v>
      </c>
      <c r="AE67" s="15"/>
      <c r="AF67" s="14">
        <v>0.97697900000000004</v>
      </c>
      <c r="AG67" s="14">
        <v>1.001927</v>
      </c>
      <c r="AH67">
        <f t="shared" si="19"/>
        <v>9358.0988524226468</v>
      </c>
      <c r="AI67" s="16">
        <f t="shared" si="20"/>
        <v>0.3846935212773504</v>
      </c>
      <c r="AJ67" s="15"/>
      <c r="AK67" s="14">
        <v>0.99987599999999999</v>
      </c>
      <c r="AL67" s="14">
        <v>1.000043</v>
      </c>
      <c r="AM67">
        <f t="shared" si="21"/>
        <v>9400.7042129000001</v>
      </c>
      <c r="AN67" s="16">
        <f t="shared" si="22"/>
        <v>0.38295003421764345</v>
      </c>
      <c r="AO67" s="15"/>
      <c r="AP67" s="15"/>
      <c r="AQ67" s="15"/>
      <c r="AR67" s="15"/>
      <c r="AS67" s="16"/>
      <c r="AT67" s="15"/>
      <c r="AU67" s="15"/>
      <c r="AV67" s="15"/>
      <c r="AW67" s="15"/>
      <c r="AX67" s="15"/>
      <c r="AY67" s="15"/>
      <c r="AZ67" s="15"/>
      <c r="BA67" s="15"/>
      <c r="BD67" s="61">
        <f t="shared" si="27"/>
        <v>1</v>
      </c>
      <c r="BE67" s="43" t="str">
        <f t="shared" si="28"/>
        <v>min</v>
      </c>
      <c r="BF67" s="35">
        <f t="shared" si="29"/>
        <v>0</v>
      </c>
      <c r="BG67" s="36">
        <f t="shared" si="30"/>
        <v>0</v>
      </c>
      <c r="BH67" s="35">
        <f t="shared" si="31"/>
        <v>0</v>
      </c>
      <c r="BI67" s="62">
        <f t="shared" si="32"/>
        <v>0</v>
      </c>
      <c r="BJ67" s="61">
        <f t="shared" si="33"/>
        <v>1</v>
      </c>
      <c r="BK67" s="43" t="str">
        <f t="shared" si="34"/>
        <v>min</v>
      </c>
      <c r="BL67" s="35">
        <f t="shared" si="35"/>
        <v>0</v>
      </c>
      <c r="BM67" s="36">
        <f t="shared" si="36"/>
        <v>0</v>
      </c>
      <c r="BN67" s="35">
        <f t="shared" si="37"/>
        <v>0</v>
      </c>
      <c r="BO67" s="62">
        <f t="shared" si="38"/>
        <v>0</v>
      </c>
      <c r="BP67" s="61">
        <f t="shared" si="39"/>
        <v>1</v>
      </c>
      <c r="BQ67" s="43" t="str">
        <f t="shared" si="40"/>
        <v>min</v>
      </c>
      <c r="BR67" s="35">
        <f t="shared" si="41"/>
        <v>0</v>
      </c>
      <c r="BS67" s="36">
        <f t="shared" si="42"/>
        <v>0</v>
      </c>
      <c r="BT67" s="35">
        <f t="shared" si="43"/>
        <v>0.91278700000000002</v>
      </c>
      <c r="BU67" s="62">
        <f t="shared" si="44"/>
        <v>1.034834</v>
      </c>
      <c r="BV67" s="61">
        <f t="shared" si="45"/>
        <v>1</v>
      </c>
      <c r="BW67" s="43" t="str">
        <f t="shared" si="46"/>
        <v>min</v>
      </c>
      <c r="BX67" s="35">
        <f t="shared" si="47"/>
        <v>0</v>
      </c>
      <c r="BY67" s="36">
        <f t="shared" si="48"/>
        <v>0</v>
      </c>
      <c r="BZ67" s="35">
        <f t="shared" si="49"/>
        <v>0.90840600000000005</v>
      </c>
      <c r="CA67" s="62">
        <f t="shared" si="50"/>
        <v>1.0162180000000001</v>
      </c>
      <c r="CB67" s="61">
        <f t="shared" si="51"/>
        <v>1</v>
      </c>
      <c r="CC67" s="43" t="str">
        <f t="shared" si="52"/>
        <v>min</v>
      </c>
      <c r="CD67" s="35">
        <f t="shared" si="53"/>
        <v>0</v>
      </c>
      <c r="CE67" s="36">
        <f t="shared" si="54"/>
        <v>0</v>
      </c>
      <c r="CF67" s="35">
        <f t="shared" si="55"/>
        <v>0</v>
      </c>
      <c r="CG67" s="62">
        <f t="shared" si="56"/>
        <v>0</v>
      </c>
      <c r="CH67" s="61">
        <f t="shared" si="57"/>
        <v>1</v>
      </c>
      <c r="CI67" s="43" t="str">
        <f t="shared" si="58"/>
        <v>min</v>
      </c>
      <c r="CJ67" s="35">
        <f t="shared" si="59"/>
        <v>0</v>
      </c>
      <c r="CK67" s="36">
        <f t="shared" si="60"/>
        <v>0</v>
      </c>
      <c r="CL67" s="35">
        <f t="shared" si="61"/>
        <v>0</v>
      </c>
      <c r="CM67" s="62">
        <f t="shared" si="62"/>
        <v>0</v>
      </c>
      <c r="CN67" s="61">
        <f t="shared" si="63"/>
        <v>1</v>
      </c>
      <c r="CO67" s="43" t="str">
        <f t="shared" si="64"/>
        <v>min</v>
      </c>
      <c r="CP67" s="35">
        <f t="shared" si="65"/>
        <v>0</v>
      </c>
      <c r="CQ67" s="36">
        <f t="shared" si="66"/>
        <v>0</v>
      </c>
      <c r="CR67" s="35">
        <f t="shared" si="67"/>
        <v>0</v>
      </c>
      <c r="CS67" s="62">
        <f t="shared" si="68"/>
        <v>0</v>
      </c>
      <c r="CT67" s="61">
        <f t="shared" si="69"/>
        <v>1</v>
      </c>
      <c r="CU67" s="43" t="str">
        <f t="shared" si="70"/>
        <v>min</v>
      </c>
      <c r="CV67" s="35">
        <f t="shared" si="71"/>
        <v>0</v>
      </c>
      <c r="CW67" s="36">
        <f t="shared" si="72"/>
        <v>0</v>
      </c>
      <c r="CX67" s="35">
        <f t="shared" si="87"/>
        <v>0</v>
      </c>
      <c r="CY67" s="62">
        <f t="shared" si="73"/>
        <v>0</v>
      </c>
      <c r="CZ67" s="61">
        <f t="shared" si="74"/>
        <v>0</v>
      </c>
      <c r="DA67" s="43">
        <f t="shared" si="75"/>
        <v>0</v>
      </c>
      <c r="DB67" s="35">
        <f t="shared" si="76"/>
        <v>0</v>
      </c>
      <c r="DC67" s="36">
        <f t="shared" si="77"/>
        <v>0</v>
      </c>
      <c r="DD67" s="35">
        <f t="shared" si="78"/>
        <v>0</v>
      </c>
      <c r="DE67" s="62">
        <f t="shared" si="86"/>
        <v>0</v>
      </c>
      <c r="DF67" s="61">
        <f t="shared" si="79"/>
        <v>0</v>
      </c>
      <c r="DG67" s="43">
        <f t="shared" si="80"/>
        <v>0</v>
      </c>
      <c r="DH67" s="35">
        <f t="shared" si="81"/>
        <v>0</v>
      </c>
      <c r="DI67" s="36">
        <f t="shared" si="82"/>
        <v>0</v>
      </c>
      <c r="DJ67" s="35">
        <f t="shared" si="83"/>
        <v>0</v>
      </c>
      <c r="DK67" s="62">
        <f t="shared" si="84"/>
        <v>0</v>
      </c>
    </row>
    <row r="68" spans="2:115" x14ac:dyDescent="0.3">
      <c r="B68" s="14">
        <v>0.94597500000000001</v>
      </c>
      <c r="C68" s="14">
        <v>1.037364</v>
      </c>
      <c r="D68">
        <f t="shared" si="85"/>
        <v>9714.4964875906589</v>
      </c>
      <c r="E68" s="16">
        <f t="shared" si="8"/>
        <v>0.37058019472225412</v>
      </c>
      <c r="F68" s="15"/>
      <c r="G68" s="14">
        <v>0.93188700000000002</v>
      </c>
      <c r="H68" s="14">
        <v>1.0442750000000001</v>
      </c>
      <c r="I68">
        <f t="shared" si="9"/>
        <v>9552.4050292059019</v>
      </c>
      <c r="J68" s="16">
        <f t="shared" si="10"/>
        <v>0.37686844192569485</v>
      </c>
      <c r="K68" s="15"/>
      <c r="L68" s="14">
        <v>0.92655600000000005</v>
      </c>
      <c r="M68" s="14">
        <v>1.0257849999999999</v>
      </c>
      <c r="N68">
        <f t="shared" si="11"/>
        <v>9408.6008723090017</v>
      </c>
      <c r="O68" s="16">
        <f t="shared" si="12"/>
        <v>0.38262862341151793</v>
      </c>
      <c r="P68" s="15"/>
      <c r="Q68" s="14">
        <v>0.92210899999999996</v>
      </c>
      <c r="R68" s="14">
        <v>1.0072179999999999</v>
      </c>
      <c r="S68">
        <f t="shared" si="13"/>
        <v>9238.302522853548</v>
      </c>
      <c r="T68" s="16">
        <f t="shared" si="14"/>
        <v>0.38968197794934561</v>
      </c>
      <c r="U68" s="15"/>
      <c r="V68" s="14">
        <v>0.92762299999999998</v>
      </c>
      <c r="W68" s="14">
        <v>1.006124</v>
      </c>
      <c r="X68">
        <f t="shared" si="15"/>
        <v>9282.9063474792365</v>
      </c>
      <c r="Y68" s="16">
        <f t="shared" si="16"/>
        <v>0.38780957872935734</v>
      </c>
      <c r="Z68" s="15"/>
      <c r="AA68" s="14">
        <v>0.95715499999999998</v>
      </c>
      <c r="AB68" s="14">
        <v>1.004302</v>
      </c>
      <c r="AC68">
        <f t="shared" si="17"/>
        <v>9313.8943067426972</v>
      </c>
      <c r="AD68" s="16">
        <f t="shared" si="18"/>
        <v>0.38651930990818928</v>
      </c>
      <c r="AE68" s="15"/>
      <c r="AF68" s="14">
        <v>0.99171600000000004</v>
      </c>
      <c r="AG68" s="14">
        <v>1.000675</v>
      </c>
      <c r="AH68">
        <f t="shared" si="19"/>
        <v>9346.4050466231893</v>
      </c>
      <c r="AI68" s="16">
        <f t="shared" si="20"/>
        <v>0.38517483268079233</v>
      </c>
      <c r="AJ68" s="15"/>
      <c r="AK68" s="14">
        <v>1</v>
      </c>
      <c r="AL68" s="14">
        <v>1</v>
      </c>
      <c r="AM68">
        <f t="shared" si="21"/>
        <v>9400.2999999999993</v>
      </c>
      <c r="AN68" s="16">
        <f t="shared" si="22"/>
        <v>0.38296650106911484</v>
      </c>
      <c r="AO68" s="15"/>
      <c r="AP68" s="15"/>
      <c r="AQ68" s="15"/>
      <c r="AS68" s="4"/>
      <c r="BD68" s="61">
        <f t="shared" si="27"/>
        <v>1</v>
      </c>
      <c r="BE68" s="43" t="str">
        <f t="shared" si="28"/>
        <v>min</v>
      </c>
      <c r="BF68" s="35">
        <f t="shared" si="29"/>
        <v>0</v>
      </c>
      <c r="BG68" s="36">
        <f t="shared" si="30"/>
        <v>0</v>
      </c>
      <c r="BH68" s="35">
        <f t="shared" si="31"/>
        <v>0</v>
      </c>
      <c r="BI68" s="62">
        <f t="shared" si="32"/>
        <v>0</v>
      </c>
      <c r="BJ68" s="61">
        <f t="shared" si="33"/>
        <v>1</v>
      </c>
      <c r="BK68" s="43" t="str">
        <f t="shared" si="34"/>
        <v>min</v>
      </c>
      <c r="BL68" s="35">
        <f t="shared" si="35"/>
        <v>0</v>
      </c>
      <c r="BM68" s="36">
        <f t="shared" si="36"/>
        <v>0</v>
      </c>
      <c r="BN68" s="35">
        <f t="shared" si="37"/>
        <v>0</v>
      </c>
      <c r="BO68" s="62">
        <f t="shared" si="38"/>
        <v>0</v>
      </c>
      <c r="BP68" s="61">
        <f t="shared" si="39"/>
        <v>1</v>
      </c>
      <c r="BQ68" s="43" t="str">
        <f t="shared" si="40"/>
        <v>min</v>
      </c>
      <c r="BR68" s="35">
        <f t="shared" si="41"/>
        <v>0</v>
      </c>
      <c r="BS68" s="36">
        <f t="shared" si="42"/>
        <v>0</v>
      </c>
      <c r="BT68" s="35">
        <f t="shared" si="43"/>
        <v>0</v>
      </c>
      <c r="BU68" s="62">
        <f t="shared" si="44"/>
        <v>0</v>
      </c>
      <c r="BV68" s="61">
        <f t="shared" si="45"/>
        <v>1</v>
      </c>
      <c r="BW68" s="43" t="str">
        <f t="shared" si="46"/>
        <v>min</v>
      </c>
      <c r="BX68" s="35">
        <f t="shared" si="47"/>
        <v>0</v>
      </c>
      <c r="BY68" s="36">
        <f t="shared" si="48"/>
        <v>0</v>
      </c>
      <c r="BZ68" s="35">
        <f t="shared" si="49"/>
        <v>0</v>
      </c>
      <c r="CA68" s="62">
        <f t="shared" si="50"/>
        <v>0</v>
      </c>
      <c r="CB68" s="61">
        <f t="shared" si="51"/>
        <v>1</v>
      </c>
      <c r="CC68" s="43" t="str">
        <f t="shared" si="52"/>
        <v>min</v>
      </c>
      <c r="CD68" s="35">
        <f t="shared" si="53"/>
        <v>0</v>
      </c>
      <c r="CE68" s="36">
        <f t="shared" si="54"/>
        <v>0</v>
      </c>
      <c r="CF68" s="35">
        <f t="shared" si="55"/>
        <v>0</v>
      </c>
      <c r="CG68" s="62">
        <f t="shared" si="56"/>
        <v>0</v>
      </c>
      <c r="CH68" s="61">
        <f t="shared" si="57"/>
        <v>1</v>
      </c>
      <c r="CI68" s="43" t="str">
        <f t="shared" si="58"/>
        <v>min</v>
      </c>
      <c r="CJ68" s="35">
        <f t="shared" si="59"/>
        <v>0</v>
      </c>
      <c r="CK68" s="36">
        <f t="shared" si="60"/>
        <v>0</v>
      </c>
      <c r="CL68" s="35">
        <f t="shared" si="61"/>
        <v>0</v>
      </c>
      <c r="CM68" s="62">
        <f t="shared" si="62"/>
        <v>0</v>
      </c>
      <c r="CN68" s="61">
        <f t="shared" si="63"/>
        <v>1</v>
      </c>
      <c r="CO68" s="43" t="str">
        <f t="shared" si="64"/>
        <v>min</v>
      </c>
      <c r="CP68" s="35">
        <f t="shared" si="65"/>
        <v>0</v>
      </c>
      <c r="CQ68" s="36">
        <f t="shared" si="66"/>
        <v>0</v>
      </c>
      <c r="CR68" s="35">
        <f t="shared" si="67"/>
        <v>0</v>
      </c>
      <c r="CS68" s="62">
        <f t="shared" si="68"/>
        <v>0</v>
      </c>
      <c r="CT68" s="61">
        <f t="shared" si="69"/>
        <v>1</v>
      </c>
      <c r="CU68" s="43">
        <f t="shared" si="70"/>
        <v>0</v>
      </c>
      <c r="CV68" s="35">
        <f t="shared" si="71"/>
        <v>0</v>
      </c>
      <c r="CW68" s="36">
        <f t="shared" si="72"/>
        <v>0</v>
      </c>
      <c r="CX68" s="35">
        <f t="shared" si="87"/>
        <v>0</v>
      </c>
      <c r="CY68" s="62">
        <f t="shared" si="73"/>
        <v>0</v>
      </c>
      <c r="CZ68" s="61">
        <f t="shared" si="74"/>
        <v>0</v>
      </c>
      <c r="DA68" s="43">
        <f t="shared" si="75"/>
        <v>0</v>
      </c>
      <c r="DB68" s="35">
        <f t="shared" si="76"/>
        <v>0</v>
      </c>
      <c r="DC68" s="36">
        <f t="shared" si="77"/>
        <v>0</v>
      </c>
      <c r="DD68" s="35">
        <f t="shared" si="78"/>
        <v>0</v>
      </c>
      <c r="DE68" s="62">
        <f t="shared" si="86"/>
        <v>0</v>
      </c>
      <c r="DF68" s="61">
        <f t="shared" si="79"/>
        <v>0</v>
      </c>
      <c r="DG68" s="43">
        <f t="shared" si="80"/>
        <v>0</v>
      </c>
      <c r="DH68" s="35">
        <f t="shared" si="81"/>
        <v>0</v>
      </c>
      <c r="DI68" s="36">
        <f t="shared" si="82"/>
        <v>0</v>
      </c>
      <c r="DJ68" s="35">
        <f t="shared" si="83"/>
        <v>0</v>
      </c>
      <c r="DK68" s="62">
        <f t="shared" si="84"/>
        <v>0</v>
      </c>
    </row>
    <row r="69" spans="2:115" x14ac:dyDescent="0.3">
      <c r="B69" s="14">
        <v>0.96006100000000005</v>
      </c>
      <c r="C69" s="14">
        <v>1.0280199999999999</v>
      </c>
      <c r="D69">
        <f t="shared" si="85"/>
        <v>9626.9936870500114</v>
      </c>
      <c r="E69" s="16">
        <f t="shared" si="8"/>
        <v>0.37394851570772597</v>
      </c>
      <c r="F69" s="15"/>
      <c r="G69" s="14">
        <v>0.94576400000000005</v>
      </c>
      <c r="H69" s="14">
        <v>1.035245</v>
      </c>
      <c r="I69">
        <f t="shared" si="9"/>
        <v>9469.8039735321272</v>
      </c>
      <c r="J69" s="16">
        <f t="shared" si="10"/>
        <v>0.38015570439070467</v>
      </c>
      <c r="K69" s="15"/>
      <c r="L69" s="14">
        <v>0.94035299999999999</v>
      </c>
      <c r="M69" s="14">
        <v>1.0169319999999999</v>
      </c>
      <c r="N69">
        <f t="shared" si="11"/>
        <v>9327.4002859068296</v>
      </c>
      <c r="O69" s="16">
        <f t="shared" si="12"/>
        <v>0.38595963394424004</v>
      </c>
      <c r="P69" s="15"/>
      <c r="Q69" s="14">
        <v>0.93583899999999998</v>
      </c>
      <c r="R69" s="14">
        <v>1.0045109999999999</v>
      </c>
      <c r="S69">
        <f t="shared" si="13"/>
        <v>9213.473652708888</v>
      </c>
      <c r="T69" s="16">
        <f t="shared" si="14"/>
        <v>0.39073210991834234</v>
      </c>
      <c r="U69" s="15"/>
      <c r="V69" s="14">
        <v>0.94143600000000005</v>
      </c>
      <c r="W69" s="14">
        <v>1.004823</v>
      </c>
      <c r="X69">
        <f t="shared" si="15"/>
        <v>9270.9027960699968</v>
      </c>
      <c r="Y69" s="16">
        <f t="shared" si="16"/>
        <v>0.38831169727354559</v>
      </c>
      <c r="Z69" s="15"/>
      <c r="AA69" s="14">
        <v>0.97140800000000005</v>
      </c>
      <c r="AB69" s="14">
        <v>1.0030190000000001</v>
      </c>
      <c r="AC69">
        <f t="shared" si="17"/>
        <v>9301.9957678614155</v>
      </c>
      <c r="AD69" s="16">
        <f t="shared" si="18"/>
        <v>0.38701372155404251</v>
      </c>
      <c r="AE69" s="15"/>
      <c r="AF69" s="14">
        <v>1</v>
      </c>
      <c r="AG69" s="14">
        <v>1</v>
      </c>
      <c r="AH69">
        <f t="shared" si="19"/>
        <v>9340.1004787999991</v>
      </c>
      <c r="AI69" s="16">
        <f t="shared" si="20"/>
        <v>0.38543482569285187</v>
      </c>
      <c r="AJ69" s="15"/>
      <c r="AK69" s="14"/>
      <c r="AL69" s="14"/>
      <c r="AM69" s="15"/>
      <c r="AN69" s="16"/>
      <c r="AO69" s="15"/>
      <c r="AP69" s="15"/>
      <c r="AQ69" s="15"/>
      <c r="AS69" s="4"/>
      <c r="BD69" s="61">
        <f t="shared" si="27"/>
        <v>1</v>
      </c>
      <c r="BE69" s="43" t="str">
        <f t="shared" si="28"/>
        <v>min</v>
      </c>
      <c r="BF69" s="35">
        <f t="shared" si="29"/>
        <v>0</v>
      </c>
      <c r="BG69" s="36">
        <f t="shared" si="30"/>
        <v>0</v>
      </c>
      <c r="BH69" s="35">
        <f t="shared" si="31"/>
        <v>0</v>
      </c>
      <c r="BI69" s="62">
        <f t="shared" si="32"/>
        <v>0</v>
      </c>
      <c r="BJ69" s="61">
        <f t="shared" si="33"/>
        <v>1</v>
      </c>
      <c r="BK69" s="43" t="str">
        <f t="shared" si="34"/>
        <v>min</v>
      </c>
      <c r="BL69" s="35">
        <f t="shared" si="35"/>
        <v>0</v>
      </c>
      <c r="BM69" s="36">
        <f t="shared" si="36"/>
        <v>0</v>
      </c>
      <c r="BN69" s="35">
        <f t="shared" si="37"/>
        <v>0</v>
      </c>
      <c r="BO69" s="62">
        <f t="shared" si="38"/>
        <v>0</v>
      </c>
      <c r="BP69" s="61">
        <f t="shared" si="39"/>
        <v>1</v>
      </c>
      <c r="BQ69" s="43" t="str">
        <f t="shared" si="40"/>
        <v>min</v>
      </c>
      <c r="BR69" s="35">
        <f t="shared" si="41"/>
        <v>0</v>
      </c>
      <c r="BS69" s="36">
        <f t="shared" si="42"/>
        <v>0</v>
      </c>
      <c r="BT69" s="35">
        <f t="shared" si="43"/>
        <v>0</v>
      </c>
      <c r="BU69" s="62">
        <f t="shared" si="44"/>
        <v>0</v>
      </c>
      <c r="BV69" s="61">
        <f t="shared" si="45"/>
        <v>1</v>
      </c>
      <c r="BW69" s="43" t="str">
        <f t="shared" si="46"/>
        <v>min</v>
      </c>
      <c r="BX69" s="35">
        <f t="shared" si="47"/>
        <v>0</v>
      </c>
      <c r="BY69" s="36">
        <f t="shared" si="48"/>
        <v>0</v>
      </c>
      <c r="BZ69" s="35">
        <f t="shared" si="49"/>
        <v>0</v>
      </c>
      <c r="CA69" s="62">
        <f t="shared" si="50"/>
        <v>0</v>
      </c>
      <c r="CB69" s="61">
        <f t="shared" si="51"/>
        <v>1</v>
      </c>
      <c r="CC69" s="43" t="str">
        <f t="shared" si="52"/>
        <v>min</v>
      </c>
      <c r="CD69" s="35">
        <f t="shared" si="53"/>
        <v>0</v>
      </c>
      <c r="CE69" s="36">
        <f t="shared" si="54"/>
        <v>0</v>
      </c>
      <c r="CF69" s="35">
        <f t="shared" si="55"/>
        <v>0</v>
      </c>
      <c r="CG69" s="62">
        <f t="shared" si="56"/>
        <v>0</v>
      </c>
      <c r="CH69" s="61">
        <f t="shared" si="57"/>
        <v>1</v>
      </c>
      <c r="CI69" s="43" t="str">
        <f t="shared" si="58"/>
        <v>min</v>
      </c>
      <c r="CJ69" s="35">
        <f t="shared" si="59"/>
        <v>0</v>
      </c>
      <c r="CK69" s="36">
        <f t="shared" si="60"/>
        <v>0</v>
      </c>
      <c r="CL69" s="35">
        <f t="shared" si="61"/>
        <v>0</v>
      </c>
      <c r="CM69" s="62">
        <f t="shared" si="62"/>
        <v>0</v>
      </c>
      <c r="CN69" s="61">
        <f t="shared" si="63"/>
        <v>1</v>
      </c>
      <c r="CO69" s="43" t="str">
        <f t="shared" si="64"/>
        <v>min</v>
      </c>
      <c r="CP69" s="35">
        <f t="shared" si="65"/>
        <v>0</v>
      </c>
      <c r="CQ69" s="36">
        <f t="shared" si="66"/>
        <v>0</v>
      </c>
      <c r="CR69" s="35">
        <f t="shared" si="67"/>
        <v>0</v>
      </c>
      <c r="CS69" s="62">
        <f t="shared" si="68"/>
        <v>0</v>
      </c>
      <c r="CT69" s="61">
        <f t="shared" si="69"/>
        <v>0</v>
      </c>
      <c r="CU69" s="43">
        <f t="shared" si="70"/>
        <v>0</v>
      </c>
      <c r="CV69" s="35">
        <f t="shared" si="71"/>
        <v>0</v>
      </c>
      <c r="CW69" s="36">
        <f t="shared" si="72"/>
        <v>0</v>
      </c>
      <c r="CX69" s="35">
        <f t="shared" si="87"/>
        <v>0</v>
      </c>
      <c r="CY69" s="62">
        <f t="shared" si="73"/>
        <v>0</v>
      </c>
      <c r="CZ69" s="61">
        <f t="shared" si="74"/>
        <v>0</v>
      </c>
      <c r="DA69" s="43">
        <f t="shared" si="75"/>
        <v>0</v>
      </c>
      <c r="DB69" s="35">
        <f t="shared" si="76"/>
        <v>0</v>
      </c>
      <c r="DC69" s="36">
        <f t="shared" si="77"/>
        <v>0</v>
      </c>
      <c r="DD69" s="35">
        <f t="shared" si="78"/>
        <v>0</v>
      </c>
      <c r="DE69" s="62">
        <f t="shared" si="86"/>
        <v>0</v>
      </c>
      <c r="DF69" s="61">
        <f t="shared" si="79"/>
        <v>0</v>
      </c>
      <c r="DG69" s="43">
        <f t="shared" si="80"/>
        <v>0</v>
      </c>
      <c r="DH69" s="35">
        <f t="shared" si="81"/>
        <v>0</v>
      </c>
      <c r="DI69" s="36">
        <f t="shared" si="82"/>
        <v>0</v>
      </c>
      <c r="DJ69" s="35">
        <f t="shared" si="83"/>
        <v>0</v>
      </c>
      <c r="DK69" s="62">
        <f t="shared" si="84"/>
        <v>0</v>
      </c>
    </row>
    <row r="70" spans="2:115" x14ac:dyDescent="0.3">
      <c r="B70" s="14">
        <v>0.97411800000000004</v>
      </c>
      <c r="C70" s="14">
        <v>1.017844</v>
      </c>
      <c r="D70">
        <f t="shared" si="85"/>
        <v>9531.6995412557462</v>
      </c>
      <c r="E70" s="16">
        <f t="shared" si="8"/>
        <v>0.37768710442647052</v>
      </c>
      <c r="F70" s="15"/>
      <c r="G70" s="14">
        <v>0.95961200000000002</v>
      </c>
      <c r="H70" s="14">
        <v>1.026467</v>
      </c>
      <c r="I70">
        <f t="shared" si="9"/>
        <v>9389.5080635980885</v>
      </c>
      <c r="J70" s="16">
        <f t="shared" si="10"/>
        <v>0.38340666791231964</v>
      </c>
      <c r="K70" s="15"/>
      <c r="L70" s="14">
        <v>0.95412200000000003</v>
      </c>
      <c r="M70" s="14">
        <v>1.0081439999999999</v>
      </c>
      <c r="N70">
        <f t="shared" si="11"/>
        <v>9246.7958858952752</v>
      </c>
      <c r="O70" s="16">
        <f t="shared" si="12"/>
        <v>0.3893240474239632</v>
      </c>
      <c r="P70" s="15"/>
      <c r="Q70" s="14">
        <v>0.949542</v>
      </c>
      <c r="R70" s="14">
        <v>1.0029999999999999</v>
      </c>
      <c r="S70">
        <f t="shared" si="13"/>
        <v>9199.6146121515994</v>
      </c>
      <c r="T70" s="16">
        <f t="shared" si="14"/>
        <v>0.39132074024544761</v>
      </c>
      <c r="U70" s="15"/>
      <c r="V70" s="14">
        <v>0.95522099999999999</v>
      </c>
      <c r="W70" s="14">
        <v>1.003468</v>
      </c>
      <c r="X70">
        <f t="shared" si="15"/>
        <v>9258.4010188528391</v>
      </c>
      <c r="Y70" s="16">
        <f t="shared" si="16"/>
        <v>0.38883604119861914</v>
      </c>
      <c r="Z70" s="15"/>
      <c r="AA70" s="14">
        <v>0.98563199999999995</v>
      </c>
      <c r="AB70" s="14">
        <v>1.001725</v>
      </c>
      <c r="AC70">
        <f t="shared" si="17"/>
        <v>9289.9952150068693</v>
      </c>
      <c r="AD70" s="16">
        <f t="shared" si="18"/>
        <v>0.38751365492466922</v>
      </c>
      <c r="AE70" s="15"/>
      <c r="AF70" s="14">
        <v>1.0000599999999999</v>
      </c>
      <c r="AG70" s="14">
        <v>0.999946</v>
      </c>
      <c r="AH70">
        <f t="shared" si="19"/>
        <v>9339.5961133741439</v>
      </c>
      <c r="AI70" s="16">
        <f t="shared" si="20"/>
        <v>0.3854556402974279</v>
      </c>
      <c r="AJ70" s="15"/>
      <c r="AK70" s="15"/>
      <c r="AL70" s="15"/>
      <c r="AM70" s="15"/>
      <c r="AN70" s="16"/>
      <c r="AO70" s="15"/>
      <c r="AP70" s="15"/>
      <c r="AQ70" s="15"/>
      <c r="AS70" s="4"/>
      <c r="BD70" s="61">
        <f t="shared" si="27"/>
        <v>1</v>
      </c>
      <c r="BE70" s="43" t="str">
        <f t="shared" si="28"/>
        <v>min</v>
      </c>
      <c r="BF70" s="35">
        <f t="shared" si="29"/>
        <v>0</v>
      </c>
      <c r="BG70" s="36">
        <f t="shared" si="30"/>
        <v>0</v>
      </c>
      <c r="BH70" s="35">
        <f t="shared" si="31"/>
        <v>0</v>
      </c>
      <c r="BI70" s="62">
        <f t="shared" si="32"/>
        <v>0</v>
      </c>
      <c r="BJ70" s="61">
        <f t="shared" si="33"/>
        <v>1</v>
      </c>
      <c r="BK70" s="43" t="str">
        <f t="shared" si="34"/>
        <v>min</v>
      </c>
      <c r="BL70" s="35">
        <f t="shared" si="35"/>
        <v>0</v>
      </c>
      <c r="BM70" s="36">
        <f t="shared" si="36"/>
        <v>0</v>
      </c>
      <c r="BN70" s="35">
        <f t="shared" si="37"/>
        <v>0</v>
      </c>
      <c r="BO70" s="62">
        <f t="shared" si="38"/>
        <v>0</v>
      </c>
      <c r="BP70" s="61">
        <f t="shared" si="39"/>
        <v>1</v>
      </c>
      <c r="BQ70" s="43" t="str">
        <f t="shared" si="40"/>
        <v>min</v>
      </c>
      <c r="BR70" s="35">
        <f t="shared" si="41"/>
        <v>0</v>
      </c>
      <c r="BS70" s="36">
        <f t="shared" si="42"/>
        <v>0</v>
      </c>
      <c r="BT70" s="35">
        <f t="shared" si="43"/>
        <v>0</v>
      </c>
      <c r="BU70" s="62">
        <f t="shared" si="44"/>
        <v>0</v>
      </c>
      <c r="BV70" s="61">
        <f t="shared" si="45"/>
        <v>1</v>
      </c>
      <c r="BW70" s="43" t="str">
        <f t="shared" si="46"/>
        <v>min</v>
      </c>
      <c r="BX70" s="35">
        <f t="shared" si="47"/>
        <v>0</v>
      </c>
      <c r="BY70" s="36">
        <f t="shared" si="48"/>
        <v>0</v>
      </c>
      <c r="BZ70" s="35">
        <f t="shared" si="49"/>
        <v>0</v>
      </c>
      <c r="CA70" s="62">
        <f t="shared" si="50"/>
        <v>0</v>
      </c>
      <c r="CB70" s="61">
        <f t="shared" si="51"/>
        <v>1</v>
      </c>
      <c r="CC70" s="43" t="str">
        <f t="shared" si="52"/>
        <v>min</v>
      </c>
      <c r="CD70" s="35">
        <f t="shared" si="53"/>
        <v>0</v>
      </c>
      <c r="CE70" s="36">
        <f t="shared" si="54"/>
        <v>0</v>
      </c>
      <c r="CF70" s="35">
        <f t="shared" si="55"/>
        <v>0</v>
      </c>
      <c r="CG70" s="62">
        <f t="shared" si="56"/>
        <v>0</v>
      </c>
      <c r="CH70" s="61">
        <f t="shared" si="57"/>
        <v>1</v>
      </c>
      <c r="CI70" s="43" t="str">
        <f t="shared" si="58"/>
        <v>min</v>
      </c>
      <c r="CJ70" s="35">
        <f t="shared" si="59"/>
        <v>0</v>
      </c>
      <c r="CK70" s="36">
        <f t="shared" si="60"/>
        <v>0</v>
      </c>
      <c r="CL70" s="35">
        <f t="shared" si="61"/>
        <v>0</v>
      </c>
      <c r="CM70" s="62">
        <f t="shared" si="62"/>
        <v>0</v>
      </c>
      <c r="CN70" s="61">
        <f t="shared" si="63"/>
        <v>1</v>
      </c>
      <c r="CO70" s="43" t="str">
        <f t="shared" si="64"/>
        <v>min</v>
      </c>
      <c r="CP70" s="35">
        <f t="shared" si="65"/>
        <v>0</v>
      </c>
      <c r="CQ70" s="36">
        <f t="shared" si="66"/>
        <v>0</v>
      </c>
      <c r="CR70" s="35">
        <f t="shared" si="67"/>
        <v>0</v>
      </c>
      <c r="CS70" s="62">
        <f t="shared" si="68"/>
        <v>0</v>
      </c>
      <c r="CT70" s="61">
        <f t="shared" si="69"/>
        <v>0</v>
      </c>
      <c r="CU70" s="43">
        <f t="shared" si="70"/>
        <v>0</v>
      </c>
      <c r="CV70" s="35">
        <f t="shared" si="71"/>
        <v>0</v>
      </c>
      <c r="CW70" s="36">
        <f t="shared" si="72"/>
        <v>0</v>
      </c>
      <c r="CX70" s="35">
        <f t="shared" si="87"/>
        <v>0</v>
      </c>
      <c r="CY70" s="62">
        <f t="shared" si="73"/>
        <v>0</v>
      </c>
      <c r="CZ70" s="61">
        <f t="shared" si="74"/>
        <v>0</v>
      </c>
      <c r="DA70" s="43">
        <f t="shared" si="75"/>
        <v>0</v>
      </c>
      <c r="DB70" s="35">
        <f t="shared" si="76"/>
        <v>0</v>
      </c>
      <c r="DC70" s="36">
        <f t="shared" si="77"/>
        <v>0</v>
      </c>
      <c r="DD70" s="35">
        <f t="shared" si="78"/>
        <v>0</v>
      </c>
      <c r="DE70" s="62">
        <f t="shared" si="86"/>
        <v>0</v>
      </c>
      <c r="DF70" s="61">
        <f t="shared" si="79"/>
        <v>0</v>
      </c>
      <c r="DG70" s="43">
        <f t="shared" si="80"/>
        <v>0</v>
      </c>
      <c r="DH70" s="35">
        <f t="shared" si="81"/>
        <v>0</v>
      </c>
      <c r="DI70" s="36">
        <f t="shared" si="82"/>
        <v>0</v>
      </c>
      <c r="DJ70" s="35">
        <f t="shared" si="83"/>
        <v>0</v>
      </c>
      <c r="DK70" s="62">
        <f t="shared" si="84"/>
        <v>0</v>
      </c>
    </row>
    <row r="71" spans="2:115" x14ac:dyDescent="0.3">
      <c r="B71" s="14">
        <v>0.98817600000000005</v>
      </c>
      <c r="C71" s="14">
        <v>1.007817</v>
      </c>
      <c r="D71">
        <f t="shared" si="85"/>
        <v>9437.8007205129106</v>
      </c>
      <c r="E71" s="16">
        <f t="shared" si="8"/>
        <v>0.38144479912311108</v>
      </c>
      <c r="F71" s="15"/>
      <c r="G71" s="14">
        <v>0.97345999999999999</v>
      </c>
      <c r="H71" s="14">
        <v>1.0170429999999999</v>
      </c>
      <c r="I71">
        <f t="shared" si="9"/>
        <v>9303.3029308550485</v>
      </c>
      <c r="J71" s="16">
        <f t="shared" si="10"/>
        <v>0.38695934409061872</v>
      </c>
      <c r="K71" s="15"/>
      <c r="L71" s="14">
        <v>0.96789099999999995</v>
      </c>
      <c r="M71" s="14">
        <v>1.000894</v>
      </c>
      <c r="N71">
        <f t="shared" si="11"/>
        <v>9180.2981730955762</v>
      </c>
      <c r="O71" s="16">
        <f t="shared" si="12"/>
        <v>0.39214412561788153</v>
      </c>
      <c r="P71" s="15"/>
      <c r="Q71" s="14">
        <v>0.96324500000000002</v>
      </c>
      <c r="R71" s="14">
        <v>1.001217</v>
      </c>
      <c r="S71">
        <f t="shared" si="13"/>
        <v>9183.260760852032</v>
      </c>
      <c r="T71" s="16">
        <f t="shared" si="14"/>
        <v>0.39201761702626292</v>
      </c>
      <c r="U71" s="15"/>
      <c r="V71" s="14">
        <v>0.96900500000000001</v>
      </c>
      <c r="W71" s="14">
        <v>1.0017450000000001</v>
      </c>
      <c r="X71">
        <f t="shared" si="15"/>
        <v>9242.5039250187729</v>
      </c>
      <c r="Y71" s="16">
        <f t="shared" si="16"/>
        <v>0.3895048386460585</v>
      </c>
      <c r="Z71" s="15"/>
      <c r="AA71" s="14">
        <v>0.99985500000000005</v>
      </c>
      <c r="AB71" s="14">
        <v>1.000065</v>
      </c>
      <c r="AC71">
        <f t="shared" si="17"/>
        <v>9274.6003790419963</v>
      </c>
      <c r="AD71" s="16">
        <f t="shared" si="18"/>
        <v>0.38815688578183849</v>
      </c>
      <c r="AE71" s="15"/>
      <c r="AF71" s="14">
        <v>1.0001199999999999</v>
      </c>
      <c r="AG71" s="14">
        <v>0.99991399999999997</v>
      </c>
      <c r="AH71">
        <f t="shared" si="19"/>
        <v>9339.2972301588215</v>
      </c>
      <c r="AI71" s="16">
        <f t="shared" si="20"/>
        <v>0.38546797593878263</v>
      </c>
      <c r="AJ71" s="15"/>
      <c r="AK71" s="15"/>
      <c r="AL71" s="15"/>
      <c r="AM71" s="15"/>
      <c r="AN71" s="16"/>
      <c r="AO71" s="15"/>
      <c r="AP71" s="15"/>
      <c r="AQ71" s="15"/>
      <c r="AS71" s="4"/>
      <c r="BD71" s="61">
        <f t="shared" si="27"/>
        <v>1</v>
      </c>
      <c r="BE71" s="43" t="str">
        <f t="shared" si="28"/>
        <v>min</v>
      </c>
      <c r="BF71" s="35">
        <f t="shared" si="29"/>
        <v>0</v>
      </c>
      <c r="BG71" s="36">
        <f t="shared" si="30"/>
        <v>0</v>
      </c>
      <c r="BH71" s="35">
        <f t="shared" si="31"/>
        <v>0</v>
      </c>
      <c r="BI71" s="62">
        <f t="shared" si="32"/>
        <v>0</v>
      </c>
      <c r="BJ71" s="61">
        <f t="shared" si="33"/>
        <v>1</v>
      </c>
      <c r="BK71" s="43" t="str">
        <f t="shared" si="34"/>
        <v>min</v>
      </c>
      <c r="BL71" s="35">
        <f t="shared" si="35"/>
        <v>0</v>
      </c>
      <c r="BM71" s="36">
        <f t="shared" si="36"/>
        <v>0</v>
      </c>
      <c r="BN71" s="35">
        <f t="shared" si="37"/>
        <v>0</v>
      </c>
      <c r="BO71" s="62">
        <f t="shared" si="38"/>
        <v>0</v>
      </c>
      <c r="BP71" s="61">
        <f t="shared" si="39"/>
        <v>1</v>
      </c>
      <c r="BQ71" s="43" t="str">
        <f t="shared" si="40"/>
        <v>min</v>
      </c>
      <c r="BR71" s="35">
        <f t="shared" si="41"/>
        <v>0</v>
      </c>
      <c r="BS71" s="36">
        <f t="shared" si="42"/>
        <v>0</v>
      </c>
      <c r="BT71" s="35">
        <f t="shared" si="43"/>
        <v>0</v>
      </c>
      <c r="BU71" s="62">
        <f t="shared" si="44"/>
        <v>0</v>
      </c>
      <c r="BV71" s="61">
        <f t="shared" si="45"/>
        <v>1</v>
      </c>
      <c r="BW71" s="43" t="str">
        <f t="shared" si="46"/>
        <v>min</v>
      </c>
      <c r="BX71" s="35">
        <f t="shared" si="47"/>
        <v>0</v>
      </c>
      <c r="BY71" s="36">
        <f t="shared" si="48"/>
        <v>0</v>
      </c>
      <c r="BZ71" s="35">
        <f t="shared" si="49"/>
        <v>0</v>
      </c>
      <c r="CA71" s="62">
        <f t="shared" si="50"/>
        <v>0</v>
      </c>
      <c r="CB71" s="61">
        <f t="shared" si="51"/>
        <v>1</v>
      </c>
      <c r="CC71" s="43" t="str">
        <f t="shared" si="52"/>
        <v>min</v>
      </c>
      <c r="CD71" s="35">
        <f t="shared" si="53"/>
        <v>0</v>
      </c>
      <c r="CE71" s="36">
        <f t="shared" si="54"/>
        <v>0</v>
      </c>
      <c r="CF71" s="35">
        <f t="shared" si="55"/>
        <v>0</v>
      </c>
      <c r="CG71" s="62">
        <f t="shared" si="56"/>
        <v>0</v>
      </c>
      <c r="CH71" s="61">
        <f t="shared" si="57"/>
        <v>1</v>
      </c>
      <c r="CI71" s="43" t="str">
        <f t="shared" si="58"/>
        <v>min</v>
      </c>
      <c r="CJ71" s="35">
        <f t="shared" si="59"/>
        <v>0</v>
      </c>
      <c r="CK71" s="36">
        <f t="shared" si="60"/>
        <v>0</v>
      </c>
      <c r="CL71" s="35">
        <f t="shared" si="61"/>
        <v>0</v>
      </c>
      <c r="CM71" s="62">
        <f t="shared" si="62"/>
        <v>0</v>
      </c>
      <c r="CN71" s="61">
        <f t="shared" si="63"/>
        <v>1</v>
      </c>
      <c r="CO71" s="43">
        <f t="shared" si="64"/>
        <v>0</v>
      </c>
      <c r="CP71" s="35">
        <f t="shared" si="65"/>
        <v>0</v>
      </c>
      <c r="CQ71" s="36">
        <f t="shared" si="66"/>
        <v>0</v>
      </c>
      <c r="CR71" s="35">
        <f t="shared" si="67"/>
        <v>0</v>
      </c>
      <c r="CS71" s="62">
        <f t="shared" si="68"/>
        <v>0</v>
      </c>
      <c r="CT71" s="61">
        <f t="shared" si="69"/>
        <v>0</v>
      </c>
      <c r="CU71" s="43">
        <f t="shared" si="70"/>
        <v>0</v>
      </c>
      <c r="CV71" s="35">
        <f t="shared" si="71"/>
        <v>0</v>
      </c>
      <c r="CW71" s="36">
        <f t="shared" si="72"/>
        <v>0</v>
      </c>
      <c r="CX71" s="35">
        <f t="shared" si="87"/>
        <v>0</v>
      </c>
      <c r="CY71" s="62">
        <f t="shared" si="73"/>
        <v>0</v>
      </c>
      <c r="CZ71" s="61">
        <f t="shared" si="74"/>
        <v>0</v>
      </c>
      <c r="DA71" s="43">
        <f t="shared" si="75"/>
        <v>0</v>
      </c>
      <c r="DB71" s="35">
        <f t="shared" si="76"/>
        <v>0</v>
      </c>
      <c r="DC71" s="36">
        <f t="shared" si="77"/>
        <v>0</v>
      </c>
      <c r="DD71" s="35">
        <f t="shared" si="78"/>
        <v>0</v>
      </c>
      <c r="DE71" s="62">
        <f t="shared" si="86"/>
        <v>0</v>
      </c>
      <c r="DF71" s="61">
        <f t="shared" si="79"/>
        <v>0</v>
      </c>
      <c r="DG71" s="43">
        <f t="shared" si="80"/>
        <v>0</v>
      </c>
      <c r="DH71" s="35">
        <f t="shared" si="81"/>
        <v>0</v>
      </c>
      <c r="DI71" s="36">
        <f t="shared" si="82"/>
        <v>0</v>
      </c>
      <c r="DJ71" s="35">
        <f t="shared" si="83"/>
        <v>0</v>
      </c>
      <c r="DK71" s="62">
        <f t="shared" si="84"/>
        <v>0</v>
      </c>
    </row>
    <row r="72" spans="2:115" x14ac:dyDescent="0.3">
      <c r="B72" s="1">
        <v>0.999857</v>
      </c>
      <c r="C72" s="1">
        <v>1.0001279999999999</v>
      </c>
      <c r="D72">
        <f t="shared" si="85"/>
        <v>9365.7963291005562</v>
      </c>
      <c r="E72" s="4">
        <f t="shared" ref="E72:E74" si="88">1/(D72/3600)</f>
        <v>0.38437735281669594</v>
      </c>
      <c r="G72" s="1">
        <v>0.98730799999999996</v>
      </c>
      <c r="H72" s="1">
        <v>1.0076309999999999</v>
      </c>
      <c r="I72">
        <f t="shared" ref="I72:I74" si="89">H72*H$2</f>
        <v>9217.2075669567603</v>
      </c>
      <c r="J72" s="4">
        <f t="shared" ref="J72:J74" si="90">1/(I72/3600)</f>
        <v>0.39057382334600171</v>
      </c>
      <c r="L72" s="1">
        <v>0.98165999999999998</v>
      </c>
      <c r="M72" s="1">
        <v>1.0004249999999999</v>
      </c>
      <c r="N72">
        <f t="shared" ref="N72:N74" si="91">M72*M$2</f>
        <v>9175.9964589848096</v>
      </c>
      <c r="O72" s="4">
        <f t="shared" ref="O72:O74" si="92">1/(N72/3600)</f>
        <v>0.39232796308187412</v>
      </c>
      <c r="Q72" s="1">
        <v>0.97694800000000004</v>
      </c>
      <c r="R72" s="1">
        <v>1.0001409999999999</v>
      </c>
      <c r="S72">
        <f t="shared" ref="S72:S75" si="93">R72*R$2</f>
        <v>9173.3915830627247</v>
      </c>
      <c r="T72" s="4">
        <f t="shared" ref="T72:T75" si="94">1/(S72/3600)</f>
        <v>0.39243936851522332</v>
      </c>
      <c r="V72" s="1">
        <v>0.98279000000000005</v>
      </c>
      <c r="W72" s="1">
        <v>0.999946</v>
      </c>
      <c r="X72">
        <f t="shared" ref="X72:X74" si="95">W72*W$2</f>
        <v>9225.905624492083</v>
      </c>
      <c r="Y72" s="4">
        <f t="shared" ref="Y72:Y74" si="96">1/(X72/3600)</f>
        <v>0.3902055956916633</v>
      </c>
      <c r="AA72" s="1">
        <v>1</v>
      </c>
      <c r="AB72" s="1">
        <v>1</v>
      </c>
      <c r="AC72">
        <f t="shared" ref="AC72:AC73" si="97">AB72*AB$2</f>
        <v>9273.9975691999989</v>
      </c>
      <c r="AD72" s="4">
        <f t="shared" ref="AD72:AD73" si="98">1/(AC72/3600)</f>
        <v>0.38818211597941427</v>
      </c>
      <c r="AF72" s="1"/>
      <c r="AG72" s="1"/>
      <c r="AI72" s="4"/>
      <c r="AN72" s="4"/>
      <c r="AS72" s="4"/>
      <c r="BD72" s="61">
        <f t="shared" ref="BD72:BD74" si="99">IF($BA$4&gt;B72,0,1)</f>
        <v>1</v>
      </c>
      <c r="BE72" s="43" t="str">
        <f t="shared" ref="BE72:BE74" si="100">IF(BD73=1, "min",0)</f>
        <v>min</v>
      </c>
      <c r="BF72" s="35">
        <f t="shared" ref="BF72:BF74" si="101">IF($BD72=0,IF($BE72="min",B72,0),0)</f>
        <v>0</v>
      </c>
      <c r="BG72" s="36">
        <f t="shared" ref="BG72:BG74" si="102">IF(BF72=0,0,$C72)</f>
        <v>0</v>
      </c>
      <c r="BH72" s="35">
        <f t="shared" ref="BH72:BH74" si="103">IF(BF71=0,0,B72)</f>
        <v>0</v>
      </c>
      <c r="BI72" s="62">
        <f t="shared" ref="BI72:BI74" si="104">IF(BH72=0,0,C72)</f>
        <v>0</v>
      </c>
      <c r="BJ72" s="61">
        <f t="shared" ref="BJ72:BJ74" si="105">IF($BA$4&gt;G72,0,1)</f>
        <v>1</v>
      </c>
      <c r="BK72" s="43" t="str">
        <f t="shared" ref="BK72:BK74" si="106">IF(BJ73=1, "min",0)</f>
        <v>min</v>
      </c>
      <c r="BL72" s="35">
        <f t="shared" ref="BL72:BL74" si="107">IF($BJ72=0,IF($BK72="min",G72,0),0)</f>
        <v>0</v>
      </c>
      <c r="BM72" s="36">
        <f t="shared" ref="BM72:BM74" si="108">IF(BL72=0,0,$H72)</f>
        <v>0</v>
      </c>
      <c r="BN72" s="35">
        <f t="shared" ref="BN72:BN74" si="109">IF(BL71=0,0,G72)</f>
        <v>0</v>
      </c>
      <c r="BO72" s="62">
        <f t="shared" ref="BO72:BO74" si="110">IF(BN72=0,0,H72)</f>
        <v>0</v>
      </c>
      <c r="BP72" s="61">
        <f t="shared" ref="BP72:BP74" si="111">IF($BA$4&gt;L72,0,1)</f>
        <v>1</v>
      </c>
      <c r="BQ72" s="43" t="str">
        <f t="shared" ref="BQ72:BQ74" si="112">IF(BP73=1, "min",0)</f>
        <v>min</v>
      </c>
      <c r="BR72" s="35">
        <f t="shared" ref="BR72:BR74" si="113">IF($BP72=0,IF($BQ72="min",L72,0),0)</f>
        <v>0</v>
      </c>
      <c r="BS72" s="36">
        <f t="shared" ref="BS72:BS74" si="114">IF(BR72=0,0,M72)</f>
        <v>0</v>
      </c>
      <c r="BT72" s="35">
        <f t="shared" ref="BT72:BT74" si="115">IF(BR71=0,0,L72)</f>
        <v>0</v>
      </c>
      <c r="BU72" s="62">
        <f t="shared" ref="BU72:BU74" si="116">IF(BT72=0,0,M72)</f>
        <v>0</v>
      </c>
      <c r="BV72" s="61">
        <f t="shared" ref="BV72:BV74" si="117">IF($BA$4&gt;Q72,0,1)</f>
        <v>1</v>
      </c>
      <c r="BW72" s="43" t="str">
        <f t="shared" ref="BW72:BW74" si="118">IF(BV73=1, "min",0)</f>
        <v>min</v>
      </c>
      <c r="BX72" s="35">
        <f t="shared" ref="BX72:BX74" si="119">IF($BV72=0,IF($BW72="min",Q72,0),0)</f>
        <v>0</v>
      </c>
      <c r="BY72" s="36">
        <f t="shared" ref="BY72:BY74" si="120">IF(BX72=0,0,$R72)</f>
        <v>0</v>
      </c>
      <c r="BZ72" s="35">
        <f t="shared" ref="BZ72:BZ74" si="121">IF(BX71=0,0,Q72)</f>
        <v>0</v>
      </c>
      <c r="CA72" s="62">
        <f t="shared" ref="CA72:CA74" si="122">IF(BZ72=0,0,R72)</f>
        <v>0</v>
      </c>
      <c r="CB72" s="61">
        <f t="shared" ref="CB72:CB74" si="123">IF($BA$4&gt;V72,0,1)</f>
        <v>1</v>
      </c>
      <c r="CC72" s="43" t="str">
        <f t="shared" ref="CC72:CC74" si="124">IF(CB73=1, "min",0)</f>
        <v>min</v>
      </c>
      <c r="CD72" s="35">
        <f t="shared" ref="CD72:CD74" si="125">IF($CB72=0,IF($CC72="min",V72,0),0)</f>
        <v>0</v>
      </c>
      <c r="CE72" s="36">
        <f t="shared" ref="CE72:CE74" si="126">IF(CD72=0,0,$W72)</f>
        <v>0</v>
      </c>
      <c r="CF72" s="35">
        <f t="shared" ref="CF72:CF74" si="127">IF(CD71=0,0,V72)</f>
        <v>0</v>
      </c>
      <c r="CG72" s="62">
        <f t="shared" ref="CG72:CG74" si="128">IF(CF72=0,0,W72)</f>
        <v>0</v>
      </c>
      <c r="CH72" s="61">
        <f t="shared" ref="CH72:CH74" si="129">IF($BA$4&gt;AA72,0,1)</f>
        <v>1</v>
      </c>
      <c r="CI72" s="43" t="str">
        <f t="shared" ref="CI72:CI74" si="130">IF(CH73=1, "min",0)</f>
        <v>min</v>
      </c>
      <c r="CJ72" s="35">
        <f t="shared" ref="CJ72:CJ74" si="131">IF($CH72=0,IF($CI72="min",AA72,0),0)</f>
        <v>0</v>
      </c>
      <c r="CK72" s="36">
        <f t="shared" ref="CK72:CK74" si="132">IF(CJ72=0,0,$AB72)</f>
        <v>0</v>
      </c>
      <c r="CL72" s="35">
        <f t="shared" ref="CL72:CL74" si="133">IF(CJ71=0,0,AA72)</f>
        <v>0</v>
      </c>
      <c r="CM72" s="62">
        <f t="shared" ref="CM72:CM74" si="134">IF(CL72=0,0,AB72)</f>
        <v>0</v>
      </c>
      <c r="CN72" s="61">
        <f t="shared" ref="CN72:CN74" si="135">IF($BA$4&gt;AF72,0,1)</f>
        <v>0</v>
      </c>
      <c r="CO72" s="43">
        <f t="shared" ref="CO72:CO74" si="136">IF(CN73=1, "min",0)</f>
        <v>0</v>
      </c>
      <c r="CP72" s="35">
        <f t="shared" ref="CP72:CP74" si="137">IF($CN72=0,IF($CO72="min",AF72,0),0)</f>
        <v>0</v>
      </c>
      <c r="CQ72" s="36">
        <f t="shared" ref="CQ72:CQ74" si="138">IF(CP72=0,0,$AG72)</f>
        <v>0</v>
      </c>
      <c r="CR72" s="35">
        <f t="shared" ref="CR72:CR74" si="139">IF(CP71=0,0,AF72)</f>
        <v>0</v>
      </c>
      <c r="CS72" s="62">
        <f t="shared" ref="CS72:CS74" si="140">IF(CR72=0,0,AG72)</f>
        <v>0</v>
      </c>
      <c r="CT72" s="61">
        <f t="shared" ref="CT72:CT74" si="141">IF($BA$4&gt;AK72,0,1)</f>
        <v>0</v>
      </c>
      <c r="CU72" s="43">
        <f t="shared" ref="CU72:CU74" si="142">IF(CT73=1, "min",0)</f>
        <v>0</v>
      </c>
      <c r="CV72" s="35">
        <f t="shared" ref="CV72:CV74" si="143">IF($CT72=0,IF($CU72="min",AK72,0),0)</f>
        <v>0</v>
      </c>
      <c r="CW72" s="36">
        <f t="shared" ref="CW72:CW74" si="144">IF(CV72=0,0,$AL72)</f>
        <v>0</v>
      </c>
      <c r="CX72" s="35">
        <f t="shared" si="87"/>
        <v>0</v>
      </c>
      <c r="CY72" s="62">
        <f t="shared" ref="CY72:CY74" si="145">IF(CX72=0,0,AL72)</f>
        <v>0</v>
      </c>
      <c r="CZ72" s="61">
        <f t="shared" ref="CZ72:CZ74" si="146">IF($BA$4&gt;AP72,0,1)</f>
        <v>0</v>
      </c>
      <c r="DA72" s="43">
        <f t="shared" ref="DA72:DA74" si="147">IF(CZ73=1, "min",0)</f>
        <v>0</v>
      </c>
      <c r="DB72" s="35">
        <f t="shared" ref="DB72:DB74" si="148">IF($CZ72=0,IF($DA72="min",AP72,0),0)</f>
        <v>0</v>
      </c>
      <c r="DC72" s="36">
        <f t="shared" ref="DC72:DC74" si="149">IF(DB72=0,0,$AQ72)</f>
        <v>0</v>
      </c>
      <c r="DD72" s="35">
        <f t="shared" ref="DD72:DD74" si="150">IF(DB71=0,0,AP72)</f>
        <v>0</v>
      </c>
      <c r="DE72" s="62">
        <f t="shared" si="86"/>
        <v>0</v>
      </c>
      <c r="DF72" s="61">
        <f t="shared" ref="DF72:DF74" si="151">IF($BA$4&gt;AU72,0,1)</f>
        <v>0</v>
      </c>
      <c r="DG72" s="43">
        <f t="shared" ref="DG72:DG74" si="152">IF(DF73=1, "min",0)</f>
        <v>0</v>
      </c>
      <c r="DH72" s="35">
        <f t="shared" ref="DH72:DH74" si="153">IF($DF72=0,IF($DG72="min",AU72,0),0)</f>
        <v>0</v>
      </c>
      <c r="DI72" s="36">
        <f t="shared" ref="DI72:DI74" si="154">IF(DH72=0,0,$AV72)</f>
        <v>0</v>
      </c>
      <c r="DJ72" s="35">
        <f t="shared" ref="DJ72:DJ74" si="155">IF(DH71=0,0,AU72)</f>
        <v>0</v>
      </c>
      <c r="DK72" s="62">
        <f t="shared" ref="DK72:DK74" si="156">IF(DJ72=0,0,AV72)</f>
        <v>0</v>
      </c>
    </row>
    <row r="73" spans="2:115" x14ac:dyDescent="0.3">
      <c r="B73" s="1">
        <v>0.99997100000000005</v>
      </c>
      <c r="C73" s="1">
        <v>1.000011</v>
      </c>
      <c r="D73">
        <f t="shared" ref="D73:D74" si="157">C73*C$2</f>
        <v>9364.700671174267</v>
      </c>
      <c r="E73" s="4">
        <f t="shared" si="88"/>
        <v>0.38442232447228719</v>
      </c>
      <c r="G73" s="1">
        <v>0.99997199999999997</v>
      </c>
      <c r="H73" s="1">
        <v>1.000022</v>
      </c>
      <c r="I73">
        <f t="shared" si="89"/>
        <v>9147.6049719820385</v>
      </c>
      <c r="J73" s="4">
        <f t="shared" si="90"/>
        <v>0.39354563418800292</v>
      </c>
      <c r="L73" s="1">
        <v>0.99542900000000001</v>
      </c>
      <c r="M73" s="1">
        <v>1.000011</v>
      </c>
      <c r="N73">
        <f t="shared" si="91"/>
        <v>9172.1992102814893</v>
      </c>
      <c r="O73" s="4">
        <f t="shared" si="92"/>
        <v>0.39249038507194811</v>
      </c>
      <c r="Q73" s="1">
        <v>0.99065099999999995</v>
      </c>
      <c r="R73" s="1">
        <v>0.99987999999999999</v>
      </c>
      <c r="S73">
        <f t="shared" si="93"/>
        <v>9170.9976654019356</v>
      </c>
      <c r="T73" s="4">
        <f t="shared" si="94"/>
        <v>0.39254180748308187</v>
      </c>
      <c r="V73" s="1">
        <v>0.99657499999999999</v>
      </c>
      <c r="W73" s="1">
        <v>0.99996700000000005</v>
      </c>
      <c r="X73">
        <f t="shared" si="95"/>
        <v>9226.09937897294</v>
      </c>
      <c r="Y73" s="4">
        <f t="shared" si="96"/>
        <v>0.3901974011037323</v>
      </c>
      <c r="AA73" s="1">
        <v>1.0000869999999999</v>
      </c>
      <c r="AB73" s="1">
        <v>1</v>
      </c>
      <c r="AC73">
        <f t="shared" si="97"/>
        <v>9273.9975691999989</v>
      </c>
      <c r="AD73" s="4">
        <f t="shared" si="98"/>
        <v>0.38818211597941427</v>
      </c>
      <c r="AI73" s="4"/>
      <c r="AN73" s="4"/>
      <c r="AS73" s="4"/>
      <c r="BD73" s="61">
        <f t="shared" si="99"/>
        <v>1</v>
      </c>
      <c r="BE73" s="43" t="str">
        <f t="shared" si="100"/>
        <v>min</v>
      </c>
      <c r="BF73" s="35">
        <f t="shared" si="101"/>
        <v>0</v>
      </c>
      <c r="BG73" s="36">
        <f t="shared" si="102"/>
        <v>0</v>
      </c>
      <c r="BH73" s="35">
        <f t="shared" si="103"/>
        <v>0</v>
      </c>
      <c r="BI73" s="62">
        <f t="shared" si="104"/>
        <v>0</v>
      </c>
      <c r="BJ73" s="61">
        <f t="shared" si="105"/>
        <v>1</v>
      </c>
      <c r="BK73" s="43" t="str">
        <f t="shared" si="106"/>
        <v>min</v>
      </c>
      <c r="BL73" s="35">
        <f t="shared" si="107"/>
        <v>0</v>
      </c>
      <c r="BM73" s="36">
        <f t="shared" si="108"/>
        <v>0</v>
      </c>
      <c r="BN73" s="35">
        <f t="shared" si="109"/>
        <v>0</v>
      </c>
      <c r="BO73" s="62">
        <f t="shared" si="110"/>
        <v>0</v>
      </c>
      <c r="BP73" s="61">
        <f t="shared" si="111"/>
        <v>1</v>
      </c>
      <c r="BQ73" s="43" t="str">
        <f t="shared" si="112"/>
        <v>min</v>
      </c>
      <c r="BR73" s="35">
        <f t="shared" si="113"/>
        <v>0</v>
      </c>
      <c r="BS73" s="36">
        <f t="shared" si="114"/>
        <v>0</v>
      </c>
      <c r="BT73" s="35">
        <f t="shared" si="115"/>
        <v>0</v>
      </c>
      <c r="BU73" s="62">
        <f t="shared" si="116"/>
        <v>0</v>
      </c>
      <c r="BV73" s="61">
        <f t="shared" si="117"/>
        <v>1</v>
      </c>
      <c r="BW73" s="43" t="str">
        <f t="shared" si="118"/>
        <v>min</v>
      </c>
      <c r="BX73" s="35">
        <f t="shared" si="119"/>
        <v>0</v>
      </c>
      <c r="BY73" s="36">
        <f t="shared" si="120"/>
        <v>0</v>
      </c>
      <c r="BZ73" s="35">
        <f t="shared" si="121"/>
        <v>0</v>
      </c>
      <c r="CA73" s="62">
        <f t="shared" si="122"/>
        <v>0</v>
      </c>
      <c r="CB73" s="61">
        <f t="shared" si="123"/>
        <v>1</v>
      </c>
      <c r="CC73" s="43" t="str">
        <f t="shared" si="124"/>
        <v>min</v>
      </c>
      <c r="CD73" s="35">
        <f t="shared" si="125"/>
        <v>0</v>
      </c>
      <c r="CE73" s="36">
        <f t="shared" si="126"/>
        <v>0</v>
      </c>
      <c r="CF73" s="35">
        <f t="shared" si="127"/>
        <v>0</v>
      </c>
      <c r="CG73" s="62">
        <f t="shared" si="128"/>
        <v>0</v>
      </c>
      <c r="CH73" s="61">
        <f t="shared" si="129"/>
        <v>1</v>
      </c>
      <c r="CI73" s="43">
        <f t="shared" si="130"/>
        <v>0</v>
      </c>
      <c r="CJ73" s="35">
        <f t="shared" si="131"/>
        <v>0</v>
      </c>
      <c r="CK73" s="36">
        <f t="shared" si="132"/>
        <v>0</v>
      </c>
      <c r="CL73" s="35">
        <f t="shared" si="133"/>
        <v>0</v>
      </c>
      <c r="CM73" s="62">
        <f t="shared" si="134"/>
        <v>0</v>
      </c>
      <c r="CN73" s="61">
        <f t="shared" si="135"/>
        <v>0</v>
      </c>
      <c r="CO73" s="43">
        <f t="shared" si="136"/>
        <v>0</v>
      </c>
      <c r="CP73" s="35">
        <f t="shared" si="137"/>
        <v>0</v>
      </c>
      <c r="CQ73" s="36">
        <f t="shared" si="138"/>
        <v>0</v>
      </c>
      <c r="CR73" s="35">
        <f t="shared" si="139"/>
        <v>0</v>
      </c>
      <c r="CS73" s="62">
        <f t="shared" si="140"/>
        <v>0</v>
      </c>
      <c r="CT73" s="61">
        <f t="shared" si="141"/>
        <v>0</v>
      </c>
      <c r="CU73" s="43">
        <f t="shared" si="142"/>
        <v>0</v>
      </c>
      <c r="CV73" s="35">
        <f t="shared" si="143"/>
        <v>0</v>
      </c>
      <c r="CW73" s="36">
        <f t="shared" si="144"/>
        <v>0</v>
      </c>
      <c r="CX73" s="35">
        <f t="shared" si="87"/>
        <v>0</v>
      </c>
      <c r="CY73" s="62">
        <f t="shared" si="145"/>
        <v>0</v>
      </c>
      <c r="CZ73" s="61">
        <f t="shared" si="146"/>
        <v>0</v>
      </c>
      <c r="DA73" s="43">
        <f t="shared" si="147"/>
        <v>0</v>
      </c>
      <c r="DB73" s="35">
        <f t="shared" si="148"/>
        <v>0</v>
      </c>
      <c r="DC73" s="36">
        <f t="shared" si="149"/>
        <v>0</v>
      </c>
      <c r="DD73" s="35">
        <f t="shared" si="150"/>
        <v>0</v>
      </c>
      <c r="DE73" s="62">
        <f t="shared" si="86"/>
        <v>0</v>
      </c>
      <c r="DF73" s="61">
        <f t="shared" si="151"/>
        <v>0</v>
      </c>
      <c r="DG73" s="43">
        <f t="shared" si="152"/>
        <v>0</v>
      </c>
      <c r="DH73" s="35">
        <f t="shared" si="153"/>
        <v>0</v>
      </c>
      <c r="DI73" s="36">
        <f t="shared" si="154"/>
        <v>0</v>
      </c>
      <c r="DJ73" s="35">
        <f t="shared" si="155"/>
        <v>0</v>
      </c>
      <c r="DK73" s="62">
        <f t="shared" si="156"/>
        <v>0</v>
      </c>
    </row>
    <row r="74" spans="2:115" ht="15" thickBot="1" x14ac:dyDescent="0.35">
      <c r="B74" s="1">
        <v>1</v>
      </c>
      <c r="C74" s="1">
        <v>1</v>
      </c>
      <c r="D74">
        <f t="shared" si="157"/>
        <v>9364.5976606000004</v>
      </c>
      <c r="E74" s="4">
        <f t="shared" si="88"/>
        <v>0.38442655311785645</v>
      </c>
      <c r="G74" s="1">
        <v>1</v>
      </c>
      <c r="H74" s="1">
        <v>1</v>
      </c>
      <c r="I74">
        <f t="shared" si="89"/>
        <v>9147.4037290999986</v>
      </c>
      <c r="J74" s="4">
        <f t="shared" si="90"/>
        <v>0.39355429219195504</v>
      </c>
      <c r="L74" s="1">
        <v>1</v>
      </c>
      <c r="M74" s="1">
        <v>1</v>
      </c>
      <c r="N74">
        <f t="shared" si="91"/>
        <v>9172.0983171999997</v>
      </c>
      <c r="O74" s="4">
        <f t="shared" si="92"/>
        <v>0.3924947024661839</v>
      </c>
      <c r="Q74" s="1">
        <v>0.99997199999999997</v>
      </c>
      <c r="R74" s="1">
        <v>1.0000329999999999</v>
      </c>
      <c r="S74">
        <f t="shared" si="93"/>
        <v>9172.4009964444667</v>
      </c>
      <c r="T74" s="4">
        <f t="shared" si="94"/>
        <v>0.39248175056841517</v>
      </c>
      <c r="V74" s="1">
        <v>1</v>
      </c>
      <c r="W74" s="1">
        <v>1</v>
      </c>
      <c r="X74">
        <f t="shared" si="95"/>
        <v>9226.4038502999992</v>
      </c>
      <c r="Y74" s="4">
        <f t="shared" si="96"/>
        <v>0.39018452458949587</v>
      </c>
      <c r="AA74" s="1"/>
      <c r="AB74" s="1"/>
      <c r="AD74" s="4"/>
      <c r="AI74" s="4"/>
      <c r="AN74" s="4"/>
      <c r="AS74" s="4"/>
      <c r="BD74" s="63">
        <f t="shared" si="99"/>
        <v>1</v>
      </c>
      <c r="BE74" s="64">
        <f t="shared" si="100"/>
        <v>0</v>
      </c>
      <c r="BF74" s="65">
        <f t="shared" si="101"/>
        <v>0</v>
      </c>
      <c r="BG74" s="66">
        <f t="shared" si="102"/>
        <v>0</v>
      </c>
      <c r="BH74" s="65">
        <f t="shared" si="103"/>
        <v>0</v>
      </c>
      <c r="BI74" s="67">
        <f t="shared" si="104"/>
        <v>0</v>
      </c>
      <c r="BJ74" s="63">
        <f t="shared" si="105"/>
        <v>1</v>
      </c>
      <c r="BK74" s="64">
        <f t="shared" si="106"/>
        <v>0</v>
      </c>
      <c r="BL74" s="65">
        <f t="shared" si="107"/>
        <v>0</v>
      </c>
      <c r="BM74" s="66">
        <f t="shared" si="108"/>
        <v>0</v>
      </c>
      <c r="BN74" s="65">
        <f t="shared" si="109"/>
        <v>0</v>
      </c>
      <c r="BO74" s="67">
        <f t="shared" si="110"/>
        <v>0</v>
      </c>
      <c r="BP74" s="63">
        <f t="shared" si="111"/>
        <v>1</v>
      </c>
      <c r="BQ74" s="64">
        <f t="shared" si="112"/>
        <v>0</v>
      </c>
      <c r="BR74" s="65">
        <f t="shared" si="113"/>
        <v>0</v>
      </c>
      <c r="BS74" s="66">
        <f t="shared" si="114"/>
        <v>0</v>
      </c>
      <c r="BT74" s="65">
        <f t="shared" si="115"/>
        <v>0</v>
      </c>
      <c r="BU74" s="67">
        <f t="shared" si="116"/>
        <v>0</v>
      </c>
      <c r="BV74" s="63">
        <f t="shared" si="117"/>
        <v>1</v>
      </c>
      <c r="BW74" s="64">
        <f t="shared" si="118"/>
        <v>0</v>
      </c>
      <c r="BX74" s="65">
        <f t="shared" si="119"/>
        <v>0</v>
      </c>
      <c r="BY74" s="66">
        <f t="shared" si="120"/>
        <v>0</v>
      </c>
      <c r="BZ74" s="65">
        <f t="shared" si="121"/>
        <v>0</v>
      </c>
      <c r="CA74" s="67">
        <f t="shared" si="122"/>
        <v>0</v>
      </c>
      <c r="CB74" s="63">
        <f t="shared" si="123"/>
        <v>1</v>
      </c>
      <c r="CC74" s="64">
        <f t="shared" si="124"/>
        <v>0</v>
      </c>
      <c r="CD74" s="65">
        <f t="shared" si="125"/>
        <v>0</v>
      </c>
      <c r="CE74" s="66">
        <f t="shared" si="126"/>
        <v>0</v>
      </c>
      <c r="CF74" s="65">
        <f t="shared" si="127"/>
        <v>0</v>
      </c>
      <c r="CG74" s="67">
        <f t="shared" si="128"/>
        <v>0</v>
      </c>
      <c r="CH74" s="63">
        <f t="shared" si="129"/>
        <v>0</v>
      </c>
      <c r="CI74" s="64">
        <f t="shared" si="130"/>
        <v>0</v>
      </c>
      <c r="CJ74" s="65">
        <f t="shared" si="131"/>
        <v>0</v>
      </c>
      <c r="CK74" s="66">
        <f t="shared" si="132"/>
        <v>0</v>
      </c>
      <c r="CL74" s="65">
        <f t="shared" si="133"/>
        <v>0</v>
      </c>
      <c r="CM74" s="67">
        <f t="shared" si="134"/>
        <v>0</v>
      </c>
      <c r="CN74" s="63">
        <f t="shared" si="135"/>
        <v>0</v>
      </c>
      <c r="CO74" s="64">
        <f t="shared" si="136"/>
        <v>0</v>
      </c>
      <c r="CP74" s="65">
        <f t="shared" si="137"/>
        <v>0</v>
      </c>
      <c r="CQ74" s="66">
        <f t="shared" si="138"/>
        <v>0</v>
      </c>
      <c r="CR74" s="65">
        <f t="shared" si="139"/>
        <v>0</v>
      </c>
      <c r="CS74" s="67">
        <f t="shared" si="140"/>
        <v>0</v>
      </c>
      <c r="CT74" s="63">
        <f t="shared" si="141"/>
        <v>0</v>
      </c>
      <c r="CU74" s="64">
        <f t="shared" si="142"/>
        <v>0</v>
      </c>
      <c r="CV74" s="65">
        <f t="shared" si="143"/>
        <v>0</v>
      </c>
      <c r="CW74" s="66">
        <f t="shared" si="144"/>
        <v>0</v>
      </c>
      <c r="CX74" s="65">
        <f t="shared" si="87"/>
        <v>0</v>
      </c>
      <c r="CY74" s="67">
        <f t="shared" si="145"/>
        <v>0</v>
      </c>
      <c r="CZ74" s="63">
        <f t="shared" si="146"/>
        <v>0</v>
      </c>
      <c r="DA74" s="64">
        <f t="shared" si="147"/>
        <v>0</v>
      </c>
      <c r="DB74" s="65">
        <f t="shared" si="148"/>
        <v>0</v>
      </c>
      <c r="DC74" s="66">
        <f t="shared" si="149"/>
        <v>0</v>
      </c>
      <c r="DD74" s="65">
        <f t="shared" si="150"/>
        <v>0</v>
      </c>
      <c r="DE74" s="67">
        <f t="shared" si="86"/>
        <v>0</v>
      </c>
      <c r="DF74" s="63">
        <f t="shared" si="151"/>
        <v>0</v>
      </c>
      <c r="DG74" s="64">
        <f t="shared" si="152"/>
        <v>0</v>
      </c>
      <c r="DH74" s="65">
        <f t="shared" si="153"/>
        <v>0</v>
      </c>
      <c r="DI74" s="66">
        <f t="shared" si="154"/>
        <v>0</v>
      </c>
      <c r="DJ74" s="65">
        <f t="shared" si="155"/>
        <v>0</v>
      </c>
      <c r="DK74" s="67">
        <f t="shared" si="156"/>
        <v>0</v>
      </c>
    </row>
    <row r="75" spans="2:115" x14ac:dyDescent="0.3">
      <c r="B75" s="1"/>
      <c r="C75" s="1"/>
      <c r="G75" s="1"/>
      <c r="H75" s="1"/>
      <c r="L75" s="1"/>
      <c r="M75" s="1"/>
      <c r="Q75" s="1">
        <v>1</v>
      </c>
      <c r="R75" s="1">
        <v>1</v>
      </c>
      <c r="S75">
        <f t="shared" si="93"/>
        <v>9172.0983171999997</v>
      </c>
      <c r="T75" s="4">
        <f t="shared" si="94"/>
        <v>0.3924947024661839</v>
      </c>
      <c r="V75" s="1"/>
      <c r="W75" s="1"/>
      <c r="BF75" s="71">
        <f>SUM(BF6:BF74)</f>
        <v>0.88968700000000001</v>
      </c>
      <c r="BG75" s="71">
        <f t="shared" ref="BG75:DK75" si="158">SUM(BG6:BG74)</f>
        <v>1.0762229999999999</v>
      </c>
      <c r="BH75" s="71">
        <f t="shared" si="158"/>
        <v>0.90377300000000005</v>
      </c>
      <c r="BI75" s="71">
        <f t="shared" si="158"/>
        <v>1.066228</v>
      </c>
      <c r="BJ75" s="71"/>
      <c r="BK75" s="71"/>
      <c r="BL75" s="71">
        <f t="shared" si="158"/>
        <v>0.89031499999999997</v>
      </c>
      <c r="BM75" s="71">
        <f t="shared" si="158"/>
        <v>1.0737369999999999</v>
      </c>
      <c r="BN75" s="71">
        <f t="shared" si="158"/>
        <v>0.90416300000000005</v>
      </c>
      <c r="BO75" s="71">
        <f t="shared" si="158"/>
        <v>1.063712</v>
      </c>
      <c r="BP75" s="71"/>
      <c r="BQ75" s="71"/>
      <c r="BR75" s="71">
        <f t="shared" si="158"/>
        <v>0.89898999999999996</v>
      </c>
      <c r="BS75" s="71">
        <f t="shared" si="158"/>
        <v>1.0440469999999999</v>
      </c>
      <c r="BT75" s="71">
        <f t="shared" si="158"/>
        <v>0.91278700000000002</v>
      </c>
      <c r="BU75" s="71">
        <f t="shared" si="158"/>
        <v>1.034834</v>
      </c>
      <c r="BV75" s="71"/>
      <c r="BW75" s="71"/>
      <c r="BX75" s="71">
        <f t="shared" si="158"/>
        <v>0.894675</v>
      </c>
      <c r="BY75" s="71">
        <f t="shared" si="158"/>
        <v>1.025414</v>
      </c>
      <c r="BZ75" s="71">
        <f t="shared" si="158"/>
        <v>0.90840600000000005</v>
      </c>
      <c r="CA75" s="71">
        <f t="shared" si="158"/>
        <v>1.0162180000000001</v>
      </c>
      <c r="CB75" s="71"/>
      <c r="CC75" s="71"/>
      <c r="CD75" s="71">
        <f t="shared" si="158"/>
        <v>0.88624000000000003</v>
      </c>
      <c r="CE75" s="71">
        <f t="shared" si="158"/>
        <v>1.0164850000000001</v>
      </c>
      <c r="CF75" s="71">
        <f t="shared" si="158"/>
        <v>0.90002499999999996</v>
      </c>
      <c r="CG75" s="71">
        <f t="shared" si="158"/>
        <v>1.0086599999999999</v>
      </c>
      <c r="CH75" s="71"/>
      <c r="CI75" s="71"/>
      <c r="CJ75" s="71">
        <f t="shared" si="158"/>
        <v>0.88595000000000002</v>
      </c>
      <c r="CK75" s="71">
        <f t="shared" si="158"/>
        <v>1.015301</v>
      </c>
      <c r="CL75" s="71">
        <f t="shared" si="158"/>
        <v>0.90020299999999998</v>
      </c>
      <c r="CM75" s="71">
        <f t="shared" si="158"/>
        <v>1.0094240000000001</v>
      </c>
      <c r="CN75" s="71"/>
      <c r="CO75" s="71"/>
      <c r="CP75" s="71">
        <f t="shared" si="158"/>
        <v>0.888405</v>
      </c>
      <c r="CQ75" s="71">
        <f t="shared" si="158"/>
        <v>1.0124200000000001</v>
      </c>
      <c r="CR75" s="71">
        <f t="shared" si="158"/>
        <v>0.903173</v>
      </c>
      <c r="CS75" s="71">
        <f t="shared" si="158"/>
        <v>1.009914</v>
      </c>
      <c r="CT75" s="71"/>
      <c r="CU75" s="71"/>
      <c r="CV75" s="71">
        <f t="shared" si="158"/>
        <v>0.88739299999999999</v>
      </c>
      <c r="CW75" s="71">
        <f t="shared" si="158"/>
        <v>1.015744</v>
      </c>
      <c r="CX75" s="71">
        <f t="shared" si="158"/>
        <v>0.90265200000000001</v>
      </c>
      <c r="CY75" s="71">
        <f t="shared" si="158"/>
        <v>1.012723</v>
      </c>
      <c r="CZ75" s="71"/>
      <c r="DA75" s="71"/>
      <c r="DB75" s="71">
        <f t="shared" si="158"/>
        <v>0.88531800000000005</v>
      </c>
      <c r="DC75" s="71">
        <f t="shared" si="158"/>
        <v>1.0200579999999999</v>
      </c>
      <c r="DD75" s="71">
        <f t="shared" si="158"/>
        <v>0.90108299999999997</v>
      </c>
      <c r="DE75" s="71">
        <f t="shared" si="158"/>
        <v>1.016824</v>
      </c>
      <c r="DF75" s="71"/>
      <c r="DG75" s="71"/>
      <c r="DH75" s="71">
        <f t="shared" si="158"/>
        <v>0.89274200000000004</v>
      </c>
      <c r="DI75" s="71">
        <f t="shared" si="158"/>
        <v>1.0205979999999999</v>
      </c>
      <c r="DJ75" s="71">
        <f t="shared" si="158"/>
        <v>0.90926099999999999</v>
      </c>
      <c r="DK75" s="71">
        <f t="shared" si="158"/>
        <v>1.016961</v>
      </c>
    </row>
    <row r="76" spans="2:115" x14ac:dyDescent="0.3">
      <c r="Q76" s="1"/>
      <c r="R76" s="1"/>
      <c r="BF76" s="71">
        <f>IF($BE$2=0,0,BF75)</f>
        <v>0</v>
      </c>
      <c r="BG76" s="71">
        <f t="shared" ref="BG76:BI76" si="159">IF($BE$2=0,0,BG75)</f>
        <v>0</v>
      </c>
      <c r="BH76" s="71">
        <f t="shared" si="159"/>
        <v>0</v>
      </c>
      <c r="BI76" s="71">
        <f t="shared" si="159"/>
        <v>0</v>
      </c>
      <c r="BL76" s="71">
        <f>IF($BE$2=0,IF($BF$2=0,0,BL75),BL75)</f>
        <v>0</v>
      </c>
      <c r="BM76" s="71">
        <f t="shared" ref="BM76:BO76" si="160">IF($BE$2=0,IF($BF$2=0,0,BM75),BM75)</f>
        <v>0</v>
      </c>
      <c r="BN76" s="71">
        <f t="shared" si="160"/>
        <v>0</v>
      </c>
      <c r="BO76" s="71">
        <f t="shared" si="160"/>
        <v>0</v>
      </c>
      <c r="BR76" s="71">
        <f>IF($BF$2=0,IF($BG$2=0,0,BR75),BR75)</f>
        <v>0</v>
      </c>
      <c r="BS76" s="71">
        <f t="shared" ref="BS76:BU76" si="161">IF($BF$2=0,IF($BG$2=0,0,BS75),BS75)</f>
        <v>0</v>
      </c>
      <c r="BT76" s="71">
        <f t="shared" si="161"/>
        <v>0</v>
      </c>
      <c r="BU76" s="71">
        <f t="shared" si="161"/>
        <v>0</v>
      </c>
      <c r="BX76" s="71">
        <f>IF($BG$2=0,IF($BH$2=0,0,BX75),BX75)</f>
        <v>0</v>
      </c>
      <c r="BY76" s="71">
        <f t="shared" ref="BY76:CA76" si="162">IF($BG$2=0,IF($BH$2=0,0,BY75),BY75)</f>
        <v>0</v>
      </c>
      <c r="BZ76" s="71">
        <f t="shared" si="162"/>
        <v>0</v>
      </c>
      <c r="CA76" s="71">
        <f t="shared" si="162"/>
        <v>0</v>
      </c>
      <c r="CD76" s="71">
        <f>IF($BH$2=0,IF($BI$2=0,0,CD75),CD75)</f>
        <v>0</v>
      </c>
      <c r="CE76" s="71">
        <f t="shared" ref="CE76:CG76" si="163">IF($BH$2=0,IF($BI$2=0,0,CE75),CE75)</f>
        <v>0</v>
      </c>
      <c r="CF76" s="71">
        <f t="shared" si="163"/>
        <v>0</v>
      </c>
      <c r="CG76" s="71">
        <f t="shared" si="163"/>
        <v>0</v>
      </c>
      <c r="CJ76" s="71">
        <f>IF($BI$2=0,IF($BJ$2=0,0,CJ75),CJ75)</f>
        <v>0</v>
      </c>
      <c r="CK76" s="71">
        <f t="shared" ref="CK76:CM76" si="164">IF($BI$2=0,IF($BJ$2=0,0,CK75),CK75)</f>
        <v>0</v>
      </c>
      <c r="CL76" s="71">
        <f t="shared" si="164"/>
        <v>0</v>
      </c>
      <c r="CM76" s="71">
        <f t="shared" si="164"/>
        <v>0</v>
      </c>
      <c r="CP76" s="71">
        <f>IF($BJ$2=0,IF($BK$2=0,0,CP75),CP75)</f>
        <v>0.888405</v>
      </c>
      <c r="CQ76" s="71">
        <f t="shared" ref="CQ76:CS76" si="165">IF($BJ$2=0,IF($BK$2=0,0,CQ75),CQ75)</f>
        <v>1.0124200000000001</v>
      </c>
      <c r="CR76" s="71">
        <f t="shared" si="165"/>
        <v>0.903173</v>
      </c>
      <c r="CS76" s="71">
        <f t="shared" si="165"/>
        <v>1.009914</v>
      </c>
      <c r="CV76" s="71">
        <f>IF($BK$2=0,IF($BL$2=0,0,CV75),CV75)</f>
        <v>0.88739299999999999</v>
      </c>
      <c r="CW76" s="71">
        <f t="shared" ref="CW76:CY76" si="166">IF($BK$2=0,IF($BL$2=0,0,CW75),CW75)</f>
        <v>1.015744</v>
      </c>
      <c r="CX76" s="71">
        <f t="shared" si="166"/>
        <v>0.90265200000000001</v>
      </c>
      <c r="CY76" s="71">
        <f t="shared" si="166"/>
        <v>1.012723</v>
      </c>
      <c r="DB76" s="71">
        <f>IF($BL$2=0,IF($BM$2=0,0,DB75),DB75)</f>
        <v>0</v>
      </c>
      <c r="DC76" s="71">
        <f t="shared" ref="DC76:DE76" si="167">IF($BL$2=0,IF($BM$2=0,0,DC75),DC75)</f>
        <v>0</v>
      </c>
      <c r="DD76" s="71">
        <f t="shared" si="167"/>
        <v>0</v>
      </c>
      <c r="DE76" s="71">
        <f t="shared" si="167"/>
        <v>0</v>
      </c>
      <c r="DH76" s="71">
        <f>IF($BM$2=0,0,DH75)</f>
        <v>0</v>
      </c>
      <c r="DI76" s="71">
        <f t="shared" ref="DI76:DK76" si="168">IF($BM$2=0,0,DI75)</f>
        <v>0</v>
      </c>
      <c r="DJ76" s="71">
        <f t="shared" si="168"/>
        <v>0</v>
      </c>
      <c r="DK76" s="71">
        <f t="shared" si="168"/>
        <v>0</v>
      </c>
    </row>
    <row r="77" spans="2:115" x14ac:dyDescent="0.3">
      <c r="BH77" s="74">
        <v>-20</v>
      </c>
      <c r="BI77" t="e">
        <f>(BI76-BG76)/(BH76-BF76)*($BA$4-BF76)+BG76</f>
        <v>#DIV/0!</v>
      </c>
      <c r="BN77" s="74">
        <v>-15</v>
      </c>
      <c r="BO77" t="e">
        <f>(BO76-BM76)/(BN76-BL76)*($BA$4-BL76)+BM76</f>
        <v>#DIV/0!</v>
      </c>
      <c r="BT77" s="74">
        <v>-10</v>
      </c>
      <c r="BU77" t="e">
        <f>(BU76-BS76)/(BT76-BR76)*($BA$4-BR76)+BS76</f>
        <v>#DIV/0!</v>
      </c>
      <c r="BZ77" s="74">
        <v>-5</v>
      </c>
      <c r="CA77" t="e">
        <f>(CA76-BY76)/(BZ76-BX76)*($BA$4-BX76)+BY76</f>
        <v>#DIV/0!</v>
      </c>
      <c r="CF77" s="74">
        <v>0</v>
      </c>
      <c r="CG77" t="e">
        <f>(CG76-CE76)/(CF76-CD76)*($BA$4-CD76)+CE76</f>
        <v>#DIV/0!</v>
      </c>
      <c r="CL77" s="74">
        <v>5</v>
      </c>
      <c r="CM77" t="e">
        <f>(CM76-CK76)/(CL76-CJ76)*($BA$4-CJ76)+CK76</f>
        <v>#DIV/0!</v>
      </c>
      <c r="CR77" s="74">
        <v>10</v>
      </c>
      <c r="CS77">
        <f>(CS76-CQ76)/(CR76-CP76)*($BA$4-CP76)+CQ76</f>
        <v>1.0104524302546045</v>
      </c>
      <c r="CX77" s="74">
        <v>15</v>
      </c>
      <c r="CY77">
        <f>(CY76-CW76)/(CX76-CV76)*($BA$4-CV76)+CW76</f>
        <v>1.0132480469886624</v>
      </c>
      <c r="DD77" s="74">
        <v>20</v>
      </c>
      <c r="DE77" t="e">
        <f>(DE76-DC76)/(DD76-DB76)*($BA$4-DB76)+DC76</f>
        <v>#DIV/0!</v>
      </c>
      <c r="DJ77" s="74">
        <v>25</v>
      </c>
      <c r="DK77" t="e">
        <f>(DK76-DI76)/(DJ76-DH76)*($BA$4-DH76)+DI76</f>
        <v>#DIV/0!</v>
      </c>
    </row>
    <row r="80" spans="2:115" x14ac:dyDescent="0.3">
      <c r="BC80" s="72" t="s">
        <v>60</v>
      </c>
      <c r="BD80">
        <f>IF(BE2="X",-20,0)</f>
        <v>0</v>
      </c>
      <c r="BE80">
        <f>IF(BE2="X",-15,0)</f>
        <v>0</v>
      </c>
      <c r="BF80" s="73">
        <f>SUM(BD80:BE80)</f>
        <v>0</v>
      </c>
      <c r="BG80">
        <f>IF($BF80=0,0,BI77)</f>
        <v>0</v>
      </c>
      <c r="BH80">
        <f>IF($BF80=0,0,BO77)</f>
        <v>0</v>
      </c>
    </row>
    <row r="81" spans="55:60" x14ac:dyDescent="0.3">
      <c r="BC81" s="72" t="s">
        <v>61</v>
      </c>
      <c r="BD81">
        <f>IF(BF2="X",-15,0)</f>
        <v>0</v>
      </c>
      <c r="BE81">
        <f>IF(BE2="X",-10,0)</f>
        <v>0</v>
      </c>
      <c r="BF81" s="73">
        <f t="shared" ref="BF81:BF88" si="169">SUM(BD81:BE81)</f>
        <v>0</v>
      </c>
      <c r="BG81">
        <f>IF($BF81=0,0,BO77)</f>
        <v>0</v>
      </c>
      <c r="BH81">
        <f>IF($BF81=0,0,BU77)</f>
        <v>0</v>
      </c>
    </row>
    <row r="82" spans="55:60" x14ac:dyDescent="0.3">
      <c r="BC82" s="72" t="s">
        <v>62</v>
      </c>
      <c r="BD82">
        <f>IF(BG2="X",-10,0)</f>
        <v>0</v>
      </c>
      <c r="BE82">
        <f>IF(BG2="X",-5,0)</f>
        <v>0</v>
      </c>
      <c r="BF82" s="73">
        <f t="shared" si="169"/>
        <v>0</v>
      </c>
      <c r="BG82">
        <f>IF($BF82=0,0,BU77)</f>
        <v>0</v>
      </c>
      <c r="BH82">
        <f>IF($BF82=0,0,CA77)</f>
        <v>0</v>
      </c>
    </row>
    <row r="83" spans="55:60" x14ac:dyDescent="0.3">
      <c r="BC83" s="72" t="s">
        <v>63</v>
      </c>
      <c r="BD83">
        <f>IF(BH2="X",-5,0)</f>
        <v>0</v>
      </c>
      <c r="BE83">
        <f>IF(BH2="X",0,0)</f>
        <v>0</v>
      </c>
      <c r="BF83" s="73">
        <f t="shared" si="169"/>
        <v>0</v>
      </c>
      <c r="BG83">
        <f>IF($BF83=0,0,CA77)</f>
        <v>0</v>
      </c>
      <c r="BH83">
        <f>IF($BF83=0,0,CG77)</f>
        <v>0</v>
      </c>
    </row>
    <row r="84" spans="55:60" x14ac:dyDescent="0.3">
      <c r="BC84" s="72" t="s">
        <v>64</v>
      </c>
      <c r="BD84">
        <f>IF(BI2="X",0,0)</f>
        <v>0</v>
      </c>
      <c r="BE84">
        <f>IF(BI2="X",5,0)</f>
        <v>0</v>
      </c>
      <c r="BF84" s="73">
        <f t="shared" si="169"/>
        <v>0</v>
      </c>
      <c r="BG84">
        <f>IF($BF84=0,0,CG77)</f>
        <v>0</v>
      </c>
      <c r="BH84">
        <f>IF($BF84=0,0,CM77)</f>
        <v>0</v>
      </c>
    </row>
    <row r="85" spans="55:60" x14ac:dyDescent="0.3">
      <c r="BC85" s="72" t="s">
        <v>65</v>
      </c>
      <c r="BD85">
        <f>IF(BJ2="X",5,0)</f>
        <v>0</v>
      </c>
      <c r="BE85">
        <f>IF(BJ2="X",10,0)</f>
        <v>0</v>
      </c>
      <c r="BF85" s="73">
        <f>SUM(BD85:BE85)</f>
        <v>0</v>
      </c>
      <c r="BG85">
        <f>IF($BF85=0,0,CM77)</f>
        <v>0</v>
      </c>
      <c r="BH85">
        <f>IF($BF85=0,0,CS77)</f>
        <v>0</v>
      </c>
    </row>
    <row r="86" spans="55:60" x14ac:dyDescent="0.3">
      <c r="BC86" s="72" t="s">
        <v>66</v>
      </c>
      <c r="BD86">
        <f>IF(BK2="X",10,0)</f>
        <v>10</v>
      </c>
      <c r="BE86">
        <f>IF(BK2="X",15,0)</f>
        <v>15</v>
      </c>
      <c r="BF86" s="73">
        <f>SUM(BD86:BE86)</f>
        <v>25</v>
      </c>
      <c r="BG86">
        <f>IF($BF86=0,0,CS77)</f>
        <v>1.0104524302546045</v>
      </c>
      <c r="BH86">
        <f>IF($BF86=0,0,CY77)</f>
        <v>1.0132480469886624</v>
      </c>
    </row>
    <row r="87" spans="55:60" x14ac:dyDescent="0.3">
      <c r="BC87" s="72" t="s">
        <v>67</v>
      </c>
      <c r="BD87">
        <f>IF(BL2="X",15,0)</f>
        <v>0</v>
      </c>
      <c r="BE87">
        <f>IF(BL2="X",20,0)</f>
        <v>0</v>
      </c>
      <c r="BF87" s="73">
        <f t="shared" si="169"/>
        <v>0</v>
      </c>
      <c r="BG87">
        <f>IF($BF87=0,0,CY77)</f>
        <v>0</v>
      </c>
      <c r="BH87">
        <f>IF($BF87=0,0,DE77)</f>
        <v>0</v>
      </c>
    </row>
    <row r="88" spans="55:60" x14ac:dyDescent="0.3">
      <c r="BC88" s="72" t="s">
        <v>68</v>
      </c>
      <c r="BD88">
        <f>IF(BM2="X",20,0)</f>
        <v>0</v>
      </c>
      <c r="BE88">
        <f>IF(BM2="X",25,0)</f>
        <v>0</v>
      </c>
      <c r="BF88" s="73">
        <f t="shared" si="169"/>
        <v>0</v>
      </c>
      <c r="BG88">
        <f>IF($BF88=0,0,DE77)</f>
        <v>0</v>
      </c>
      <c r="BH88">
        <f>IF($BF88=0,0,DK77)</f>
        <v>0</v>
      </c>
    </row>
    <row r="90" spans="55:60" x14ac:dyDescent="0.3">
      <c r="BD90">
        <f>SUM(BD80:BD88)</f>
        <v>10</v>
      </c>
      <c r="BE90">
        <f>SUM(BE80:BE88)</f>
        <v>15</v>
      </c>
      <c r="BG90">
        <f>SUM(BG80:BG88)</f>
        <v>1.0104524302546045</v>
      </c>
      <c r="BH90">
        <f>SUM(BH80:BH88)</f>
        <v>1.0132480469886624</v>
      </c>
    </row>
  </sheetData>
  <mergeCells count="4">
    <mergeCell ref="BD6:BE6"/>
    <mergeCell ref="BJ6:BK6"/>
    <mergeCell ref="BA6:BB6"/>
    <mergeCell ref="AZ6:AZ7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A90"/>
  <sheetViews>
    <sheetView zoomScale="40" zoomScaleNormal="40" workbookViewId="0">
      <selection activeCell="AB64" sqref="AB64"/>
    </sheetView>
  </sheetViews>
  <sheetFormatPr defaultRowHeight="14.4" x14ac:dyDescent="0.3"/>
  <cols>
    <col min="2" max="2" width="12.33203125" bestFit="1" customWidth="1"/>
    <col min="4" max="4" width="12.109375" bestFit="1" customWidth="1"/>
    <col min="6" max="6" width="12.33203125" bestFit="1" customWidth="1"/>
    <col min="8" max="8" width="12.109375" bestFit="1" customWidth="1"/>
    <col min="10" max="10" width="12.33203125" bestFit="1" customWidth="1"/>
    <col min="12" max="12" width="12.109375" bestFit="1" customWidth="1"/>
    <col min="14" max="14" width="12.33203125" bestFit="1" customWidth="1"/>
    <col min="16" max="16" width="12.109375" bestFit="1" customWidth="1"/>
    <col min="18" max="18" width="12.33203125" bestFit="1" customWidth="1"/>
    <col min="20" max="20" width="12.109375" bestFit="1" customWidth="1"/>
    <col min="22" max="22" width="12.33203125" bestFit="1" customWidth="1"/>
    <col min="24" max="24" width="12.109375" bestFit="1" customWidth="1"/>
    <col min="26" max="26" width="12.33203125" bestFit="1" customWidth="1"/>
    <col min="28" max="28" width="12.109375" bestFit="1" customWidth="1"/>
    <col min="30" max="30" width="12.33203125" bestFit="1" customWidth="1"/>
    <col min="32" max="32" width="12.109375" bestFit="1" customWidth="1"/>
    <col min="34" max="34" width="12.33203125" bestFit="1" customWidth="1"/>
    <col min="36" max="36" width="12.109375" bestFit="1" customWidth="1"/>
    <col min="38" max="38" width="12.33203125" bestFit="1" customWidth="1"/>
    <col min="40" max="40" width="12.109375" bestFit="1" customWidth="1"/>
    <col min="45" max="45" width="11" bestFit="1" customWidth="1"/>
  </cols>
  <sheetData>
    <row r="1" spans="2:105" x14ac:dyDescent="0.3">
      <c r="B1" s="3" t="s">
        <v>3</v>
      </c>
      <c r="C1">
        <v>-20</v>
      </c>
      <c r="D1" t="s">
        <v>4</v>
      </c>
      <c r="F1" s="3" t="s">
        <v>3</v>
      </c>
      <c r="G1">
        <v>-15</v>
      </c>
      <c r="H1" t="s">
        <v>4</v>
      </c>
      <c r="J1" s="3" t="s">
        <v>3</v>
      </c>
      <c r="K1">
        <v>-10</v>
      </c>
      <c r="L1" t="s">
        <v>4</v>
      </c>
      <c r="N1" s="3" t="s">
        <v>3</v>
      </c>
      <c r="O1">
        <v>-5</v>
      </c>
      <c r="P1" t="s">
        <v>4</v>
      </c>
      <c r="R1" s="3" t="s">
        <v>3</v>
      </c>
      <c r="S1">
        <v>0</v>
      </c>
      <c r="T1" t="s">
        <v>4</v>
      </c>
      <c r="V1" s="3" t="s">
        <v>3</v>
      </c>
      <c r="W1">
        <v>5</v>
      </c>
      <c r="X1" t="s">
        <v>4</v>
      </c>
      <c r="Z1" s="3" t="s">
        <v>3</v>
      </c>
      <c r="AA1">
        <v>10</v>
      </c>
      <c r="AB1" t="s">
        <v>4</v>
      </c>
      <c r="AD1" s="3" t="s">
        <v>3</v>
      </c>
      <c r="AE1">
        <v>15</v>
      </c>
      <c r="AF1" t="s">
        <v>4</v>
      </c>
      <c r="AH1" s="3" t="s">
        <v>3</v>
      </c>
      <c r="AI1">
        <v>20</v>
      </c>
      <c r="AJ1" t="s">
        <v>4</v>
      </c>
      <c r="AL1" s="3" t="s">
        <v>3</v>
      </c>
      <c r="AM1">
        <v>25</v>
      </c>
      <c r="AN1" t="s">
        <v>4</v>
      </c>
    </row>
    <row r="2" spans="2:105" ht="15" thickBot="1" x14ac:dyDescent="0.35">
      <c r="B2" s="3" t="s">
        <v>8</v>
      </c>
      <c r="C2">
        <f>'Tin_base load (1)'!M13</f>
        <v>100.418978298</v>
      </c>
      <c r="D2" t="s">
        <v>9</v>
      </c>
      <c r="F2" s="3" t="s">
        <v>8</v>
      </c>
      <c r="G2">
        <f>'Tin_base load (1)'!M18</f>
        <v>99.316011490000008</v>
      </c>
      <c r="H2" t="s">
        <v>9</v>
      </c>
      <c r="J2" s="3" t="s">
        <v>8</v>
      </c>
      <c r="K2">
        <f>'Tin_base load (1)'!M23</f>
        <v>98.374965388000007</v>
      </c>
      <c r="L2" t="s">
        <v>9</v>
      </c>
      <c r="N2" s="3" t="s">
        <v>8</v>
      </c>
      <c r="O2">
        <f>'Tin_base load (1)'!M28</f>
        <v>98.374965388000007</v>
      </c>
      <c r="P2" t="s">
        <v>9</v>
      </c>
      <c r="R2" s="3" t="s">
        <v>8</v>
      </c>
      <c r="S2">
        <f>'Tin_base load (1)'!M33</f>
        <v>96.252015009999994</v>
      </c>
      <c r="T2" t="s">
        <v>9</v>
      </c>
      <c r="V2" s="3" t="s">
        <v>8</v>
      </c>
      <c r="W2">
        <f>'Tin_base load (1)'!M38</f>
        <v>94.188042968000005</v>
      </c>
      <c r="X2" t="s">
        <v>9</v>
      </c>
      <c r="Z2" s="3" t="s">
        <v>8</v>
      </c>
      <c r="AA2">
        <f>'Tin_base load (1)'!M43</f>
        <v>91.949023944000004</v>
      </c>
      <c r="AB2" t="s">
        <v>9</v>
      </c>
      <c r="AD2" s="3" t="s">
        <v>8</v>
      </c>
      <c r="AE2">
        <f>'Tin_base load (1)'!M48</f>
        <v>89.906000000000006</v>
      </c>
      <c r="AF2" t="s">
        <v>9</v>
      </c>
      <c r="AH2" s="3" t="s">
        <v>8</v>
      </c>
      <c r="AI2">
        <f>'Tin_base load (1)'!M53</f>
        <v>87.890037762000006</v>
      </c>
      <c r="AJ2" t="s">
        <v>9</v>
      </c>
      <c r="AL2" s="3" t="s">
        <v>8</v>
      </c>
      <c r="AM2">
        <f>'Tin_base load (1)'!M58</f>
        <v>85.222976271999997</v>
      </c>
      <c r="AN2" t="s">
        <v>9</v>
      </c>
      <c r="AU2" s="41">
        <f>IF($AQ$3&gt;=AU3,IF($AQ$3&lt;AU4, "X",0),0)</f>
        <v>0</v>
      </c>
      <c r="AV2" s="41">
        <f t="shared" ref="AV2:BC2" si="0">IF($AQ$3&gt;=AV3,IF($AQ$3&lt;AV4, "X",0),0)</f>
        <v>0</v>
      </c>
      <c r="AW2" s="41">
        <f t="shared" si="0"/>
        <v>0</v>
      </c>
      <c r="AX2" s="41">
        <f t="shared" si="0"/>
        <v>0</v>
      </c>
      <c r="AY2" s="41">
        <f t="shared" si="0"/>
        <v>0</v>
      </c>
      <c r="AZ2" s="41">
        <f t="shared" si="0"/>
        <v>0</v>
      </c>
      <c r="BA2" s="41" t="str">
        <f t="shared" si="0"/>
        <v>X</v>
      </c>
      <c r="BB2" s="41">
        <f t="shared" si="0"/>
        <v>0</v>
      </c>
      <c r="BC2" s="41">
        <f t="shared" si="0"/>
        <v>0</v>
      </c>
    </row>
    <row r="3" spans="2:105" x14ac:dyDescent="0.3">
      <c r="AP3" s="51" t="s">
        <v>15</v>
      </c>
      <c r="AQ3" s="52">
        <f>'GT maps'!G4</f>
        <v>10</v>
      </c>
      <c r="AR3" s="53" t="s">
        <v>4</v>
      </c>
      <c r="AT3" t="s">
        <v>48</v>
      </c>
      <c r="AU3">
        <v>-20</v>
      </c>
      <c r="AV3">
        <v>-15</v>
      </c>
      <c r="AW3">
        <v>-10</v>
      </c>
      <c r="AX3">
        <v>-5</v>
      </c>
      <c r="AY3">
        <v>0</v>
      </c>
      <c r="AZ3">
        <v>5</v>
      </c>
      <c r="BA3">
        <v>10</v>
      </c>
      <c r="BB3">
        <v>15</v>
      </c>
      <c r="BC3">
        <v>20</v>
      </c>
    </row>
    <row r="4" spans="2:105" ht="15" thickBot="1" x14ac:dyDescent="0.35">
      <c r="AP4" s="54" t="s">
        <v>0</v>
      </c>
      <c r="AQ4" s="76">
        <f>'GT maps'!I13</f>
        <v>0.9</v>
      </c>
      <c r="AR4" s="55"/>
      <c r="AT4" t="s">
        <v>49</v>
      </c>
      <c r="AU4">
        <v>-15</v>
      </c>
      <c r="AV4">
        <v>-10</v>
      </c>
      <c r="AW4">
        <v>-5</v>
      </c>
      <c r="AX4">
        <v>0</v>
      </c>
      <c r="AY4">
        <v>5</v>
      </c>
      <c r="AZ4">
        <v>10</v>
      </c>
      <c r="BA4">
        <v>15</v>
      </c>
      <c r="BB4">
        <v>20</v>
      </c>
      <c r="BC4">
        <v>25</v>
      </c>
    </row>
    <row r="5" spans="2:105" ht="15" thickBot="1" x14ac:dyDescent="0.35">
      <c r="AO5" s="15"/>
      <c r="AP5" s="56"/>
      <c r="AQ5" s="77"/>
      <c r="AR5" s="56"/>
    </row>
    <row r="6" spans="2:105" x14ac:dyDescent="0.3">
      <c r="B6" s="5" t="s">
        <v>0</v>
      </c>
      <c r="C6" s="5"/>
      <c r="D6" s="5" t="s">
        <v>10</v>
      </c>
      <c r="E6" s="5"/>
      <c r="F6" s="5" t="s">
        <v>0</v>
      </c>
      <c r="G6" s="5"/>
      <c r="H6" s="5" t="s">
        <v>10</v>
      </c>
      <c r="I6" s="5"/>
      <c r="J6" s="5" t="s">
        <v>0</v>
      </c>
      <c r="K6" s="5"/>
      <c r="L6" s="5" t="s">
        <v>10</v>
      </c>
      <c r="M6" s="5"/>
      <c r="N6" s="5" t="s">
        <v>0</v>
      </c>
      <c r="O6" s="5"/>
      <c r="P6" s="5" t="s">
        <v>10</v>
      </c>
      <c r="Q6" s="5"/>
      <c r="R6" s="5" t="s">
        <v>0</v>
      </c>
      <c r="S6" s="5"/>
      <c r="T6" s="5" t="s">
        <v>10</v>
      </c>
      <c r="U6" s="5"/>
      <c r="V6" s="5" t="s">
        <v>0</v>
      </c>
      <c r="W6" s="5"/>
      <c r="X6" s="5" t="s">
        <v>10</v>
      </c>
      <c r="Y6" s="5"/>
      <c r="Z6" s="5" t="s">
        <v>0</v>
      </c>
      <c r="AA6" s="5"/>
      <c r="AB6" s="5" t="s">
        <v>10</v>
      </c>
      <c r="AC6" s="5"/>
      <c r="AD6" s="5" t="s">
        <v>0</v>
      </c>
      <c r="AE6" s="5"/>
      <c r="AF6" s="5" t="s">
        <v>10</v>
      </c>
      <c r="AG6" s="5"/>
      <c r="AH6" s="5" t="s">
        <v>0</v>
      </c>
      <c r="AI6" s="5"/>
      <c r="AJ6" s="5" t="s">
        <v>10</v>
      </c>
      <c r="AK6" s="5"/>
      <c r="AL6" s="5" t="s">
        <v>0</v>
      </c>
      <c r="AM6" s="5"/>
      <c r="AN6" s="5" t="s">
        <v>10</v>
      </c>
      <c r="AP6" s="154" t="s">
        <v>78</v>
      </c>
      <c r="AQ6" s="150" t="s">
        <v>42</v>
      </c>
      <c r="AR6" s="151"/>
      <c r="AT6" s="68" t="s">
        <v>52</v>
      </c>
      <c r="AU6" s="69"/>
      <c r="AV6" s="57">
        <v>0</v>
      </c>
      <c r="AW6" s="58"/>
      <c r="AX6" s="59"/>
      <c r="AY6" s="60"/>
      <c r="AZ6" s="68" t="s">
        <v>51</v>
      </c>
      <c r="BA6" s="69"/>
      <c r="BB6" s="57">
        <v>0</v>
      </c>
      <c r="BC6" s="58"/>
      <c r="BD6" s="59"/>
      <c r="BE6" s="60"/>
      <c r="BF6" s="70" t="s">
        <v>50</v>
      </c>
      <c r="BG6" s="69"/>
      <c r="BH6" s="57">
        <v>0</v>
      </c>
      <c r="BI6" s="58"/>
      <c r="BJ6" s="59"/>
      <c r="BK6" s="60"/>
      <c r="BL6" s="68" t="s">
        <v>53</v>
      </c>
      <c r="BM6" s="69"/>
      <c r="BN6" s="57">
        <v>0</v>
      </c>
      <c r="BO6" s="58"/>
      <c r="BP6" s="59"/>
      <c r="BQ6" s="60"/>
      <c r="BR6" s="68" t="s">
        <v>54</v>
      </c>
      <c r="BS6" s="69"/>
      <c r="BT6" s="57">
        <v>0</v>
      </c>
      <c r="BU6" s="58"/>
      <c r="BV6" s="59"/>
      <c r="BW6" s="60"/>
      <c r="BX6" s="68" t="s">
        <v>55</v>
      </c>
      <c r="BY6" s="69"/>
      <c r="BZ6" s="57">
        <v>0</v>
      </c>
      <c r="CA6" s="58"/>
      <c r="CB6" s="59"/>
      <c r="CC6" s="60"/>
      <c r="CD6" s="68" t="s">
        <v>56</v>
      </c>
      <c r="CE6" s="69"/>
      <c r="CF6" s="57">
        <v>0</v>
      </c>
      <c r="CG6" s="58"/>
      <c r="CH6" s="59"/>
      <c r="CI6" s="60"/>
      <c r="CJ6" s="68" t="s">
        <v>57</v>
      </c>
      <c r="CK6" s="69"/>
      <c r="CL6" s="57">
        <v>0</v>
      </c>
      <c r="CM6" s="58"/>
      <c r="CN6" s="59"/>
      <c r="CO6" s="60"/>
      <c r="CP6" s="100" t="s">
        <v>58</v>
      </c>
      <c r="CQ6" s="101"/>
      <c r="CR6" s="57">
        <v>0</v>
      </c>
      <c r="CS6" s="58"/>
      <c r="CT6" s="57">
        <f t="shared" ref="CT6:CT57" si="1">IF(CR5=0,0,AH6)</f>
        <v>0</v>
      </c>
      <c r="CU6" s="60"/>
      <c r="CV6" s="68" t="s">
        <v>59</v>
      </c>
      <c r="CW6" s="69"/>
      <c r="CX6" s="57">
        <v>0</v>
      </c>
      <c r="CY6" s="58"/>
      <c r="CZ6" s="59"/>
      <c r="DA6" s="60"/>
    </row>
    <row r="7" spans="2:105" ht="15" thickBot="1" x14ac:dyDescent="0.35">
      <c r="B7" s="1">
        <v>8.1281000000000006E-2</v>
      </c>
      <c r="C7" s="1">
        <v>0.409076</v>
      </c>
      <c r="D7">
        <f>C7*C$2</f>
        <v>41.078993966232645</v>
      </c>
      <c r="F7" s="1">
        <v>8.0071000000000003E-2</v>
      </c>
      <c r="G7" s="1">
        <v>0.40704400000000002</v>
      </c>
      <c r="H7">
        <f>G7*G$2</f>
        <v>40.425986580935565</v>
      </c>
      <c r="J7" s="1">
        <v>7.9613000000000003E-2</v>
      </c>
      <c r="K7" s="1">
        <v>0.404503</v>
      </c>
      <c r="L7">
        <f>K7*K$2</f>
        <v>39.792968624342166</v>
      </c>
      <c r="N7" s="1">
        <v>7.9230999999999996E-2</v>
      </c>
      <c r="O7" s="1">
        <v>0.40202599999999999</v>
      </c>
      <c r="P7">
        <f>O7*O$2</f>
        <v>39.549293835076092</v>
      </c>
      <c r="R7" s="1">
        <v>7.9704999999999998E-2</v>
      </c>
      <c r="S7" s="1">
        <v>0.40011000000000002</v>
      </c>
      <c r="T7">
        <f>S7*S$2</f>
        <v>38.511393725651097</v>
      </c>
      <c r="V7" s="1">
        <v>8.2241999999999996E-2</v>
      </c>
      <c r="W7" s="1">
        <v>0.40431899999999998</v>
      </c>
      <c r="X7">
        <f>W7*W$2</f>
        <v>38.082015344778796</v>
      </c>
      <c r="Z7" s="1">
        <v>8.5211999999999996E-2</v>
      </c>
      <c r="AA7" s="1">
        <v>0.40792200000000001</v>
      </c>
      <c r="AB7">
        <f>AA7*AA$2</f>
        <v>37.508029745284368</v>
      </c>
      <c r="AD7" s="1">
        <v>8.8044999999999998E-2</v>
      </c>
      <c r="AE7" s="1">
        <v>0.41092899999999999</v>
      </c>
      <c r="AF7">
        <f>AE7*AE$2</f>
        <v>36.944982674000002</v>
      </c>
      <c r="AH7" s="1">
        <v>9.0969999999999995E-2</v>
      </c>
      <c r="AI7" s="1">
        <v>0.41406799999999999</v>
      </c>
      <c r="AJ7">
        <f>AI7*AI$2</f>
        <v>36.392452156035816</v>
      </c>
      <c r="AL7" s="1">
        <v>9.5128000000000004E-2</v>
      </c>
      <c r="AM7" s="1">
        <v>0.420767</v>
      </c>
      <c r="AN7">
        <f>AM7*AM$2</f>
        <v>35.85901605704062</v>
      </c>
      <c r="AP7" s="155"/>
      <c r="AQ7" s="49"/>
      <c r="AR7" s="75">
        <f>(AX90-AW90)/(AU90-AT90)*($AQ$3-AT90)+AW90</f>
        <v>0.9609717820287107</v>
      </c>
      <c r="AT7" s="61">
        <f t="shared" ref="AT7:AT38" si="2">IF($AQ$4&gt;B7,0,1)</f>
        <v>0</v>
      </c>
      <c r="AU7" s="43">
        <f t="shared" ref="AU7" si="3">IF(AT8=1, "min",0)</f>
        <v>0</v>
      </c>
      <c r="AV7" s="35">
        <f>IF($AT7=0,IF($AU7="min",B7,0),0)</f>
        <v>0</v>
      </c>
      <c r="AW7" s="36">
        <f>IF(AV7=0,0,$C7)</f>
        <v>0</v>
      </c>
      <c r="AX7" s="35">
        <f t="shared" ref="AX7:AX38" si="4">IF(AV6=0,0,B7)</f>
        <v>0</v>
      </c>
      <c r="AY7" s="62">
        <f t="shared" ref="AY7:AY38" si="5">IF(AX7=0,0,C7)</f>
        <v>0</v>
      </c>
      <c r="AZ7" s="61">
        <f t="shared" ref="AZ7:AZ38" si="6">IF($AQ$4&gt;F7,0,1)</f>
        <v>0</v>
      </c>
      <c r="BA7" s="43">
        <f t="shared" ref="BA7" si="7">IF(AZ8=1, "min",0)</f>
        <v>0</v>
      </c>
      <c r="BB7" s="35">
        <f>IF(AZ7=0,IF(BA7="min",F7,0),0)</f>
        <v>0</v>
      </c>
      <c r="BC7" s="36">
        <f>IF(BB7=0,0,$G7)</f>
        <v>0</v>
      </c>
      <c r="BD7" s="35">
        <f>IF(BB6=0,0,F7)</f>
        <v>0</v>
      </c>
      <c r="BE7" s="62">
        <f>IF(BD7=0,0,G7)</f>
        <v>0</v>
      </c>
      <c r="BF7" s="61">
        <f>IF($AQ$4&gt;J7,0,1)</f>
        <v>0</v>
      </c>
      <c r="BG7" s="43">
        <f t="shared" ref="BG7" si="8">IF(BF8=1, "min",0)</f>
        <v>0</v>
      </c>
      <c r="BH7" s="35">
        <f>IF(BF7=0,IF(BG7="min",J7,0),0)</f>
        <v>0</v>
      </c>
      <c r="BI7" s="36">
        <f>IF(BH7=0,0,K7)</f>
        <v>0</v>
      </c>
      <c r="BJ7" s="35">
        <f>IF(BH6=0,0,J7)</f>
        <v>0</v>
      </c>
      <c r="BK7" s="62">
        <f>IF(BJ7=0,0,K7)</f>
        <v>0</v>
      </c>
      <c r="BL7" s="61">
        <f>IF($AQ$4&gt;N7,0,1)</f>
        <v>0</v>
      </c>
      <c r="BM7" s="43">
        <f>IF(BL8=1, "min",0)</f>
        <v>0</v>
      </c>
      <c r="BN7" s="35">
        <f>IF(BL7=0,IF(BM7="min",N7,0),0)</f>
        <v>0</v>
      </c>
      <c r="BO7" s="36">
        <f>IF(BN7=0,0,O7)</f>
        <v>0</v>
      </c>
      <c r="BP7" s="35">
        <f>IF(BN6=0,0,N7)</f>
        <v>0</v>
      </c>
      <c r="BQ7" s="62">
        <f>IF(BP7=0,0,O7)</f>
        <v>0</v>
      </c>
      <c r="BR7" s="61">
        <f>IF($AQ$4&gt;R7,0,1)</f>
        <v>0</v>
      </c>
      <c r="BS7" s="43">
        <f>IF(BR8=1, "min",0)</f>
        <v>0</v>
      </c>
      <c r="BT7" s="35">
        <f>IF(BR7=0,IF(BS7="min",R7,0),0)</f>
        <v>0</v>
      </c>
      <c r="BU7" s="36">
        <f>IF(BT7=0,0,$S7)</f>
        <v>0</v>
      </c>
      <c r="BV7" s="35">
        <f>IF(BT6=0,0,R7)</f>
        <v>0</v>
      </c>
      <c r="BW7" s="62">
        <f>IF(BV7=0,0,S7)</f>
        <v>0</v>
      </c>
      <c r="BX7" s="61">
        <f>IF($AQ$4&gt;V7,0,1)</f>
        <v>0</v>
      </c>
      <c r="BY7" s="43">
        <f>IF(BX8=1, "min",0)</f>
        <v>0</v>
      </c>
      <c r="BZ7" s="35">
        <f>IF(BX7=0,IF(BY7="min",V7,0),0)</f>
        <v>0</v>
      </c>
      <c r="CA7" s="36">
        <f>IF(BZ7=0,0,$W7)</f>
        <v>0</v>
      </c>
      <c r="CB7" s="35">
        <f>IF(BZ6=0,0,V7)</f>
        <v>0</v>
      </c>
      <c r="CC7" s="62">
        <f>IF(CB7=0,0,W7)</f>
        <v>0</v>
      </c>
      <c r="CD7" s="61">
        <f>IF($AQ$4&gt;Z7,0,1)</f>
        <v>0</v>
      </c>
      <c r="CE7" s="43">
        <f t="shared" ref="CE7" si="9">IF(CD8=1, "min",0)</f>
        <v>0</v>
      </c>
      <c r="CF7" s="35">
        <f>IF(CD7=0,IF(CE7="min",Z7,0),0)</f>
        <v>0</v>
      </c>
      <c r="CG7" s="36">
        <f>IF(CF7=0,0,$AA7)</f>
        <v>0</v>
      </c>
      <c r="CH7" s="35">
        <f>IF(CF6=0,0,Z7)</f>
        <v>0</v>
      </c>
      <c r="CI7" s="62">
        <f>IF(CH7=0,0,AA7)</f>
        <v>0</v>
      </c>
      <c r="CJ7" s="61">
        <f>IF($AQ$4&gt;AD7,0,1)</f>
        <v>0</v>
      </c>
      <c r="CK7" s="43">
        <f>IF(CJ8=1, "min",0)</f>
        <v>0</v>
      </c>
      <c r="CL7" s="35">
        <f>IF($CJ7=0,IF($CK7="min",AD7,0),0)</f>
        <v>0</v>
      </c>
      <c r="CM7" s="36">
        <f>IF(CL7=0,0,$AE7)</f>
        <v>0</v>
      </c>
      <c r="CN7" s="35">
        <f>IF(CL6=0,0,AD7)</f>
        <v>0</v>
      </c>
      <c r="CO7" s="62">
        <f>IF(CN7=0,0,AE7)</f>
        <v>0</v>
      </c>
      <c r="CP7" s="61">
        <f>IF($AQ$4&gt;AH7,0,1)</f>
        <v>0</v>
      </c>
      <c r="CQ7" s="43">
        <f>IF(CP8=1, "min",0)</f>
        <v>0</v>
      </c>
      <c r="CR7" s="35">
        <f>IF(CP7=0,IF(CQ7="min",AH7,0),0)</f>
        <v>0</v>
      </c>
      <c r="CS7" s="36">
        <f>IF(CR7=0,0,$AI7)</f>
        <v>0</v>
      </c>
      <c r="CT7" s="35">
        <f t="shared" si="1"/>
        <v>0</v>
      </c>
      <c r="CU7" s="62">
        <f>IF(CT7=0,0,AI7)</f>
        <v>0</v>
      </c>
      <c r="CV7" s="61">
        <f>IF($AQ$4&gt;AL7,0,1)</f>
        <v>0</v>
      </c>
      <c r="CW7" s="43">
        <f>IF(CV8=1, "min",0)</f>
        <v>0</v>
      </c>
      <c r="CX7" s="35">
        <f>IF(CV7=0,IF(CW7="min",AL7,0),0)</f>
        <v>0</v>
      </c>
      <c r="CY7" s="36">
        <f>IF(CX7=0,0,$AM7)</f>
        <v>0</v>
      </c>
      <c r="CZ7" s="35">
        <f>IF(CX6=0,0,AL7)</f>
        <v>0</v>
      </c>
      <c r="DA7" s="62">
        <f>IF(CZ7=0,0,AM7)</f>
        <v>0</v>
      </c>
    </row>
    <row r="8" spans="2:105" x14ac:dyDescent="0.3">
      <c r="B8" s="1">
        <v>9.5568E-2</v>
      </c>
      <c r="C8" s="1">
        <v>0.42954999999999999</v>
      </c>
      <c r="D8">
        <f t="shared" ref="D8:D71" si="10">C8*C$2</f>
        <v>43.134972127905897</v>
      </c>
      <c r="F8" s="1">
        <v>9.4145000000000006E-2</v>
      </c>
      <c r="G8" s="1">
        <v>0.42743399999999998</v>
      </c>
      <c r="H8">
        <f t="shared" ref="H8:H71" si="11">G8*G$2</f>
        <v>42.451040055216659</v>
      </c>
      <c r="J8" s="1">
        <v>9.3605999999999995E-2</v>
      </c>
      <c r="K8" s="1">
        <v>0.42478300000000002</v>
      </c>
      <c r="L8">
        <f t="shared" ref="L8:L71" si="12">K8*K$2</f>
        <v>41.788012922410807</v>
      </c>
      <c r="N8" s="1">
        <v>9.3157000000000004E-2</v>
      </c>
      <c r="O8" s="1">
        <v>0.42152400000000001</v>
      </c>
      <c r="P8">
        <f t="shared" ref="P8:P71" si="13">O8*O$2</f>
        <v>41.467408910211319</v>
      </c>
      <c r="R8" s="1">
        <v>9.3714000000000006E-2</v>
      </c>
      <c r="S8" s="1">
        <v>0.42190699999999998</v>
      </c>
      <c r="T8">
        <f t="shared" ref="T8:T71" si="14">S8*S$2</f>
        <v>40.609398896824068</v>
      </c>
      <c r="V8" s="1">
        <v>9.6698000000000006E-2</v>
      </c>
      <c r="W8" s="1">
        <v>0.42461900000000002</v>
      </c>
      <c r="X8">
        <f t="shared" ref="X8:X71" si="15">W8*W$2</f>
        <v>39.994032617029198</v>
      </c>
      <c r="Z8" s="1">
        <v>0.100189</v>
      </c>
      <c r="AA8" s="1">
        <v>0.42841099999999999</v>
      </c>
      <c r="AB8">
        <f t="shared" ref="AB8:AB71" si="16">AA8*AA$2</f>
        <v>39.391973296872983</v>
      </c>
      <c r="AD8" s="1">
        <v>0.10352</v>
      </c>
      <c r="AE8" s="1">
        <v>0.43158400000000002</v>
      </c>
      <c r="AF8">
        <f t="shared" ref="AF8:AF68" si="17">AE8*AE$2</f>
        <v>38.801991104000003</v>
      </c>
      <c r="AH8" s="1">
        <v>0.10696</v>
      </c>
      <c r="AI8" s="1">
        <v>0.43501499999999999</v>
      </c>
      <c r="AJ8">
        <f t="shared" ref="AJ8:AJ65" si="18">AI8*AI$2</f>
        <v>38.233484777036431</v>
      </c>
      <c r="AL8" s="1">
        <v>0.111848</v>
      </c>
      <c r="AM8" s="1">
        <v>0.44110199999999999</v>
      </c>
      <c r="AN8">
        <f t="shared" ref="AN8:AN64" si="19">AM8*AM$2</f>
        <v>37.59202527953174</v>
      </c>
      <c r="AT8" s="61">
        <f t="shared" si="2"/>
        <v>0</v>
      </c>
      <c r="AU8" s="43">
        <f t="shared" ref="AU8:AU71" si="20">IF(AT9=1, "min",0)</f>
        <v>0</v>
      </c>
      <c r="AV8" s="35">
        <f t="shared" ref="AV8:AV71" si="21">IF($AT8=0,IF($AU8="min",B8,0),0)</f>
        <v>0</v>
      </c>
      <c r="AW8" s="36">
        <f t="shared" ref="AW8:AW71" si="22">IF(AV8=0,0,$C8)</f>
        <v>0</v>
      </c>
      <c r="AX8" s="35">
        <f t="shared" si="4"/>
        <v>0</v>
      </c>
      <c r="AY8" s="62">
        <f t="shared" si="5"/>
        <v>0</v>
      </c>
      <c r="AZ8" s="61">
        <f t="shared" si="6"/>
        <v>0</v>
      </c>
      <c r="BA8" s="43">
        <f t="shared" ref="BA8:BA71" si="23">IF(AZ9=1, "min",0)</f>
        <v>0</v>
      </c>
      <c r="BB8" s="35">
        <f t="shared" ref="BB8:BB10" si="24">IF(AZ8=0,IF(BA8="min",F8,0),0)</f>
        <v>0</v>
      </c>
      <c r="BC8" s="36">
        <f t="shared" ref="BC8:BC71" si="25">IF(BB8=0,0,$G8)</f>
        <v>0</v>
      </c>
      <c r="BD8" s="35">
        <f t="shared" ref="BD8:BD71" si="26">IF(BB7=0,0,F8)</f>
        <v>0</v>
      </c>
      <c r="BE8" s="62">
        <f t="shared" ref="BE8:BE71" si="27">IF(BD8=0,0,G8)</f>
        <v>0</v>
      </c>
      <c r="BF8" s="61">
        <f t="shared" ref="BF8:BF71" si="28">IF($AQ$4&gt;J8,0,1)</f>
        <v>0</v>
      </c>
      <c r="BG8" s="43">
        <f t="shared" ref="BG8:BG71" si="29">IF(BF9=1, "min",0)</f>
        <v>0</v>
      </c>
      <c r="BH8" s="35">
        <f t="shared" ref="BH8:BH71" si="30">IF(BF8=0,IF(BG8="min",J8,0),0)</f>
        <v>0</v>
      </c>
      <c r="BI8" s="36">
        <f t="shared" ref="BI8:BI71" si="31">IF(BH8=0,0,K8)</f>
        <v>0</v>
      </c>
      <c r="BJ8" s="35">
        <f t="shared" ref="BJ8:BJ71" si="32">IF(BH7=0,0,J8)</f>
        <v>0</v>
      </c>
      <c r="BK8" s="62">
        <f t="shared" ref="BK8:BK71" si="33">IF(BJ8=0,0,K8)</f>
        <v>0</v>
      </c>
      <c r="BL8" s="61">
        <f t="shared" ref="BL8:BL71" si="34">IF($AQ$4&gt;N8,0,1)</f>
        <v>0</v>
      </c>
      <c r="BM8" s="43">
        <f t="shared" ref="BM8:BM71" si="35">IF(BL9=1, "min",0)</f>
        <v>0</v>
      </c>
      <c r="BN8" s="35">
        <f t="shared" ref="BN8:BN71" si="36">IF(BL8=0,IF(BM8="min",N8,0),0)</f>
        <v>0</v>
      </c>
      <c r="BO8" s="36">
        <f t="shared" ref="BO8:BO71" si="37">IF(BN8=0,0,O8)</f>
        <v>0</v>
      </c>
      <c r="BP8" s="35">
        <f t="shared" ref="BP8:BP71" si="38">IF(BN7=0,0,N8)</f>
        <v>0</v>
      </c>
      <c r="BQ8" s="62">
        <f t="shared" ref="BQ8:BQ71" si="39">IF(BP8=0,0,O8)</f>
        <v>0</v>
      </c>
      <c r="BR8" s="61">
        <f t="shared" ref="BR8:BR71" si="40">IF($AQ$4&gt;R8,0,1)</f>
        <v>0</v>
      </c>
      <c r="BS8" s="43">
        <f t="shared" ref="BS8:BS71" si="41">IF(BR9=1, "min",0)</f>
        <v>0</v>
      </c>
      <c r="BT8" s="35">
        <f t="shared" ref="BT8:BT71" si="42">IF(BR8=0,IF(BS8="min",R8,0),0)</f>
        <v>0</v>
      </c>
      <c r="BU8" s="36">
        <f t="shared" ref="BU8:BU71" si="43">IF(BT8=0,0,$S8)</f>
        <v>0</v>
      </c>
      <c r="BV8" s="35">
        <f t="shared" ref="BV8:BV71" si="44">IF(BT7=0,0,R8)</f>
        <v>0</v>
      </c>
      <c r="BW8" s="62">
        <f t="shared" ref="BW8:BW71" si="45">IF(BV8=0,0,S8)</f>
        <v>0</v>
      </c>
      <c r="BX8" s="61">
        <f t="shared" ref="BX8:BX71" si="46">IF($AQ$4&gt;V8,0,1)</f>
        <v>0</v>
      </c>
      <c r="BY8" s="43">
        <f t="shared" ref="BY8:BY71" si="47">IF(BX9=1, "min",0)</f>
        <v>0</v>
      </c>
      <c r="BZ8" s="35">
        <f t="shared" ref="BZ8:BZ71" si="48">IF(BX8=0,IF(BY8="min",V8,0),0)</f>
        <v>0</v>
      </c>
      <c r="CA8" s="36">
        <f t="shared" ref="CA8:CA71" si="49">IF(BZ8=0,0,$W8)</f>
        <v>0</v>
      </c>
      <c r="CB8" s="35">
        <f t="shared" ref="CB8:CB71" si="50">IF(BZ7=0,0,V8)</f>
        <v>0</v>
      </c>
      <c r="CC8" s="62">
        <f t="shared" ref="CC8:CC71" si="51">IF(CB8=0,0,W8)</f>
        <v>0</v>
      </c>
      <c r="CD8" s="61">
        <f t="shared" ref="CD8:CD71" si="52">IF($AQ$4&gt;Z8,0,1)</f>
        <v>0</v>
      </c>
      <c r="CE8" s="43">
        <f t="shared" ref="CE8:CE71" si="53">IF(CD9=1, "min",0)</f>
        <v>0</v>
      </c>
      <c r="CF8" s="35">
        <f t="shared" ref="CF8:CF71" si="54">IF(CD8=0,IF(CE8="min",Z8,0),0)</f>
        <v>0</v>
      </c>
      <c r="CG8" s="36">
        <f t="shared" ref="CG8:CG71" si="55">IF(CF8=0,0,$AA8)</f>
        <v>0</v>
      </c>
      <c r="CH8" s="35">
        <f t="shared" ref="CH8:CH71" si="56">IF(CF7=0,0,Z8)</f>
        <v>0</v>
      </c>
      <c r="CI8" s="62">
        <f>IF(CH8=0,0,AA8)</f>
        <v>0</v>
      </c>
      <c r="CJ8" s="61">
        <f t="shared" ref="CJ8:CJ71" si="57">IF($AQ$4&gt;AD8,0,1)</f>
        <v>0</v>
      </c>
      <c r="CK8" s="43">
        <f t="shared" ref="CK8:CK71" si="58">IF(CJ9=1, "min",0)</f>
        <v>0</v>
      </c>
      <c r="CL8" s="35">
        <f t="shared" ref="CL8:CL71" si="59">IF($CJ8=0,IF($CK8="min",AD8,0),0)</f>
        <v>0</v>
      </c>
      <c r="CM8" s="36">
        <f t="shared" ref="CM8:CM71" si="60">IF(CL8=0,0,$AE8)</f>
        <v>0</v>
      </c>
      <c r="CN8" s="35">
        <f t="shared" ref="CN8:CN71" si="61">IF(CL7=0,0,AD8)</f>
        <v>0</v>
      </c>
      <c r="CO8" s="62">
        <f t="shared" ref="CO8:CO71" si="62">IF(CN8=0,0,AE8)</f>
        <v>0</v>
      </c>
      <c r="CP8" s="61">
        <f t="shared" ref="CP8:CP71" si="63">IF($AQ$4&gt;AH8,0,1)</f>
        <v>0</v>
      </c>
      <c r="CQ8" s="43">
        <f t="shared" ref="CQ8:CQ71" si="64">IF(CP9=1, "min",0)</f>
        <v>0</v>
      </c>
      <c r="CR8" s="35">
        <f t="shared" ref="CR8:CR71" si="65">IF(CP8=0,IF(CQ8="min",AH8,0),0)</f>
        <v>0</v>
      </c>
      <c r="CS8" s="36">
        <f t="shared" ref="CS8:CS71" si="66">IF(CR8=0,0,$AI8)</f>
        <v>0</v>
      </c>
      <c r="CT8" s="35">
        <f t="shared" si="1"/>
        <v>0</v>
      </c>
      <c r="CU8" s="62">
        <f t="shared" ref="CU8:CU71" si="67">IF(CT8=0,0,AI8)</f>
        <v>0</v>
      </c>
      <c r="CV8" s="61">
        <f t="shared" ref="CV8:CV71" si="68">IF($AQ$4&gt;AL8,0,1)</f>
        <v>0</v>
      </c>
      <c r="CW8" s="43">
        <f t="shared" ref="CW8:CW71" si="69">IF(CV9=1, "min",0)</f>
        <v>0</v>
      </c>
      <c r="CX8" s="35">
        <f t="shared" ref="CX8:CX71" si="70">IF(CV8=0,IF(CW8="min",AL8,0),0)</f>
        <v>0</v>
      </c>
      <c r="CY8" s="36">
        <f t="shared" ref="CY8:CY71" si="71">IF(CX8=0,0,$AM8)</f>
        <v>0</v>
      </c>
      <c r="CZ8" s="35">
        <f t="shared" ref="CZ8:CZ71" si="72">IF(CX7=0,0,AL8)</f>
        <v>0</v>
      </c>
      <c r="DA8" s="62">
        <f t="shared" ref="DA8:DA71" si="73">IF(CZ8=0,0,AM8)</f>
        <v>0</v>
      </c>
    </row>
    <row r="9" spans="2:105" x14ac:dyDescent="0.3">
      <c r="B9" s="1">
        <v>0.10982599999999999</v>
      </c>
      <c r="C9" s="1">
        <v>0.445025</v>
      </c>
      <c r="D9">
        <f t="shared" si="10"/>
        <v>44.688955817067452</v>
      </c>
      <c r="F9" s="1">
        <v>0.10818999999999999</v>
      </c>
      <c r="G9" s="1">
        <v>0.44311099999999998</v>
      </c>
      <c r="H9">
        <f t="shared" si="11"/>
        <v>44.008017167345393</v>
      </c>
      <c r="J9" s="1">
        <v>0.107572</v>
      </c>
      <c r="K9" s="1">
        <v>0.43960399999999999</v>
      </c>
      <c r="L9">
        <f t="shared" si="12"/>
        <v>43.246028284426352</v>
      </c>
      <c r="N9" s="1">
        <v>0.107055</v>
      </c>
      <c r="O9" s="1">
        <v>0.43903199999999998</v>
      </c>
      <c r="P9">
        <f t="shared" si="13"/>
        <v>43.189757804224413</v>
      </c>
      <c r="R9" s="1">
        <v>0.107695</v>
      </c>
      <c r="S9" s="1">
        <v>0.43785499999999999</v>
      </c>
      <c r="T9">
        <f t="shared" si="14"/>
        <v>42.144426032203548</v>
      </c>
      <c r="V9" s="1">
        <v>0.111124</v>
      </c>
      <c r="W9" s="1">
        <v>0.44085200000000002</v>
      </c>
      <c r="X9">
        <f t="shared" si="15"/>
        <v>41.522987118528739</v>
      </c>
      <c r="Z9" s="1">
        <v>0.115136</v>
      </c>
      <c r="AA9" s="1">
        <v>0.44499699999999998</v>
      </c>
      <c r="AB9">
        <f t="shared" si="16"/>
        <v>40.91703980800817</v>
      </c>
      <c r="AD9" s="1">
        <v>0.118964</v>
      </c>
      <c r="AE9" s="1">
        <v>0.44846799999999998</v>
      </c>
      <c r="AF9">
        <f t="shared" si="17"/>
        <v>40.319964007999999</v>
      </c>
      <c r="AH9" s="1">
        <v>0.122917</v>
      </c>
      <c r="AI9" s="1">
        <v>0.451069</v>
      </c>
      <c r="AJ9">
        <f t="shared" si="18"/>
        <v>39.644471443267584</v>
      </c>
      <c r="AL9" s="1">
        <v>0.12853500000000001</v>
      </c>
      <c r="AM9" s="1">
        <v>0.45716499999999999</v>
      </c>
      <c r="AN9">
        <f t="shared" si="19"/>
        <v>38.960961947388874</v>
      </c>
      <c r="AT9" s="61">
        <f t="shared" si="2"/>
        <v>0</v>
      </c>
      <c r="AU9" s="43">
        <f t="shared" si="20"/>
        <v>0</v>
      </c>
      <c r="AV9" s="35">
        <f t="shared" si="21"/>
        <v>0</v>
      </c>
      <c r="AW9" s="36">
        <f t="shared" si="22"/>
        <v>0</v>
      </c>
      <c r="AX9" s="35">
        <f t="shared" si="4"/>
        <v>0</v>
      </c>
      <c r="AY9" s="62">
        <f t="shared" si="5"/>
        <v>0</v>
      </c>
      <c r="AZ9" s="61">
        <f t="shared" si="6"/>
        <v>0</v>
      </c>
      <c r="BA9" s="43">
        <f t="shared" si="23"/>
        <v>0</v>
      </c>
      <c r="BB9" s="35">
        <f t="shared" si="24"/>
        <v>0</v>
      </c>
      <c r="BC9" s="36">
        <f t="shared" si="25"/>
        <v>0</v>
      </c>
      <c r="BD9" s="35">
        <f t="shared" si="26"/>
        <v>0</v>
      </c>
      <c r="BE9" s="62">
        <f t="shared" si="27"/>
        <v>0</v>
      </c>
      <c r="BF9" s="61">
        <f t="shared" si="28"/>
        <v>0</v>
      </c>
      <c r="BG9" s="43">
        <f t="shared" si="29"/>
        <v>0</v>
      </c>
      <c r="BH9" s="35">
        <f t="shared" si="30"/>
        <v>0</v>
      </c>
      <c r="BI9" s="36">
        <f t="shared" si="31"/>
        <v>0</v>
      </c>
      <c r="BJ9" s="35">
        <f t="shared" si="32"/>
        <v>0</v>
      </c>
      <c r="BK9" s="62">
        <f t="shared" si="33"/>
        <v>0</v>
      </c>
      <c r="BL9" s="61">
        <f t="shared" si="34"/>
        <v>0</v>
      </c>
      <c r="BM9" s="43">
        <f t="shared" si="35"/>
        <v>0</v>
      </c>
      <c r="BN9" s="35">
        <f t="shared" si="36"/>
        <v>0</v>
      </c>
      <c r="BO9" s="36">
        <f t="shared" si="37"/>
        <v>0</v>
      </c>
      <c r="BP9" s="35">
        <f t="shared" si="38"/>
        <v>0</v>
      </c>
      <c r="BQ9" s="62">
        <f t="shared" si="39"/>
        <v>0</v>
      </c>
      <c r="BR9" s="61">
        <f t="shared" si="40"/>
        <v>0</v>
      </c>
      <c r="BS9" s="43">
        <f t="shared" si="41"/>
        <v>0</v>
      </c>
      <c r="BT9" s="35">
        <f t="shared" si="42"/>
        <v>0</v>
      </c>
      <c r="BU9" s="36">
        <f t="shared" si="43"/>
        <v>0</v>
      </c>
      <c r="BV9" s="35">
        <f t="shared" si="44"/>
        <v>0</v>
      </c>
      <c r="BW9" s="62">
        <f t="shared" si="45"/>
        <v>0</v>
      </c>
      <c r="BX9" s="61">
        <f t="shared" si="46"/>
        <v>0</v>
      </c>
      <c r="BY9" s="43">
        <f t="shared" si="47"/>
        <v>0</v>
      </c>
      <c r="BZ9" s="35">
        <f t="shared" si="48"/>
        <v>0</v>
      </c>
      <c r="CA9" s="36">
        <f t="shared" si="49"/>
        <v>0</v>
      </c>
      <c r="CB9" s="35">
        <f t="shared" si="50"/>
        <v>0</v>
      </c>
      <c r="CC9" s="62">
        <f t="shared" si="51"/>
        <v>0</v>
      </c>
      <c r="CD9" s="61">
        <f t="shared" si="52"/>
        <v>0</v>
      </c>
      <c r="CE9" s="43">
        <f t="shared" si="53"/>
        <v>0</v>
      </c>
      <c r="CF9" s="35">
        <f t="shared" si="54"/>
        <v>0</v>
      </c>
      <c r="CG9" s="36">
        <f t="shared" si="55"/>
        <v>0</v>
      </c>
      <c r="CH9" s="35">
        <f t="shared" si="56"/>
        <v>0</v>
      </c>
      <c r="CI9" s="62">
        <f t="shared" ref="CI9:CI71" si="74">IF(CH9=0,0,AA9)</f>
        <v>0</v>
      </c>
      <c r="CJ9" s="61">
        <f t="shared" si="57"/>
        <v>0</v>
      </c>
      <c r="CK9" s="43">
        <f t="shared" si="58"/>
        <v>0</v>
      </c>
      <c r="CL9" s="35">
        <f t="shared" si="59"/>
        <v>0</v>
      </c>
      <c r="CM9" s="36">
        <f t="shared" si="60"/>
        <v>0</v>
      </c>
      <c r="CN9" s="35">
        <f t="shared" si="61"/>
        <v>0</v>
      </c>
      <c r="CO9" s="62">
        <f t="shared" si="62"/>
        <v>0</v>
      </c>
      <c r="CP9" s="61">
        <f t="shared" si="63"/>
        <v>0</v>
      </c>
      <c r="CQ9" s="43">
        <f t="shared" si="64"/>
        <v>0</v>
      </c>
      <c r="CR9" s="35">
        <f t="shared" si="65"/>
        <v>0</v>
      </c>
      <c r="CS9" s="36">
        <f t="shared" si="66"/>
        <v>0</v>
      </c>
      <c r="CT9" s="35">
        <f t="shared" si="1"/>
        <v>0</v>
      </c>
      <c r="CU9" s="62">
        <f t="shared" si="67"/>
        <v>0</v>
      </c>
      <c r="CV9" s="61">
        <f t="shared" si="68"/>
        <v>0</v>
      </c>
      <c r="CW9" s="43">
        <f t="shared" si="69"/>
        <v>0</v>
      </c>
      <c r="CX9" s="35">
        <f t="shared" si="70"/>
        <v>0</v>
      </c>
      <c r="CY9" s="36">
        <f t="shared" si="71"/>
        <v>0</v>
      </c>
      <c r="CZ9" s="35">
        <f t="shared" si="72"/>
        <v>0</v>
      </c>
      <c r="DA9" s="62">
        <f t="shared" si="73"/>
        <v>0</v>
      </c>
    </row>
    <row r="10" spans="2:105" x14ac:dyDescent="0.3">
      <c r="B10" s="1">
        <v>0.124112</v>
      </c>
      <c r="C10" s="1">
        <v>0.45957399999999998</v>
      </c>
      <c r="D10">
        <f t="shared" si="10"/>
        <v>46.149951532325048</v>
      </c>
      <c r="F10" s="1">
        <v>0.122264</v>
      </c>
      <c r="G10" s="1">
        <v>0.45658300000000002</v>
      </c>
      <c r="H10">
        <f t="shared" si="11"/>
        <v>45.346002474138679</v>
      </c>
      <c r="J10" s="1">
        <v>0.12156500000000001</v>
      </c>
      <c r="K10" s="1">
        <v>0.45614199999999999</v>
      </c>
      <c r="L10">
        <f t="shared" si="12"/>
        <v>44.872953462013101</v>
      </c>
      <c r="N10" s="1">
        <v>0.12098100000000001</v>
      </c>
      <c r="O10" s="1">
        <v>0.45370700000000003</v>
      </c>
      <c r="P10">
        <f t="shared" si="13"/>
        <v>44.63341042129332</v>
      </c>
      <c r="R10" s="1">
        <v>0.12170499999999999</v>
      </c>
      <c r="S10" s="1">
        <v>0.45265</v>
      </c>
      <c r="T10">
        <f t="shared" si="14"/>
        <v>43.568474594276495</v>
      </c>
      <c r="V10" s="1">
        <v>0.125579</v>
      </c>
      <c r="W10" s="1">
        <v>0.45592899999999997</v>
      </c>
      <c r="X10">
        <f t="shared" si="15"/>
        <v>42.943060242357269</v>
      </c>
      <c r="Z10" s="1">
        <v>0.13011400000000001</v>
      </c>
      <c r="AA10" s="1">
        <v>0.460179</v>
      </c>
      <c r="AB10">
        <f t="shared" si="16"/>
        <v>42.313009889525979</v>
      </c>
      <c r="AD10" s="1">
        <v>0.134439</v>
      </c>
      <c r="AE10" s="1">
        <v>0.46272799999999997</v>
      </c>
      <c r="AF10">
        <f t="shared" si="17"/>
        <v>41.602023568</v>
      </c>
      <c r="AH10" s="1">
        <v>0.138907</v>
      </c>
      <c r="AI10" s="1">
        <v>0.465223</v>
      </c>
      <c r="AJ10">
        <f t="shared" si="18"/>
        <v>40.888467037750928</v>
      </c>
      <c r="AL10" s="1">
        <v>0.145255</v>
      </c>
      <c r="AM10" s="1">
        <v>0.47142200000000001</v>
      </c>
      <c r="AN10">
        <f t="shared" si="19"/>
        <v>40.175985920098782</v>
      </c>
      <c r="AP10" s="56"/>
      <c r="AQ10" s="56"/>
      <c r="AR10" s="56"/>
      <c r="AT10" s="61">
        <f t="shared" si="2"/>
        <v>0</v>
      </c>
      <c r="AU10" s="43">
        <f t="shared" si="20"/>
        <v>0</v>
      </c>
      <c r="AV10" s="35">
        <f t="shared" si="21"/>
        <v>0</v>
      </c>
      <c r="AW10" s="36">
        <f t="shared" si="22"/>
        <v>0</v>
      </c>
      <c r="AX10" s="35">
        <f t="shared" si="4"/>
        <v>0</v>
      </c>
      <c r="AY10" s="62">
        <f t="shared" si="5"/>
        <v>0</v>
      </c>
      <c r="AZ10" s="61">
        <f t="shared" si="6"/>
        <v>0</v>
      </c>
      <c r="BA10" s="43">
        <f t="shared" si="23"/>
        <v>0</v>
      </c>
      <c r="BB10" s="35">
        <f t="shared" si="24"/>
        <v>0</v>
      </c>
      <c r="BC10" s="36">
        <f t="shared" si="25"/>
        <v>0</v>
      </c>
      <c r="BD10" s="35">
        <f t="shared" si="26"/>
        <v>0</v>
      </c>
      <c r="BE10" s="62">
        <f t="shared" si="27"/>
        <v>0</v>
      </c>
      <c r="BF10" s="61">
        <f t="shared" si="28"/>
        <v>0</v>
      </c>
      <c r="BG10" s="43">
        <f t="shared" si="29"/>
        <v>0</v>
      </c>
      <c r="BH10" s="35">
        <f t="shared" si="30"/>
        <v>0</v>
      </c>
      <c r="BI10" s="36">
        <f t="shared" si="31"/>
        <v>0</v>
      </c>
      <c r="BJ10" s="35">
        <f t="shared" si="32"/>
        <v>0</v>
      </c>
      <c r="BK10" s="62">
        <f t="shared" si="33"/>
        <v>0</v>
      </c>
      <c r="BL10" s="61">
        <f t="shared" si="34"/>
        <v>0</v>
      </c>
      <c r="BM10" s="43">
        <f t="shared" si="35"/>
        <v>0</v>
      </c>
      <c r="BN10" s="35">
        <f t="shared" si="36"/>
        <v>0</v>
      </c>
      <c r="BO10" s="36">
        <f t="shared" si="37"/>
        <v>0</v>
      </c>
      <c r="BP10" s="35">
        <f t="shared" si="38"/>
        <v>0</v>
      </c>
      <c r="BQ10" s="62">
        <f t="shared" si="39"/>
        <v>0</v>
      </c>
      <c r="BR10" s="61">
        <f t="shared" si="40"/>
        <v>0</v>
      </c>
      <c r="BS10" s="43">
        <f t="shared" si="41"/>
        <v>0</v>
      </c>
      <c r="BT10" s="35">
        <f t="shared" si="42"/>
        <v>0</v>
      </c>
      <c r="BU10" s="36">
        <f t="shared" si="43"/>
        <v>0</v>
      </c>
      <c r="BV10" s="35">
        <f t="shared" si="44"/>
        <v>0</v>
      </c>
      <c r="BW10" s="62">
        <f t="shared" si="45"/>
        <v>0</v>
      </c>
      <c r="BX10" s="61">
        <f t="shared" si="46"/>
        <v>0</v>
      </c>
      <c r="BY10" s="43">
        <f t="shared" si="47"/>
        <v>0</v>
      </c>
      <c r="BZ10" s="35">
        <f t="shared" si="48"/>
        <v>0</v>
      </c>
      <c r="CA10" s="36">
        <f t="shared" si="49"/>
        <v>0</v>
      </c>
      <c r="CB10" s="35">
        <f t="shared" si="50"/>
        <v>0</v>
      </c>
      <c r="CC10" s="62">
        <f t="shared" si="51"/>
        <v>0</v>
      </c>
      <c r="CD10" s="61">
        <f t="shared" si="52"/>
        <v>0</v>
      </c>
      <c r="CE10" s="43">
        <f t="shared" si="53"/>
        <v>0</v>
      </c>
      <c r="CF10" s="35">
        <f t="shared" si="54"/>
        <v>0</v>
      </c>
      <c r="CG10" s="36">
        <f t="shared" si="55"/>
        <v>0</v>
      </c>
      <c r="CH10" s="35">
        <f t="shared" si="56"/>
        <v>0</v>
      </c>
      <c r="CI10" s="62">
        <f t="shared" si="74"/>
        <v>0</v>
      </c>
      <c r="CJ10" s="61">
        <f t="shared" si="57"/>
        <v>0</v>
      </c>
      <c r="CK10" s="43">
        <f t="shared" si="58"/>
        <v>0</v>
      </c>
      <c r="CL10" s="35">
        <f t="shared" si="59"/>
        <v>0</v>
      </c>
      <c r="CM10" s="36">
        <f t="shared" si="60"/>
        <v>0</v>
      </c>
      <c r="CN10" s="35">
        <f t="shared" si="61"/>
        <v>0</v>
      </c>
      <c r="CO10" s="62">
        <f t="shared" si="62"/>
        <v>0</v>
      </c>
      <c r="CP10" s="61">
        <f t="shared" si="63"/>
        <v>0</v>
      </c>
      <c r="CQ10" s="43">
        <f t="shared" si="64"/>
        <v>0</v>
      </c>
      <c r="CR10" s="35">
        <f t="shared" si="65"/>
        <v>0</v>
      </c>
      <c r="CS10" s="36">
        <f t="shared" si="66"/>
        <v>0</v>
      </c>
      <c r="CT10" s="35">
        <f t="shared" si="1"/>
        <v>0</v>
      </c>
      <c r="CU10" s="62">
        <f t="shared" si="67"/>
        <v>0</v>
      </c>
      <c r="CV10" s="61">
        <f t="shared" si="68"/>
        <v>0</v>
      </c>
      <c r="CW10" s="43">
        <f t="shared" si="69"/>
        <v>0</v>
      </c>
      <c r="CX10" s="35">
        <f t="shared" si="70"/>
        <v>0</v>
      </c>
      <c r="CY10" s="36">
        <f t="shared" si="71"/>
        <v>0</v>
      </c>
      <c r="CZ10" s="35">
        <f t="shared" si="72"/>
        <v>0</v>
      </c>
      <c r="DA10" s="62">
        <f t="shared" si="73"/>
        <v>0</v>
      </c>
    </row>
    <row r="11" spans="2:105" x14ac:dyDescent="0.3">
      <c r="B11" s="1">
        <v>0.13836999999999999</v>
      </c>
      <c r="C11" s="1">
        <v>0.47255999999999998</v>
      </c>
      <c r="D11">
        <f t="shared" si="10"/>
        <v>47.453992384502875</v>
      </c>
      <c r="F11" s="1">
        <v>0.13630999999999999</v>
      </c>
      <c r="G11" s="1">
        <v>0.47283399999999998</v>
      </c>
      <c r="H11">
        <f t="shared" si="11"/>
        <v>46.959986976862659</v>
      </c>
      <c r="J11" s="1">
        <v>0.13553000000000001</v>
      </c>
      <c r="K11" s="1">
        <v>0.470252</v>
      </c>
      <c r="L11">
        <f t="shared" si="12"/>
        <v>46.261024223637783</v>
      </c>
      <c r="N11" s="1">
        <v>0.134879</v>
      </c>
      <c r="O11" s="1">
        <v>0.46778700000000001</v>
      </c>
      <c r="P11">
        <f t="shared" si="13"/>
        <v>46.018529933956358</v>
      </c>
      <c r="R11" s="1">
        <v>0.135686</v>
      </c>
      <c r="S11" s="1">
        <v>0.466748</v>
      </c>
      <c r="T11">
        <f t="shared" si="14"/>
        <v>44.925435501887478</v>
      </c>
      <c r="V11" s="1">
        <v>0.14000599999999999</v>
      </c>
      <c r="W11" s="1">
        <v>0.46996399999999999</v>
      </c>
      <c r="X11">
        <f t="shared" si="15"/>
        <v>44.264989425413155</v>
      </c>
      <c r="Z11" s="1">
        <v>0.145061</v>
      </c>
      <c r="AA11" s="1">
        <v>0.47339300000000001</v>
      </c>
      <c r="AB11">
        <f t="shared" si="16"/>
        <v>43.528024291921994</v>
      </c>
      <c r="AD11" s="1">
        <v>0.14988399999999999</v>
      </c>
      <c r="AE11" s="1">
        <v>0.47595300000000001</v>
      </c>
      <c r="AF11">
        <f t="shared" si="17"/>
        <v>42.791030418000005</v>
      </c>
      <c r="AH11" s="1">
        <v>0.154864</v>
      </c>
      <c r="AI11" s="1">
        <v>0.478524</v>
      </c>
      <c r="AJ11">
        <f t="shared" si="18"/>
        <v>42.057492430023288</v>
      </c>
      <c r="AL11" s="1">
        <v>0.161942</v>
      </c>
      <c r="AM11" s="1">
        <v>0.48492800000000003</v>
      </c>
      <c r="AN11">
        <f t="shared" si="19"/>
        <v>41.327007437628417</v>
      </c>
      <c r="AP11" s="56"/>
      <c r="AQ11" s="77"/>
      <c r="AR11" s="56"/>
      <c r="AT11" s="61">
        <f t="shared" si="2"/>
        <v>0</v>
      </c>
      <c r="AU11" s="43">
        <f t="shared" si="20"/>
        <v>0</v>
      </c>
      <c r="AV11" s="35">
        <f t="shared" si="21"/>
        <v>0</v>
      </c>
      <c r="AW11" s="36">
        <f t="shared" si="22"/>
        <v>0</v>
      </c>
      <c r="AX11" s="35">
        <f t="shared" si="4"/>
        <v>0</v>
      </c>
      <c r="AY11" s="62">
        <f t="shared" si="5"/>
        <v>0</v>
      </c>
      <c r="AZ11" s="61">
        <f t="shared" si="6"/>
        <v>0</v>
      </c>
      <c r="BA11" s="43">
        <f t="shared" si="23"/>
        <v>0</v>
      </c>
      <c r="BB11" s="35">
        <f t="shared" ref="BB11:BB71" si="75">IF($AZ11=0,IF($BA11="min",F11,0),0)</f>
        <v>0</v>
      </c>
      <c r="BC11" s="36">
        <f t="shared" si="25"/>
        <v>0</v>
      </c>
      <c r="BD11" s="35">
        <f t="shared" si="26"/>
        <v>0</v>
      </c>
      <c r="BE11" s="62">
        <f t="shared" si="27"/>
        <v>0</v>
      </c>
      <c r="BF11" s="61">
        <f t="shared" si="28"/>
        <v>0</v>
      </c>
      <c r="BG11" s="43">
        <f t="shared" si="29"/>
        <v>0</v>
      </c>
      <c r="BH11" s="35">
        <f t="shared" si="30"/>
        <v>0</v>
      </c>
      <c r="BI11" s="36">
        <f t="shared" si="31"/>
        <v>0</v>
      </c>
      <c r="BJ11" s="35">
        <f t="shared" si="32"/>
        <v>0</v>
      </c>
      <c r="BK11" s="62">
        <f t="shared" si="33"/>
        <v>0</v>
      </c>
      <c r="BL11" s="61">
        <f t="shared" si="34"/>
        <v>0</v>
      </c>
      <c r="BM11" s="43">
        <f t="shared" si="35"/>
        <v>0</v>
      </c>
      <c r="BN11" s="35">
        <f t="shared" si="36"/>
        <v>0</v>
      </c>
      <c r="BO11" s="36">
        <f t="shared" si="37"/>
        <v>0</v>
      </c>
      <c r="BP11" s="35">
        <f t="shared" si="38"/>
        <v>0</v>
      </c>
      <c r="BQ11" s="62">
        <f t="shared" si="39"/>
        <v>0</v>
      </c>
      <c r="BR11" s="61">
        <f t="shared" si="40"/>
        <v>0</v>
      </c>
      <c r="BS11" s="43">
        <f t="shared" si="41"/>
        <v>0</v>
      </c>
      <c r="BT11" s="35">
        <f t="shared" si="42"/>
        <v>0</v>
      </c>
      <c r="BU11" s="36">
        <f t="shared" si="43"/>
        <v>0</v>
      </c>
      <c r="BV11" s="35">
        <f t="shared" si="44"/>
        <v>0</v>
      </c>
      <c r="BW11" s="62">
        <f t="shared" si="45"/>
        <v>0</v>
      </c>
      <c r="BX11" s="61">
        <f t="shared" si="46"/>
        <v>0</v>
      </c>
      <c r="BY11" s="43">
        <f t="shared" si="47"/>
        <v>0</v>
      </c>
      <c r="BZ11" s="35">
        <f t="shared" si="48"/>
        <v>0</v>
      </c>
      <c r="CA11" s="36">
        <f t="shared" si="49"/>
        <v>0</v>
      </c>
      <c r="CB11" s="35">
        <f t="shared" si="50"/>
        <v>0</v>
      </c>
      <c r="CC11" s="62">
        <f t="shared" si="51"/>
        <v>0</v>
      </c>
      <c r="CD11" s="61">
        <f t="shared" si="52"/>
        <v>0</v>
      </c>
      <c r="CE11" s="43">
        <f t="shared" si="53"/>
        <v>0</v>
      </c>
      <c r="CF11" s="35">
        <f t="shared" si="54"/>
        <v>0</v>
      </c>
      <c r="CG11" s="36">
        <f t="shared" si="55"/>
        <v>0</v>
      </c>
      <c r="CH11" s="35">
        <f t="shared" si="56"/>
        <v>0</v>
      </c>
      <c r="CI11" s="62">
        <f t="shared" si="74"/>
        <v>0</v>
      </c>
      <c r="CJ11" s="61">
        <f t="shared" si="57"/>
        <v>0</v>
      </c>
      <c r="CK11" s="43">
        <f t="shared" si="58"/>
        <v>0</v>
      </c>
      <c r="CL11" s="35">
        <f t="shared" si="59"/>
        <v>0</v>
      </c>
      <c r="CM11" s="36">
        <f t="shared" si="60"/>
        <v>0</v>
      </c>
      <c r="CN11" s="35">
        <f t="shared" si="61"/>
        <v>0</v>
      </c>
      <c r="CO11" s="62">
        <f t="shared" si="62"/>
        <v>0</v>
      </c>
      <c r="CP11" s="61">
        <f t="shared" si="63"/>
        <v>0</v>
      </c>
      <c r="CQ11" s="43">
        <f t="shared" si="64"/>
        <v>0</v>
      </c>
      <c r="CR11" s="35">
        <f t="shared" si="65"/>
        <v>0</v>
      </c>
      <c r="CS11" s="36">
        <f t="shared" si="66"/>
        <v>0</v>
      </c>
      <c r="CT11" s="35">
        <f t="shared" si="1"/>
        <v>0</v>
      </c>
      <c r="CU11" s="62">
        <f t="shared" si="67"/>
        <v>0</v>
      </c>
      <c r="CV11" s="61">
        <f t="shared" si="68"/>
        <v>0</v>
      </c>
      <c r="CW11" s="43">
        <f t="shared" si="69"/>
        <v>0</v>
      </c>
      <c r="CX11" s="35">
        <f t="shared" si="70"/>
        <v>0</v>
      </c>
      <c r="CY11" s="36">
        <f t="shared" si="71"/>
        <v>0</v>
      </c>
      <c r="CZ11" s="35">
        <f t="shared" si="72"/>
        <v>0</v>
      </c>
      <c r="DA11" s="62">
        <f t="shared" si="73"/>
        <v>0</v>
      </c>
    </row>
    <row r="12" spans="2:105" x14ac:dyDescent="0.3">
      <c r="B12" s="1">
        <v>0.15262800000000001</v>
      </c>
      <c r="C12" s="1">
        <v>0.488404</v>
      </c>
      <c r="D12">
        <f t="shared" si="10"/>
        <v>49.045030676656395</v>
      </c>
      <c r="F12" s="1">
        <v>0.15035499999999999</v>
      </c>
      <c r="G12" s="1">
        <v>0.48643700000000001</v>
      </c>
      <c r="H12">
        <f t="shared" si="11"/>
        <v>48.310982681161136</v>
      </c>
      <c r="J12" s="1">
        <v>0.14949499999999999</v>
      </c>
      <c r="K12" s="1">
        <v>0.483873</v>
      </c>
      <c r="L12">
        <f t="shared" si="12"/>
        <v>47.60098962718773</v>
      </c>
      <c r="N12" s="1">
        <v>0.14877799999999999</v>
      </c>
      <c r="O12" s="1">
        <v>0.481435</v>
      </c>
      <c r="P12">
        <f t="shared" si="13"/>
        <v>47.361151461571787</v>
      </c>
      <c r="R12" s="1">
        <v>0.14966699999999999</v>
      </c>
      <c r="S12" s="1">
        <v>0.480327</v>
      </c>
      <c r="T12">
        <f t="shared" si="14"/>
        <v>46.232441613708268</v>
      </c>
      <c r="V12" s="1">
        <v>0.15443200000000001</v>
      </c>
      <c r="W12" s="1">
        <v>0.48267300000000002</v>
      </c>
      <c r="X12">
        <f t="shared" si="15"/>
        <v>45.462025263493466</v>
      </c>
      <c r="Z12" s="1">
        <v>0.16000800000000001</v>
      </c>
      <c r="AA12" s="1">
        <v>0.485987</v>
      </c>
      <c r="AB12">
        <f t="shared" si="16"/>
        <v>44.686030299472733</v>
      </c>
      <c r="AD12" s="1">
        <v>0.165328</v>
      </c>
      <c r="AE12" s="1">
        <v>0.48851</v>
      </c>
      <c r="AF12">
        <f t="shared" si="17"/>
        <v>43.91998006</v>
      </c>
      <c r="AH12" s="1">
        <v>0.170822</v>
      </c>
      <c r="AI12" s="1">
        <v>0.49107400000000001</v>
      </c>
      <c r="AJ12">
        <f t="shared" si="18"/>
        <v>43.160512403936394</v>
      </c>
      <c r="AL12" s="1">
        <v>0.17862900000000001</v>
      </c>
      <c r="AM12" s="1">
        <v>0.497612</v>
      </c>
      <c r="AN12">
        <f t="shared" si="19"/>
        <v>42.407975668662459</v>
      </c>
      <c r="AP12" s="56"/>
      <c r="AQ12" s="77"/>
      <c r="AR12" s="56"/>
      <c r="AT12" s="61">
        <f t="shared" si="2"/>
        <v>0</v>
      </c>
      <c r="AU12" s="43">
        <f t="shared" si="20"/>
        <v>0</v>
      </c>
      <c r="AV12" s="35">
        <f t="shared" si="21"/>
        <v>0</v>
      </c>
      <c r="AW12" s="36">
        <f t="shared" si="22"/>
        <v>0</v>
      </c>
      <c r="AX12" s="35">
        <f t="shared" si="4"/>
        <v>0</v>
      </c>
      <c r="AY12" s="62">
        <f t="shared" si="5"/>
        <v>0</v>
      </c>
      <c r="AZ12" s="61">
        <f t="shared" si="6"/>
        <v>0</v>
      </c>
      <c r="BA12" s="43">
        <f t="shared" si="23"/>
        <v>0</v>
      </c>
      <c r="BB12" s="35">
        <f t="shared" si="75"/>
        <v>0</v>
      </c>
      <c r="BC12" s="36">
        <f t="shared" si="25"/>
        <v>0</v>
      </c>
      <c r="BD12" s="35">
        <f t="shared" si="26"/>
        <v>0</v>
      </c>
      <c r="BE12" s="62">
        <f t="shared" si="27"/>
        <v>0</v>
      </c>
      <c r="BF12" s="61">
        <f t="shared" si="28"/>
        <v>0</v>
      </c>
      <c r="BG12" s="43">
        <f t="shared" si="29"/>
        <v>0</v>
      </c>
      <c r="BH12" s="35">
        <f t="shared" si="30"/>
        <v>0</v>
      </c>
      <c r="BI12" s="36">
        <f t="shared" si="31"/>
        <v>0</v>
      </c>
      <c r="BJ12" s="35">
        <f t="shared" si="32"/>
        <v>0</v>
      </c>
      <c r="BK12" s="62">
        <f t="shared" si="33"/>
        <v>0</v>
      </c>
      <c r="BL12" s="61">
        <f t="shared" si="34"/>
        <v>0</v>
      </c>
      <c r="BM12" s="43">
        <f t="shared" si="35"/>
        <v>0</v>
      </c>
      <c r="BN12" s="35">
        <f t="shared" si="36"/>
        <v>0</v>
      </c>
      <c r="BO12" s="36">
        <f t="shared" si="37"/>
        <v>0</v>
      </c>
      <c r="BP12" s="35">
        <f t="shared" si="38"/>
        <v>0</v>
      </c>
      <c r="BQ12" s="62">
        <f t="shared" si="39"/>
        <v>0</v>
      </c>
      <c r="BR12" s="61">
        <f t="shared" si="40"/>
        <v>0</v>
      </c>
      <c r="BS12" s="43">
        <f t="shared" si="41"/>
        <v>0</v>
      </c>
      <c r="BT12" s="35">
        <f t="shared" si="42"/>
        <v>0</v>
      </c>
      <c r="BU12" s="36">
        <f t="shared" si="43"/>
        <v>0</v>
      </c>
      <c r="BV12" s="35">
        <f t="shared" si="44"/>
        <v>0</v>
      </c>
      <c r="BW12" s="62">
        <f t="shared" si="45"/>
        <v>0</v>
      </c>
      <c r="BX12" s="61">
        <f t="shared" si="46"/>
        <v>0</v>
      </c>
      <c r="BY12" s="43">
        <f t="shared" si="47"/>
        <v>0</v>
      </c>
      <c r="BZ12" s="35">
        <f t="shared" si="48"/>
        <v>0</v>
      </c>
      <c r="CA12" s="36">
        <f t="shared" si="49"/>
        <v>0</v>
      </c>
      <c r="CB12" s="35">
        <f t="shared" si="50"/>
        <v>0</v>
      </c>
      <c r="CC12" s="62">
        <f t="shared" si="51"/>
        <v>0</v>
      </c>
      <c r="CD12" s="61">
        <f t="shared" si="52"/>
        <v>0</v>
      </c>
      <c r="CE12" s="43">
        <f t="shared" si="53"/>
        <v>0</v>
      </c>
      <c r="CF12" s="35">
        <f t="shared" si="54"/>
        <v>0</v>
      </c>
      <c r="CG12" s="36">
        <f t="shared" si="55"/>
        <v>0</v>
      </c>
      <c r="CH12" s="35">
        <f t="shared" si="56"/>
        <v>0</v>
      </c>
      <c r="CI12" s="62">
        <f t="shared" si="74"/>
        <v>0</v>
      </c>
      <c r="CJ12" s="61">
        <f t="shared" si="57"/>
        <v>0</v>
      </c>
      <c r="CK12" s="43">
        <f t="shared" si="58"/>
        <v>0</v>
      </c>
      <c r="CL12" s="35">
        <f t="shared" si="59"/>
        <v>0</v>
      </c>
      <c r="CM12" s="36">
        <f t="shared" si="60"/>
        <v>0</v>
      </c>
      <c r="CN12" s="35">
        <f t="shared" si="61"/>
        <v>0</v>
      </c>
      <c r="CO12" s="62">
        <f t="shared" si="62"/>
        <v>0</v>
      </c>
      <c r="CP12" s="61">
        <f t="shared" si="63"/>
        <v>0</v>
      </c>
      <c r="CQ12" s="43">
        <f t="shared" si="64"/>
        <v>0</v>
      </c>
      <c r="CR12" s="35">
        <f t="shared" si="65"/>
        <v>0</v>
      </c>
      <c r="CS12" s="36">
        <f t="shared" si="66"/>
        <v>0</v>
      </c>
      <c r="CT12" s="35">
        <f t="shared" si="1"/>
        <v>0</v>
      </c>
      <c r="CU12" s="62">
        <f t="shared" si="67"/>
        <v>0</v>
      </c>
      <c r="CV12" s="61">
        <f t="shared" si="68"/>
        <v>0</v>
      </c>
      <c r="CW12" s="43">
        <f t="shared" si="69"/>
        <v>0</v>
      </c>
      <c r="CX12" s="35">
        <f t="shared" si="70"/>
        <v>0</v>
      </c>
      <c r="CY12" s="36">
        <f t="shared" si="71"/>
        <v>0</v>
      </c>
      <c r="CZ12" s="35">
        <f t="shared" si="72"/>
        <v>0</v>
      </c>
      <c r="DA12" s="62">
        <f t="shared" si="73"/>
        <v>0</v>
      </c>
    </row>
    <row r="13" spans="2:105" x14ac:dyDescent="0.3">
      <c r="B13" s="1">
        <v>0.16688600000000001</v>
      </c>
      <c r="C13" s="1">
        <v>0.50161800000000001</v>
      </c>
      <c r="D13">
        <f t="shared" si="10"/>
        <v>50.371967055886167</v>
      </c>
      <c r="F13" s="1">
        <v>0.16440099999999999</v>
      </c>
      <c r="G13" s="1">
        <v>0.499718</v>
      </c>
      <c r="H13">
        <f t="shared" si="11"/>
        <v>49.629998629759825</v>
      </c>
      <c r="J13" s="1">
        <v>0.16345999999999999</v>
      </c>
      <c r="K13" s="1">
        <v>0.49717899999999998</v>
      </c>
      <c r="L13">
        <f t="shared" si="12"/>
        <v>48.909966916640457</v>
      </c>
      <c r="N13" s="1">
        <v>0.16267599999999999</v>
      </c>
      <c r="O13" s="1">
        <v>0.49477599999999999</v>
      </c>
      <c r="P13">
        <f t="shared" si="13"/>
        <v>48.673571874813092</v>
      </c>
      <c r="R13" s="1">
        <v>0.16364899999999999</v>
      </c>
      <c r="S13" s="1">
        <v>0.49260799999999999</v>
      </c>
      <c r="T13">
        <f t="shared" si="14"/>
        <v>47.414512610046074</v>
      </c>
      <c r="V13" s="1">
        <v>0.16885900000000001</v>
      </c>
      <c r="W13" s="1">
        <v>0.49474499999999999</v>
      </c>
      <c r="X13">
        <f t="shared" si="15"/>
        <v>46.599063318203164</v>
      </c>
      <c r="Z13" s="1">
        <v>0.174956</v>
      </c>
      <c r="AA13" s="1">
        <v>0.49810199999999999</v>
      </c>
      <c r="AB13">
        <f t="shared" si="16"/>
        <v>45.799992724554286</v>
      </c>
      <c r="AD13" s="1">
        <v>0.18077199999999999</v>
      </c>
      <c r="AE13" s="1">
        <v>0.50056699999999998</v>
      </c>
      <c r="AF13">
        <f t="shared" si="17"/>
        <v>45.003976702000003</v>
      </c>
      <c r="AH13" s="1">
        <v>0.186779</v>
      </c>
      <c r="AI13" s="1">
        <v>0.503135</v>
      </c>
      <c r="AJ13">
        <f t="shared" si="18"/>
        <v>44.220554149383872</v>
      </c>
      <c r="AL13" s="1">
        <v>0.19531599999999999</v>
      </c>
      <c r="AM13" s="1">
        <v>0.50979200000000002</v>
      </c>
      <c r="AN13">
        <f t="shared" si="19"/>
        <v>43.445991519655422</v>
      </c>
      <c r="AP13" s="134"/>
      <c r="AQ13" s="135"/>
      <c r="AR13" s="135"/>
      <c r="AT13" s="61">
        <f t="shared" si="2"/>
        <v>0</v>
      </c>
      <c r="AU13" s="43">
        <f t="shared" si="20"/>
        <v>0</v>
      </c>
      <c r="AV13" s="35">
        <f t="shared" si="21"/>
        <v>0</v>
      </c>
      <c r="AW13" s="36">
        <f t="shared" si="22"/>
        <v>0</v>
      </c>
      <c r="AX13" s="35">
        <f t="shared" si="4"/>
        <v>0</v>
      </c>
      <c r="AY13" s="62">
        <f t="shared" si="5"/>
        <v>0</v>
      </c>
      <c r="AZ13" s="61">
        <f t="shared" si="6"/>
        <v>0</v>
      </c>
      <c r="BA13" s="43">
        <f t="shared" si="23"/>
        <v>0</v>
      </c>
      <c r="BB13" s="35">
        <f t="shared" si="75"/>
        <v>0</v>
      </c>
      <c r="BC13" s="36">
        <f t="shared" si="25"/>
        <v>0</v>
      </c>
      <c r="BD13" s="35">
        <f t="shared" si="26"/>
        <v>0</v>
      </c>
      <c r="BE13" s="62">
        <f t="shared" si="27"/>
        <v>0</v>
      </c>
      <c r="BF13" s="61">
        <f t="shared" si="28"/>
        <v>0</v>
      </c>
      <c r="BG13" s="43">
        <f t="shared" si="29"/>
        <v>0</v>
      </c>
      <c r="BH13" s="35">
        <f t="shared" si="30"/>
        <v>0</v>
      </c>
      <c r="BI13" s="36">
        <f t="shared" si="31"/>
        <v>0</v>
      </c>
      <c r="BJ13" s="35">
        <f t="shared" si="32"/>
        <v>0</v>
      </c>
      <c r="BK13" s="62">
        <f t="shared" si="33"/>
        <v>0</v>
      </c>
      <c r="BL13" s="61">
        <f t="shared" si="34"/>
        <v>0</v>
      </c>
      <c r="BM13" s="43">
        <f t="shared" si="35"/>
        <v>0</v>
      </c>
      <c r="BN13" s="35">
        <f t="shared" si="36"/>
        <v>0</v>
      </c>
      <c r="BO13" s="36">
        <f t="shared" si="37"/>
        <v>0</v>
      </c>
      <c r="BP13" s="35">
        <f t="shared" si="38"/>
        <v>0</v>
      </c>
      <c r="BQ13" s="62">
        <f t="shared" si="39"/>
        <v>0</v>
      </c>
      <c r="BR13" s="61">
        <f t="shared" si="40"/>
        <v>0</v>
      </c>
      <c r="BS13" s="43">
        <f t="shared" si="41"/>
        <v>0</v>
      </c>
      <c r="BT13" s="35">
        <f t="shared" si="42"/>
        <v>0</v>
      </c>
      <c r="BU13" s="36">
        <f t="shared" si="43"/>
        <v>0</v>
      </c>
      <c r="BV13" s="35">
        <f t="shared" si="44"/>
        <v>0</v>
      </c>
      <c r="BW13" s="62">
        <f t="shared" si="45"/>
        <v>0</v>
      </c>
      <c r="BX13" s="61">
        <f t="shared" si="46"/>
        <v>0</v>
      </c>
      <c r="BY13" s="43">
        <f t="shared" si="47"/>
        <v>0</v>
      </c>
      <c r="BZ13" s="35">
        <f t="shared" si="48"/>
        <v>0</v>
      </c>
      <c r="CA13" s="36">
        <f t="shared" si="49"/>
        <v>0</v>
      </c>
      <c r="CB13" s="35">
        <f t="shared" si="50"/>
        <v>0</v>
      </c>
      <c r="CC13" s="62">
        <f t="shared" si="51"/>
        <v>0</v>
      </c>
      <c r="CD13" s="61">
        <f t="shared" si="52"/>
        <v>0</v>
      </c>
      <c r="CE13" s="43">
        <f t="shared" si="53"/>
        <v>0</v>
      </c>
      <c r="CF13" s="35">
        <f t="shared" si="54"/>
        <v>0</v>
      </c>
      <c r="CG13" s="36">
        <f t="shared" si="55"/>
        <v>0</v>
      </c>
      <c r="CH13" s="35">
        <f t="shared" si="56"/>
        <v>0</v>
      </c>
      <c r="CI13" s="62">
        <f t="shared" si="74"/>
        <v>0</v>
      </c>
      <c r="CJ13" s="61">
        <f t="shared" si="57"/>
        <v>0</v>
      </c>
      <c r="CK13" s="43">
        <f t="shared" si="58"/>
        <v>0</v>
      </c>
      <c r="CL13" s="35">
        <f t="shared" si="59"/>
        <v>0</v>
      </c>
      <c r="CM13" s="36">
        <f t="shared" si="60"/>
        <v>0</v>
      </c>
      <c r="CN13" s="35">
        <f t="shared" si="61"/>
        <v>0</v>
      </c>
      <c r="CO13" s="62">
        <f t="shared" si="62"/>
        <v>0</v>
      </c>
      <c r="CP13" s="61">
        <f t="shared" si="63"/>
        <v>0</v>
      </c>
      <c r="CQ13" s="43">
        <f t="shared" si="64"/>
        <v>0</v>
      </c>
      <c r="CR13" s="35">
        <f t="shared" si="65"/>
        <v>0</v>
      </c>
      <c r="CS13" s="36">
        <f t="shared" si="66"/>
        <v>0</v>
      </c>
      <c r="CT13" s="35">
        <f t="shared" si="1"/>
        <v>0</v>
      </c>
      <c r="CU13" s="62">
        <f t="shared" si="67"/>
        <v>0</v>
      </c>
      <c r="CV13" s="61">
        <f t="shared" si="68"/>
        <v>0</v>
      </c>
      <c r="CW13" s="43">
        <f t="shared" si="69"/>
        <v>0</v>
      </c>
      <c r="CX13" s="35">
        <f t="shared" si="70"/>
        <v>0</v>
      </c>
      <c r="CY13" s="36">
        <f t="shared" si="71"/>
        <v>0</v>
      </c>
      <c r="CZ13" s="35">
        <f t="shared" si="72"/>
        <v>0</v>
      </c>
      <c r="DA13" s="62">
        <f t="shared" si="73"/>
        <v>0</v>
      </c>
    </row>
    <row r="14" spans="2:105" x14ac:dyDescent="0.3">
      <c r="B14" s="1">
        <v>0.181144</v>
      </c>
      <c r="C14" s="1">
        <v>0.51431499999999997</v>
      </c>
      <c r="D14">
        <f t="shared" si="10"/>
        <v>51.646986823335865</v>
      </c>
      <c r="F14" s="1">
        <v>0.17844699999999999</v>
      </c>
      <c r="G14" s="1">
        <v>0.51250600000000002</v>
      </c>
      <c r="H14">
        <f t="shared" si="11"/>
        <v>50.900051784693943</v>
      </c>
      <c r="J14" s="1">
        <v>0.177426</v>
      </c>
      <c r="K14" s="1">
        <v>0.51005800000000001</v>
      </c>
      <c r="L14">
        <f t="shared" si="12"/>
        <v>50.176938095872508</v>
      </c>
      <c r="N14" s="1">
        <v>0.17657400000000001</v>
      </c>
      <c r="O14" s="1">
        <v>0.50663999999999998</v>
      </c>
      <c r="P14">
        <f t="shared" si="13"/>
        <v>49.840692464176321</v>
      </c>
      <c r="R14" s="1">
        <v>0.17763000000000001</v>
      </c>
      <c r="S14" s="1">
        <v>0.50417100000000004</v>
      </c>
      <c r="T14">
        <f t="shared" si="14"/>
        <v>48.52747465960671</v>
      </c>
      <c r="V14" s="1">
        <v>0.183285</v>
      </c>
      <c r="W14" s="1">
        <v>0.506328</v>
      </c>
      <c r="X14">
        <f t="shared" si="15"/>
        <v>47.690043419901507</v>
      </c>
      <c r="Z14" s="1">
        <v>0.18990299999999999</v>
      </c>
      <c r="AA14" s="1">
        <v>0.50960899999999998</v>
      </c>
      <c r="AB14">
        <f t="shared" si="16"/>
        <v>46.858050143077897</v>
      </c>
      <c r="AD14" s="1">
        <v>0.196216</v>
      </c>
      <c r="AE14" s="1">
        <v>0.51209000000000005</v>
      </c>
      <c r="AF14">
        <f t="shared" si="17"/>
        <v>46.039963540000009</v>
      </c>
      <c r="AH14" s="1">
        <v>0.202736</v>
      </c>
      <c r="AI14" s="1">
        <v>0.51461500000000004</v>
      </c>
      <c r="AJ14">
        <f t="shared" si="18"/>
        <v>45.229531782891634</v>
      </c>
      <c r="AL14" s="1">
        <v>0.212002</v>
      </c>
      <c r="AM14" s="1">
        <v>0.52280499999999996</v>
      </c>
      <c r="AN14">
        <f t="shared" si="19"/>
        <v>44.554998109882952</v>
      </c>
      <c r="AP14" s="134"/>
      <c r="AQ14" s="44"/>
      <c r="AR14" s="137"/>
      <c r="AT14" s="61">
        <f t="shared" si="2"/>
        <v>0</v>
      </c>
      <c r="AU14" s="43">
        <f t="shared" si="20"/>
        <v>0</v>
      </c>
      <c r="AV14" s="35">
        <f t="shared" si="21"/>
        <v>0</v>
      </c>
      <c r="AW14" s="36">
        <f t="shared" si="22"/>
        <v>0</v>
      </c>
      <c r="AX14" s="35">
        <f t="shared" si="4"/>
        <v>0</v>
      </c>
      <c r="AY14" s="62">
        <f t="shared" si="5"/>
        <v>0</v>
      </c>
      <c r="AZ14" s="61">
        <f t="shared" si="6"/>
        <v>0</v>
      </c>
      <c r="BA14" s="43">
        <f t="shared" si="23"/>
        <v>0</v>
      </c>
      <c r="BB14" s="35">
        <f t="shared" si="75"/>
        <v>0</v>
      </c>
      <c r="BC14" s="36">
        <f t="shared" si="25"/>
        <v>0</v>
      </c>
      <c r="BD14" s="35">
        <f t="shared" si="26"/>
        <v>0</v>
      </c>
      <c r="BE14" s="62">
        <f t="shared" si="27"/>
        <v>0</v>
      </c>
      <c r="BF14" s="61">
        <f t="shared" si="28"/>
        <v>0</v>
      </c>
      <c r="BG14" s="43">
        <f t="shared" si="29"/>
        <v>0</v>
      </c>
      <c r="BH14" s="35">
        <f t="shared" si="30"/>
        <v>0</v>
      </c>
      <c r="BI14" s="36">
        <f t="shared" si="31"/>
        <v>0</v>
      </c>
      <c r="BJ14" s="35">
        <f t="shared" si="32"/>
        <v>0</v>
      </c>
      <c r="BK14" s="62">
        <f t="shared" si="33"/>
        <v>0</v>
      </c>
      <c r="BL14" s="61">
        <f t="shared" si="34"/>
        <v>0</v>
      </c>
      <c r="BM14" s="43">
        <f t="shared" si="35"/>
        <v>0</v>
      </c>
      <c r="BN14" s="35">
        <f t="shared" si="36"/>
        <v>0</v>
      </c>
      <c r="BO14" s="36">
        <f t="shared" si="37"/>
        <v>0</v>
      </c>
      <c r="BP14" s="35">
        <f t="shared" si="38"/>
        <v>0</v>
      </c>
      <c r="BQ14" s="62">
        <f t="shared" si="39"/>
        <v>0</v>
      </c>
      <c r="BR14" s="61">
        <f t="shared" si="40"/>
        <v>0</v>
      </c>
      <c r="BS14" s="43">
        <f t="shared" si="41"/>
        <v>0</v>
      </c>
      <c r="BT14" s="35">
        <f t="shared" si="42"/>
        <v>0</v>
      </c>
      <c r="BU14" s="36">
        <f t="shared" si="43"/>
        <v>0</v>
      </c>
      <c r="BV14" s="35">
        <f t="shared" si="44"/>
        <v>0</v>
      </c>
      <c r="BW14" s="62">
        <f t="shared" si="45"/>
        <v>0</v>
      </c>
      <c r="BX14" s="61">
        <f t="shared" si="46"/>
        <v>0</v>
      </c>
      <c r="BY14" s="43">
        <f t="shared" si="47"/>
        <v>0</v>
      </c>
      <c r="BZ14" s="35">
        <f t="shared" si="48"/>
        <v>0</v>
      </c>
      <c r="CA14" s="36">
        <f t="shared" si="49"/>
        <v>0</v>
      </c>
      <c r="CB14" s="35">
        <f t="shared" si="50"/>
        <v>0</v>
      </c>
      <c r="CC14" s="62">
        <f t="shared" si="51"/>
        <v>0</v>
      </c>
      <c r="CD14" s="61">
        <f t="shared" si="52"/>
        <v>0</v>
      </c>
      <c r="CE14" s="43">
        <f t="shared" si="53"/>
        <v>0</v>
      </c>
      <c r="CF14" s="35">
        <f t="shared" si="54"/>
        <v>0</v>
      </c>
      <c r="CG14" s="36">
        <f t="shared" si="55"/>
        <v>0</v>
      </c>
      <c r="CH14" s="35">
        <f t="shared" si="56"/>
        <v>0</v>
      </c>
      <c r="CI14" s="62">
        <f t="shared" si="74"/>
        <v>0</v>
      </c>
      <c r="CJ14" s="61">
        <f t="shared" si="57"/>
        <v>0</v>
      </c>
      <c r="CK14" s="43">
        <f t="shared" si="58"/>
        <v>0</v>
      </c>
      <c r="CL14" s="35">
        <f t="shared" si="59"/>
        <v>0</v>
      </c>
      <c r="CM14" s="36">
        <f t="shared" si="60"/>
        <v>0</v>
      </c>
      <c r="CN14" s="35">
        <f t="shared" si="61"/>
        <v>0</v>
      </c>
      <c r="CO14" s="62">
        <f t="shared" si="62"/>
        <v>0</v>
      </c>
      <c r="CP14" s="61">
        <f t="shared" si="63"/>
        <v>0</v>
      </c>
      <c r="CQ14" s="43">
        <f t="shared" si="64"/>
        <v>0</v>
      </c>
      <c r="CR14" s="35">
        <f t="shared" si="65"/>
        <v>0</v>
      </c>
      <c r="CS14" s="36">
        <f t="shared" si="66"/>
        <v>0</v>
      </c>
      <c r="CT14" s="35">
        <f t="shared" si="1"/>
        <v>0</v>
      </c>
      <c r="CU14" s="62">
        <f t="shared" si="67"/>
        <v>0</v>
      </c>
      <c r="CV14" s="61">
        <f t="shared" si="68"/>
        <v>0</v>
      </c>
      <c r="CW14" s="43">
        <f t="shared" si="69"/>
        <v>0</v>
      </c>
      <c r="CX14" s="35">
        <f t="shared" si="70"/>
        <v>0</v>
      </c>
      <c r="CY14" s="36">
        <f t="shared" si="71"/>
        <v>0</v>
      </c>
      <c r="CZ14" s="35">
        <f t="shared" si="72"/>
        <v>0</v>
      </c>
      <c r="DA14" s="62">
        <f t="shared" si="73"/>
        <v>0</v>
      </c>
    </row>
    <row r="15" spans="2:105" x14ac:dyDescent="0.3">
      <c r="B15" s="1">
        <v>0.19540199999999999</v>
      </c>
      <c r="C15" s="1">
        <v>0.52667299999999995</v>
      </c>
      <c r="D15">
        <f t="shared" si="10"/>
        <v>52.887964557142546</v>
      </c>
      <c r="F15" s="1">
        <v>0.192492</v>
      </c>
      <c r="G15" s="1">
        <v>0.52488999999999997</v>
      </c>
      <c r="H15">
        <f t="shared" si="11"/>
        <v>52.1299812709861</v>
      </c>
      <c r="J15" s="1">
        <v>0.19139100000000001</v>
      </c>
      <c r="K15" s="1">
        <v>0.52173800000000004</v>
      </c>
      <c r="L15">
        <f t="shared" si="12"/>
        <v>51.325957691604351</v>
      </c>
      <c r="N15" s="1">
        <v>0.190472</v>
      </c>
      <c r="O15" s="1">
        <v>0.51781500000000003</v>
      </c>
      <c r="P15">
        <f t="shared" si="13"/>
        <v>50.940032702387228</v>
      </c>
      <c r="R15" s="1">
        <v>0.191611</v>
      </c>
      <c r="S15" s="1">
        <v>0.51521499999999998</v>
      </c>
      <c r="T15">
        <f t="shared" si="14"/>
        <v>49.590481913377147</v>
      </c>
      <c r="V15" s="1">
        <v>0.197711</v>
      </c>
      <c r="W15" s="1">
        <v>0.51741199999999998</v>
      </c>
      <c r="X15">
        <f t="shared" si="15"/>
        <v>48.734023688158814</v>
      </c>
      <c r="Z15" s="1">
        <v>0.20485</v>
      </c>
      <c r="AA15" s="1">
        <v>0.520702</v>
      </c>
      <c r="AB15">
        <f t="shared" si="16"/>
        <v>47.878040665688687</v>
      </c>
      <c r="AD15" s="1">
        <v>0.21166099999999999</v>
      </c>
      <c r="AE15" s="1">
        <v>0.52321300000000004</v>
      </c>
      <c r="AF15">
        <f t="shared" si="17"/>
        <v>47.039987978000006</v>
      </c>
      <c r="AH15" s="1">
        <v>0.218694</v>
      </c>
      <c r="AI15" s="1">
        <v>0.52672099999999999</v>
      </c>
      <c r="AJ15">
        <f t="shared" si="18"/>
        <v>46.293528580038405</v>
      </c>
      <c r="AL15" s="1">
        <v>0.228689</v>
      </c>
      <c r="AM15" s="1">
        <v>0.53604099999999999</v>
      </c>
      <c r="AN15">
        <f t="shared" si="19"/>
        <v>45.683009423819151</v>
      </c>
      <c r="AP15" s="44"/>
      <c r="AQ15" s="44"/>
      <c r="AR15" s="44"/>
      <c r="AT15" s="61">
        <f t="shared" si="2"/>
        <v>0</v>
      </c>
      <c r="AU15" s="43">
        <f t="shared" si="20"/>
        <v>0</v>
      </c>
      <c r="AV15" s="35">
        <f t="shared" si="21"/>
        <v>0</v>
      </c>
      <c r="AW15" s="36">
        <f t="shared" si="22"/>
        <v>0</v>
      </c>
      <c r="AX15" s="35">
        <f t="shared" si="4"/>
        <v>0</v>
      </c>
      <c r="AY15" s="62">
        <f t="shared" si="5"/>
        <v>0</v>
      </c>
      <c r="AZ15" s="61">
        <f t="shared" si="6"/>
        <v>0</v>
      </c>
      <c r="BA15" s="43">
        <f t="shared" si="23"/>
        <v>0</v>
      </c>
      <c r="BB15" s="35">
        <f t="shared" si="75"/>
        <v>0</v>
      </c>
      <c r="BC15" s="36">
        <f t="shared" si="25"/>
        <v>0</v>
      </c>
      <c r="BD15" s="35">
        <f t="shared" si="26"/>
        <v>0</v>
      </c>
      <c r="BE15" s="62">
        <f t="shared" si="27"/>
        <v>0</v>
      </c>
      <c r="BF15" s="61">
        <f t="shared" si="28"/>
        <v>0</v>
      </c>
      <c r="BG15" s="43">
        <f t="shared" si="29"/>
        <v>0</v>
      </c>
      <c r="BH15" s="35">
        <f t="shared" si="30"/>
        <v>0</v>
      </c>
      <c r="BI15" s="36">
        <f t="shared" si="31"/>
        <v>0</v>
      </c>
      <c r="BJ15" s="35">
        <f t="shared" si="32"/>
        <v>0</v>
      </c>
      <c r="BK15" s="62">
        <f t="shared" si="33"/>
        <v>0</v>
      </c>
      <c r="BL15" s="61">
        <f t="shared" si="34"/>
        <v>0</v>
      </c>
      <c r="BM15" s="43">
        <f t="shared" si="35"/>
        <v>0</v>
      </c>
      <c r="BN15" s="35">
        <f t="shared" si="36"/>
        <v>0</v>
      </c>
      <c r="BO15" s="36">
        <f t="shared" si="37"/>
        <v>0</v>
      </c>
      <c r="BP15" s="35">
        <f t="shared" si="38"/>
        <v>0</v>
      </c>
      <c r="BQ15" s="62">
        <f t="shared" si="39"/>
        <v>0</v>
      </c>
      <c r="BR15" s="61">
        <f t="shared" si="40"/>
        <v>0</v>
      </c>
      <c r="BS15" s="43">
        <f t="shared" si="41"/>
        <v>0</v>
      </c>
      <c r="BT15" s="35">
        <f t="shared" si="42"/>
        <v>0</v>
      </c>
      <c r="BU15" s="36">
        <f t="shared" si="43"/>
        <v>0</v>
      </c>
      <c r="BV15" s="35">
        <f t="shared" si="44"/>
        <v>0</v>
      </c>
      <c r="BW15" s="62">
        <f t="shared" si="45"/>
        <v>0</v>
      </c>
      <c r="BX15" s="61">
        <f t="shared" si="46"/>
        <v>0</v>
      </c>
      <c r="BY15" s="43">
        <f t="shared" si="47"/>
        <v>0</v>
      </c>
      <c r="BZ15" s="35">
        <f t="shared" si="48"/>
        <v>0</v>
      </c>
      <c r="CA15" s="36">
        <f t="shared" si="49"/>
        <v>0</v>
      </c>
      <c r="CB15" s="35">
        <f t="shared" si="50"/>
        <v>0</v>
      </c>
      <c r="CC15" s="62">
        <f t="shared" si="51"/>
        <v>0</v>
      </c>
      <c r="CD15" s="61">
        <f t="shared" si="52"/>
        <v>0</v>
      </c>
      <c r="CE15" s="43">
        <f t="shared" si="53"/>
        <v>0</v>
      </c>
      <c r="CF15" s="35">
        <f t="shared" si="54"/>
        <v>0</v>
      </c>
      <c r="CG15" s="36">
        <f t="shared" si="55"/>
        <v>0</v>
      </c>
      <c r="CH15" s="35">
        <f t="shared" si="56"/>
        <v>0</v>
      </c>
      <c r="CI15" s="62">
        <f t="shared" si="74"/>
        <v>0</v>
      </c>
      <c r="CJ15" s="61">
        <f t="shared" si="57"/>
        <v>0</v>
      </c>
      <c r="CK15" s="43">
        <f t="shared" si="58"/>
        <v>0</v>
      </c>
      <c r="CL15" s="35">
        <f t="shared" si="59"/>
        <v>0</v>
      </c>
      <c r="CM15" s="36">
        <f t="shared" si="60"/>
        <v>0</v>
      </c>
      <c r="CN15" s="35">
        <f t="shared" si="61"/>
        <v>0</v>
      </c>
      <c r="CO15" s="62">
        <f t="shared" si="62"/>
        <v>0</v>
      </c>
      <c r="CP15" s="61">
        <f t="shared" si="63"/>
        <v>0</v>
      </c>
      <c r="CQ15" s="43">
        <f t="shared" si="64"/>
        <v>0</v>
      </c>
      <c r="CR15" s="35">
        <f t="shared" si="65"/>
        <v>0</v>
      </c>
      <c r="CS15" s="36">
        <f t="shared" si="66"/>
        <v>0</v>
      </c>
      <c r="CT15" s="35">
        <f t="shared" si="1"/>
        <v>0</v>
      </c>
      <c r="CU15" s="62">
        <f t="shared" si="67"/>
        <v>0</v>
      </c>
      <c r="CV15" s="61">
        <f t="shared" si="68"/>
        <v>0</v>
      </c>
      <c r="CW15" s="43">
        <f t="shared" si="69"/>
        <v>0</v>
      </c>
      <c r="CX15" s="35">
        <f t="shared" si="70"/>
        <v>0</v>
      </c>
      <c r="CY15" s="36">
        <f t="shared" si="71"/>
        <v>0</v>
      </c>
      <c r="CZ15" s="35">
        <f t="shared" si="72"/>
        <v>0</v>
      </c>
      <c r="DA15" s="62">
        <f t="shared" si="73"/>
        <v>0</v>
      </c>
    </row>
    <row r="16" spans="2:105" x14ac:dyDescent="0.3">
      <c r="B16" s="1">
        <v>0.20966000000000001</v>
      </c>
      <c r="C16" s="1">
        <v>0.53930999999999996</v>
      </c>
      <c r="D16">
        <f t="shared" si="10"/>
        <v>54.156959185894372</v>
      </c>
      <c r="F16" s="1">
        <v>0.206538</v>
      </c>
      <c r="G16" s="1">
        <v>0.53723500000000002</v>
      </c>
      <c r="H16">
        <f t="shared" si="11"/>
        <v>53.356037432830156</v>
      </c>
      <c r="J16" s="1">
        <v>0.20535600000000001</v>
      </c>
      <c r="K16" s="1">
        <v>0.53316399999999997</v>
      </c>
      <c r="L16">
        <f t="shared" si="12"/>
        <v>52.449990046127631</v>
      </c>
      <c r="N16" s="1">
        <v>0.20437</v>
      </c>
      <c r="O16" s="1">
        <v>0.52895999999999999</v>
      </c>
      <c r="P16">
        <f t="shared" si="13"/>
        <v>52.036421691636484</v>
      </c>
      <c r="R16" s="1">
        <v>0.205593</v>
      </c>
      <c r="S16" s="1">
        <v>0.52624899999999997</v>
      </c>
      <c r="T16">
        <f t="shared" si="14"/>
        <v>50.652526646997487</v>
      </c>
      <c r="V16" s="1">
        <v>0.21213799999999999</v>
      </c>
      <c r="W16" s="1">
        <v>0.52837900000000004</v>
      </c>
      <c r="X16">
        <f t="shared" si="15"/>
        <v>49.766983955388881</v>
      </c>
      <c r="Z16" s="1">
        <v>0.21979799999999999</v>
      </c>
      <c r="AA16" s="1">
        <v>0.53178400000000003</v>
      </c>
      <c r="AB16">
        <f t="shared" si="16"/>
        <v>48.897019749036104</v>
      </c>
      <c r="AD16" s="1">
        <v>0.227105</v>
      </c>
      <c r="AE16" s="1">
        <v>0.53464699999999998</v>
      </c>
      <c r="AF16">
        <f t="shared" si="17"/>
        <v>48.067973182000003</v>
      </c>
      <c r="AH16" s="1">
        <v>0.234651</v>
      </c>
      <c r="AI16" s="1">
        <v>0.53976000000000002</v>
      </c>
      <c r="AJ16">
        <f t="shared" si="18"/>
        <v>47.439526782417126</v>
      </c>
      <c r="AL16" s="1">
        <v>0.24537600000000001</v>
      </c>
      <c r="AM16" s="1">
        <v>0.562747</v>
      </c>
      <c r="AN16">
        <f t="shared" si="19"/>
        <v>47.958974228139184</v>
      </c>
      <c r="AP16" s="44"/>
      <c r="AQ16" s="44"/>
      <c r="AR16" s="44"/>
      <c r="AT16" s="61">
        <f t="shared" si="2"/>
        <v>0</v>
      </c>
      <c r="AU16" s="43">
        <f t="shared" si="20"/>
        <v>0</v>
      </c>
      <c r="AV16" s="35">
        <f t="shared" si="21"/>
        <v>0</v>
      </c>
      <c r="AW16" s="36">
        <f t="shared" si="22"/>
        <v>0</v>
      </c>
      <c r="AX16" s="35">
        <f t="shared" si="4"/>
        <v>0</v>
      </c>
      <c r="AY16" s="62">
        <f t="shared" si="5"/>
        <v>0</v>
      </c>
      <c r="AZ16" s="61">
        <f t="shared" si="6"/>
        <v>0</v>
      </c>
      <c r="BA16" s="43">
        <f t="shared" si="23"/>
        <v>0</v>
      </c>
      <c r="BB16" s="35">
        <f t="shared" si="75"/>
        <v>0</v>
      </c>
      <c r="BC16" s="36">
        <f t="shared" si="25"/>
        <v>0</v>
      </c>
      <c r="BD16" s="35">
        <f t="shared" si="26"/>
        <v>0</v>
      </c>
      <c r="BE16" s="62">
        <f t="shared" si="27"/>
        <v>0</v>
      </c>
      <c r="BF16" s="61">
        <f t="shared" si="28"/>
        <v>0</v>
      </c>
      <c r="BG16" s="43">
        <f t="shared" si="29"/>
        <v>0</v>
      </c>
      <c r="BH16" s="35">
        <f t="shared" si="30"/>
        <v>0</v>
      </c>
      <c r="BI16" s="36">
        <f t="shared" si="31"/>
        <v>0</v>
      </c>
      <c r="BJ16" s="35">
        <f t="shared" si="32"/>
        <v>0</v>
      </c>
      <c r="BK16" s="62">
        <f t="shared" si="33"/>
        <v>0</v>
      </c>
      <c r="BL16" s="61">
        <f t="shared" si="34"/>
        <v>0</v>
      </c>
      <c r="BM16" s="43">
        <f t="shared" si="35"/>
        <v>0</v>
      </c>
      <c r="BN16" s="35">
        <f t="shared" si="36"/>
        <v>0</v>
      </c>
      <c r="BO16" s="36">
        <f t="shared" si="37"/>
        <v>0</v>
      </c>
      <c r="BP16" s="35">
        <f t="shared" si="38"/>
        <v>0</v>
      </c>
      <c r="BQ16" s="62">
        <f t="shared" si="39"/>
        <v>0</v>
      </c>
      <c r="BR16" s="61">
        <f t="shared" si="40"/>
        <v>0</v>
      </c>
      <c r="BS16" s="43">
        <f t="shared" si="41"/>
        <v>0</v>
      </c>
      <c r="BT16" s="35">
        <f t="shared" si="42"/>
        <v>0</v>
      </c>
      <c r="BU16" s="36">
        <f t="shared" si="43"/>
        <v>0</v>
      </c>
      <c r="BV16" s="35">
        <f t="shared" si="44"/>
        <v>0</v>
      </c>
      <c r="BW16" s="62">
        <f t="shared" si="45"/>
        <v>0</v>
      </c>
      <c r="BX16" s="61">
        <f t="shared" si="46"/>
        <v>0</v>
      </c>
      <c r="BY16" s="43">
        <f t="shared" si="47"/>
        <v>0</v>
      </c>
      <c r="BZ16" s="35">
        <f t="shared" si="48"/>
        <v>0</v>
      </c>
      <c r="CA16" s="36">
        <f t="shared" si="49"/>
        <v>0</v>
      </c>
      <c r="CB16" s="35">
        <f t="shared" si="50"/>
        <v>0</v>
      </c>
      <c r="CC16" s="62">
        <f t="shared" si="51"/>
        <v>0</v>
      </c>
      <c r="CD16" s="61">
        <f t="shared" si="52"/>
        <v>0</v>
      </c>
      <c r="CE16" s="43">
        <f t="shared" si="53"/>
        <v>0</v>
      </c>
      <c r="CF16" s="35">
        <f t="shared" si="54"/>
        <v>0</v>
      </c>
      <c r="CG16" s="36">
        <f t="shared" si="55"/>
        <v>0</v>
      </c>
      <c r="CH16" s="35">
        <f t="shared" si="56"/>
        <v>0</v>
      </c>
      <c r="CI16" s="62">
        <f t="shared" si="74"/>
        <v>0</v>
      </c>
      <c r="CJ16" s="61">
        <f t="shared" si="57"/>
        <v>0</v>
      </c>
      <c r="CK16" s="43">
        <f t="shared" si="58"/>
        <v>0</v>
      </c>
      <c r="CL16" s="35">
        <f t="shared" si="59"/>
        <v>0</v>
      </c>
      <c r="CM16" s="36">
        <f t="shared" si="60"/>
        <v>0</v>
      </c>
      <c r="CN16" s="35">
        <f t="shared" si="61"/>
        <v>0</v>
      </c>
      <c r="CO16" s="62">
        <f t="shared" si="62"/>
        <v>0</v>
      </c>
      <c r="CP16" s="61">
        <f t="shared" si="63"/>
        <v>0</v>
      </c>
      <c r="CQ16" s="43">
        <f t="shared" si="64"/>
        <v>0</v>
      </c>
      <c r="CR16" s="35">
        <f t="shared" si="65"/>
        <v>0</v>
      </c>
      <c r="CS16" s="36">
        <f t="shared" si="66"/>
        <v>0</v>
      </c>
      <c r="CT16" s="35">
        <f t="shared" si="1"/>
        <v>0</v>
      </c>
      <c r="CU16" s="62">
        <f t="shared" si="67"/>
        <v>0</v>
      </c>
      <c r="CV16" s="61">
        <f t="shared" si="68"/>
        <v>0</v>
      </c>
      <c r="CW16" s="43">
        <f t="shared" si="69"/>
        <v>0</v>
      </c>
      <c r="CX16" s="35">
        <f t="shared" si="70"/>
        <v>0</v>
      </c>
      <c r="CY16" s="36">
        <f t="shared" si="71"/>
        <v>0</v>
      </c>
      <c r="CZ16" s="35">
        <f t="shared" si="72"/>
        <v>0</v>
      </c>
      <c r="DA16" s="62">
        <f t="shared" si="73"/>
        <v>0</v>
      </c>
    </row>
    <row r="17" spans="2:105" x14ac:dyDescent="0.3">
      <c r="B17" s="1">
        <v>0.22391800000000001</v>
      </c>
      <c r="C17" s="1">
        <v>0.55171800000000004</v>
      </c>
      <c r="D17">
        <f t="shared" si="10"/>
        <v>55.402957868615971</v>
      </c>
      <c r="F17" s="1">
        <v>0.220583</v>
      </c>
      <c r="G17" s="1">
        <v>0.54860200000000003</v>
      </c>
      <c r="H17">
        <f t="shared" si="11"/>
        <v>54.484962535436985</v>
      </c>
      <c r="J17" s="1">
        <v>0.21932099999999999</v>
      </c>
      <c r="K17" s="1">
        <v>0.54428500000000002</v>
      </c>
      <c r="L17">
        <f t="shared" si="12"/>
        <v>53.544018036207582</v>
      </c>
      <c r="N17" s="1">
        <v>0.21826899999999999</v>
      </c>
      <c r="O17" s="1">
        <v>0.53990000000000005</v>
      </c>
      <c r="P17">
        <f t="shared" si="13"/>
        <v>53.112643812981212</v>
      </c>
      <c r="R17" s="1">
        <v>0.21957399999999999</v>
      </c>
      <c r="S17" s="1">
        <v>0.53701299999999996</v>
      </c>
      <c r="T17">
        <f t="shared" si="14"/>
        <v>51.688583336565124</v>
      </c>
      <c r="V17" s="1">
        <v>0.22656399999999999</v>
      </c>
      <c r="W17" s="1">
        <v>0.53912400000000005</v>
      </c>
      <c r="X17">
        <f t="shared" si="15"/>
        <v>50.779034477080039</v>
      </c>
      <c r="Z17" s="1">
        <v>0.23474500000000001</v>
      </c>
      <c r="AA17" s="1">
        <v>0.54254000000000002</v>
      </c>
      <c r="AB17">
        <f t="shared" si="16"/>
        <v>49.886023450577767</v>
      </c>
      <c r="AD17" s="1">
        <v>0.24254899999999999</v>
      </c>
      <c r="AE17" s="1">
        <v>0.54715999999999998</v>
      </c>
      <c r="AF17">
        <f t="shared" si="17"/>
        <v>49.19296696</v>
      </c>
      <c r="AH17" s="1">
        <v>0.25060900000000003</v>
      </c>
      <c r="AI17" s="1">
        <v>0.55249199999999998</v>
      </c>
      <c r="AJ17">
        <f t="shared" si="18"/>
        <v>48.558542743202906</v>
      </c>
      <c r="AL17" s="1">
        <v>0.26206299999999999</v>
      </c>
      <c r="AM17" s="1">
        <v>0.57609999999999995</v>
      </c>
      <c r="AN17">
        <f t="shared" si="19"/>
        <v>49.096956630299196</v>
      </c>
      <c r="AP17" s="56"/>
      <c r="AQ17" s="56"/>
      <c r="AR17" s="56"/>
      <c r="AT17" s="61">
        <f t="shared" si="2"/>
        <v>0</v>
      </c>
      <c r="AU17" s="43">
        <f t="shared" si="20"/>
        <v>0</v>
      </c>
      <c r="AV17" s="35">
        <f t="shared" si="21"/>
        <v>0</v>
      </c>
      <c r="AW17" s="36">
        <f t="shared" si="22"/>
        <v>0</v>
      </c>
      <c r="AX17" s="35">
        <f t="shared" si="4"/>
        <v>0</v>
      </c>
      <c r="AY17" s="62">
        <f t="shared" si="5"/>
        <v>0</v>
      </c>
      <c r="AZ17" s="61">
        <f t="shared" si="6"/>
        <v>0</v>
      </c>
      <c r="BA17" s="43">
        <f t="shared" si="23"/>
        <v>0</v>
      </c>
      <c r="BB17" s="35">
        <f t="shared" si="75"/>
        <v>0</v>
      </c>
      <c r="BC17" s="36">
        <f t="shared" si="25"/>
        <v>0</v>
      </c>
      <c r="BD17" s="35">
        <f t="shared" si="26"/>
        <v>0</v>
      </c>
      <c r="BE17" s="62">
        <f t="shared" si="27"/>
        <v>0</v>
      </c>
      <c r="BF17" s="61">
        <f t="shared" si="28"/>
        <v>0</v>
      </c>
      <c r="BG17" s="43">
        <f t="shared" si="29"/>
        <v>0</v>
      </c>
      <c r="BH17" s="35">
        <f t="shared" si="30"/>
        <v>0</v>
      </c>
      <c r="BI17" s="36">
        <f t="shared" si="31"/>
        <v>0</v>
      </c>
      <c r="BJ17" s="35">
        <f t="shared" si="32"/>
        <v>0</v>
      </c>
      <c r="BK17" s="62">
        <f t="shared" si="33"/>
        <v>0</v>
      </c>
      <c r="BL17" s="61">
        <f t="shared" si="34"/>
        <v>0</v>
      </c>
      <c r="BM17" s="43">
        <f t="shared" si="35"/>
        <v>0</v>
      </c>
      <c r="BN17" s="35">
        <f t="shared" si="36"/>
        <v>0</v>
      </c>
      <c r="BO17" s="36">
        <f t="shared" si="37"/>
        <v>0</v>
      </c>
      <c r="BP17" s="35">
        <f t="shared" si="38"/>
        <v>0</v>
      </c>
      <c r="BQ17" s="62">
        <f t="shared" si="39"/>
        <v>0</v>
      </c>
      <c r="BR17" s="61">
        <f t="shared" si="40"/>
        <v>0</v>
      </c>
      <c r="BS17" s="43">
        <f t="shared" si="41"/>
        <v>0</v>
      </c>
      <c r="BT17" s="35">
        <f t="shared" si="42"/>
        <v>0</v>
      </c>
      <c r="BU17" s="36">
        <f t="shared" si="43"/>
        <v>0</v>
      </c>
      <c r="BV17" s="35">
        <f t="shared" si="44"/>
        <v>0</v>
      </c>
      <c r="BW17" s="62">
        <f t="shared" si="45"/>
        <v>0</v>
      </c>
      <c r="BX17" s="61">
        <f t="shared" si="46"/>
        <v>0</v>
      </c>
      <c r="BY17" s="43">
        <f t="shared" si="47"/>
        <v>0</v>
      </c>
      <c r="BZ17" s="35">
        <f t="shared" si="48"/>
        <v>0</v>
      </c>
      <c r="CA17" s="36">
        <f t="shared" si="49"/>
        <v>0</v>
      </c>
      <c r="CB17" s="35">
        <f t="shared" si="50"/>
        <v>0</v>
      </c>
      <c r="CC17" s="62">
        <f t="shared" si="51"/>
        <v>0</v>
      </c>
      <c r="CD17" s="61">
        <f t="shared" si="52"/>
        <v>0</v>
      </c>
      <c r="CE17" s="43">
        <f t="shared" si="53"/>
        <v>0</v>
      </c>
      <c r="CF17" s="35">
        <f t="shared" si="54"/>
        <v>0</v>
      </c>
      <c r="CG17" s="36">
        <f t="shared" si="55"/>
        <v>0</v>
      </c>
      <c r="CH17" s="35">
        <f t="shared" si="56"/>
        <v>0</v>
      </c>
      <c r="CI17" s="62">
        <f t="shared" si="74"/>
        <v>0</v>
      </c>
      <c r="CJ17" s="61">
        <f t="shared" si="57"/>
        <v>0</v>
      </c>
      <c r="CK17" s="43">
        <f t="shared" si="58"/>
        <v>0</v>
      </c>
      <c r="CL17" s="35">
        <f t="shared" si="59"/>
        <v>0</v>
      </c>
      <c r="CM17" s="36">
        <f t="shared" si="60"/>
        <v>0</v>
      </c>
      <c r="CN17" s="35">
        <f t="shared" si="61"/>
        <v>0</v>
      </c>
      <c r="CO17" s="62">
        <f t="shared" si="62"/>
        <v>0</v>
      </c>
      <c r="CP17" s="61">
        <f t="shared" si="63"/>
        <v>0</v>
      </c>
      <c r="CQ17" s="43">
        <f t="shared" si="64"/>
        <v>0</v>
      </c>
      <c r="CR17" s="35">
        <f t="shared" si="65"/>
        <v>0</v>
      </c>
      <c r="CS17" s="36">
        <f t="shared" si="66"/>
        <v>0</v>
      </c>
      <c r="CT17" s="35">
        <f t="shared" si="1"/>
        <v>0</v>
      </c>
      <c r="CU17" s="62">
        <f t="shared" si="67"/>
        <v>0</v>
      </c>
      <c r="CV17" s="61">
        <f t="shared" si="68"/>
        <v>0</v>
      </c>
      <c r="CW17" s="43">
        <f t="shared" si="69"/>
        <v>0</v>
      </c>
      <c r="CX17" s="35">
        <f t="shared" si="70"/>
        <v>0</v>
      </c>
      <c r="CY17" s="36">
        <f t="shared" si="71"/>
        <v>0</v>
      </c>
      <c r="CZ17" s="35">
        <f t="shared" si="72"/>
        <v>0</v>
      </c>
      <c r="DA17" s="62">
        <f t="shared" si="73"/>
        <v>0</v>
      </c>
    </row>
    <row r="18" spans="2:105" x14ac:dyDescent="0.3">
      <c r="B18" s="1">
        <v>0.238147</v>
      </c>
      <c r="C18" s="1">
        <v>0.56323000000000001</v>
      </c>
      <c r="D18">
        <f t="shared" si="10"/>
        <v>56.558981146782543</v>
      </c>
      <c r="F18" s="1">
        <v>0.234601</v>
      </c>
      <c r="G18" s="1">
        <v>0.55961799999999995</v>
      </c>
      <c r="H18">
        <f t="shared" si="11"/>
        <v>55.579027718010821</v>
      </c>
      <c r="J18" s="1">
        <v>0.23325899999999999</v>
      </c>
      <c r="K18" s="1">
        <v>0.55512099999999998</v>
      </c>
      <c r="L18">
        <f t="shared" si="12"/>
        <v>54.61000916115195</v>
      </c>
      <c r="N18" s="1">
        <v>0.23213900000000001</v>
      </c>
      <c r="O18" s="1">
        <v>0.550562</v>
      </c>
      <c r="P18">
        <f t="shared" si="13"/>
        <v>54.161517693948056</v>
      </c>
      <c r="R18" s="1">
        <v>0.23352700000000001</v>
      </c>
      <c r="S18" s="1">
        <v>0.547516</v>
      </c>
      <c r="T18">
        <f t="shared" si="14"/>
        <v>52.699518250215156</v>
      </c>
      <c r="V18" s="1">
        <v>0.24096200000000001</v>
      </c>
      <c r="W18" s="1">
        <v>0.54963499999999998</v>
      </c>
      <c r="X18">
        <f t="shared" si="15"/>
        <v>51.76904499671668</v>
      </c>
      <c r="Z18" s="1">
        <v>0.249662</v>
      </c>
      <c r="AA18" s="1">
        <v>0.554199</v>
      </c>
      <c r="AB18">
        <f t="shared" si="16"/>
        <v>50.958057120740861</v>
      </c>
      <c r="AD18" s="1">
        <v>0.25796200000000002</v>
      </c>
      <c r="AE18" s="1">
        <v>0.559473</v>
      </c>
      <c r="AF18">
        <f t="shared" si="17"/>
        <v>50.299979538000002</v>
      </c>
      <c r="AH18" s="1">
        <v>0.26653399999999999</v>
      </c>
      <c r="AI18" s="1">
        <v>0.57867299999999999</v>
      </c>
      <c r="AJ18">
        <f t="shared" si="18"/>
        <v>50.859591821849826</v>
      </c>
      <c r="AL18" s="1">
        <v>0.27871600000000002</v>
      </c>
      <c r="AM18" s="1">
        <v>0.58923099999999995</v>
      </c>
      <c r="AN18">
        <f t="shared" si="19"/>
        <v>50.216019531726829</v>
      </c>
      <c r="AP18" s="56"/>
      <c r="AQ18" s="77"/>
      <c r="AR18" s="56"/>
      <c r="AT18" s="61">
        <f t="shared" si="2"/>
        <v>0</v>
      </c>
      <c r="AU18" s="43">
        <f t="shared" si="20"/>
        <v>0</v>
      </c>
      <c r="AV18" s="35">
        <f t="shared" si="21"/>
        <v>0</v>
      </c>
      <c r="AW18" s="36">
        <f t="shared" si="22"/>
        <v>0</v>
      </c>
      <c r="AX18" s="35">
        <f t="shared" si="4"/>
        <v>0</v>
      </c>
      <c r="AY18" s="62">
        <f t="shared" si="5"/>
        <v>0</v>
      </c>
      <c r="AZ18" s="61">
        <f t="shared" si="6"/>
        <v>0</v>
      </c>
      <c r="BA18" s="43">
        <f t="shared" si="23"/>
        <v>0</v>
      </c>
      <c r="BB18" s="35">
        <f t="shared" si="75"/>
        <v>0</v>
      </c>
      <c r="BC18" s="36">
        <f t="shared" si="25"/>
        <v>0</v>
      </c>
      <c r="BD18" s="35">
        <f t="shared" si="26"/>
        <v>0</v>
      </c>
      <c r="BE18" s="62">
        <f t="shared" si="27"/>
        <v>0</v>
      </c>
      <c r="BF18" s="61">
        <f t="shared" si="28"/>
        <v>0</v>
      </c>
      <c r="BG18" s="43">
        <f t="shared" si="29"/>
        <v>0</v>
      </c>
      <c r="BH18" s="35">
        <f t="shared" si="30"/>
        <v>0</v>
      </c>
      <c r="BI18" s="36">
        <f t="shared" si="31"/>
        <v>0</v>
      </c>
      <c r="BJ18" s="35">
        <f t="shared" si="32"/>
        <v>0</v>
      </c>
      <c r="BK18" s="62">
        <f t="shared" si="33"/>
        <v>0</v>
      </c>
      <c r="BL18" s="61">
        <f t="shared" si="34"/>
        <v>0</v>
      </c>
      <c r="BM18" s="43">
        <f t="shared" si="35"/>
        <v>0</v>
      </c>
      <c r="BN18" s="35">
        <f t="shared" si="36"/>
        <v>0</v>
      </c>
      <c r="BO18" s="36">
        <f t="shared" si="37"/>
        <v>0</v>
      </c>
      <c r="BP18" s="35">
        <f t="shared" si="38"/>
        <v>0</v>
      </c>
      <c r="BQ18" s="62">
        <f t="shared" si="39"/>
        <v>0</v>
      </c>
      <c r="BR18" s="61">
        <f t="shared" si="40"/>
        <v>0</v>
      </c>
      <c r="BS18" s="43">
        <f t="shared" si="41"/>
        <v>0</v>
      </c>
      <c r="BT18" s="35">
        <f t="shared" si="42"/>
        <v>0</v>
      </c>
      <c r="BU18" s="36">
        <f t="shared" si="43"/>
        <v>0</v>
      </c>
      <c r="BV18" s="35">
        <f t="shared" si="44"/>
        <v>0</v>
      </c>
      <c r="BW18" s="62">
        <f t="shared" si="45"/>
        <v>0</v>
      </c>
      <c r="BX18" s="61">
        <f t="shared" si="46"/>
        <v>0</v>
      </c>
      <c r="BY18" s="43">
        <f t="shared" si="47"/>
        <v>0</v>
      </c>
      <c r="BZ18" s="35">
        <f t="shared" si="48"/>
        <v>0</v>
      </c>
      <c r="CA18" s="36">
        <f t="shared" si="49"/>
        <v>0</v>
      </c>
      <c r="CB18" s="35">
        <f t="shared" si="50"/>
        <v>0</v>
      </c>
      <c r="CC18" s="62">
        <f t="shared" si="51"/>
        <v>0</v>
      </c>
      <c r="CD18" s="61">
        <f t="shared" si="52"/>
        <v>0</v>
      </c>
      <c r="CE18" s="43">
        <f t="shared" si="53"/>
        <v>0</v>
      </c>
      <c r="CF18" s="35">
        <f t="shared" si="54"/>
        <v>0</v>
      </c>
      <c r="CG18" s="36">
        <f t="shared" si="55"/>
        <v>0</v>
      </c>
      <c r="CH18" s="35">
        <f t="shared" si="56"/>
        <v>0</v>
      </c>
      <c r="CI18" s="62">
        <f t="shared" si="74"/>
        <v>0</v>
      </c>
      <c r="CJ18" s="61">
        <f t="shared" si="57"/>
        <v>0</v>
      </c>
      <c r="CK18" s="43">
        <f t="shared" si="58"/>
        <v>0</v>
      </c>
      <c r="CL18" s="35">
        <f t="shared" si="59"/>
        <v>0</v>
      </c>
      <c r="CM18" s="36">
        <f t="shared" si="60"/>
        <v>0</v>
      </c>
      <c r="CN18" s="35">
        <f t="shared" si="61"/>
        <v>0</v>
      </c>
      <c r="CO18" s="62">
        <f t="shared" si="62"/>
        <v>0</v>
      </c>
      <c r="CP18" s="61">
        <f t="shared" si="63"/>
        <v>0</v>
      </c>
      <c r="CQ18" s="43">
        <f t="shared" si="64"/>
        <v>0</v>
      </c>
      <c r="CR18" s="35">
        <f t="shared" si="65"/>
        <v>0</v>
      </c>
      <c r="CS18" s="36">
        <f t="shared" si="66"/>
        <v>0</v>
      </c>
      <c r="CT18" s="35">
        <f t="shared" si="1"/>
        <v>0</v>
      </c>
      <c r="CU18" s="62">
        <f t="shared" si="67"/>
        <v>0</v>
      </c>
      <c r="CV18" s="61">
        <f t="shared" si="68"/>
        <v>0</v>
      </c>
      <c r="CW18" s="43">
        <f t="shared" si="69"/>
        <v>0</v>
      </c>
      <c r="CX18" s="35">
        <f t="shared" si="70"/>
        <v>0</v>
      </c>
      <c r="CY18" s="36">
        <f t="shared" si="71"/>
        <v>0</v>
      </c>
      <c r="CZ18" s="35">
        <f t="shared" si="72"/>
        <v>0</v>
      </c>
      <c r="DA18" s="62">
        <f t="shared" si="73"/>
        <v>0</v>
      </c>
    </row>
    <row r="19" spans="2:105" x14ac:dyDescent="0.3">
      <c r="B19" s="1">
        <v>0.25240499999999999</v>
      </c>
      <c r="C19" s="1">
        <v>0.57416400000000001</v>
      </c>
      <c r="D19">
        <f t="shared" si="10"/>
        <v>57.656962255492871</v>
      </c>
      <c r="F19" s="1">
        <v>0.24864600000000001</v>
      </c>
      <c r="G19" s="1">
        <v>0.57035100000000005</v>
      </c>
      <c r="H19">
        <f t="shared" si="11"/>
        <v>56.644986469332999</v>
      </c>
      <c r="J19" s="1">
        <v>0.247224</v>
      </c>
      <c r="K19" s="1">
        <v>0.56565200000000004</v>
      </c>
      <c r="L19">
        <f t="shared" si="12"/>
        <v>55.645995921652982</v>
      </c>
      <c r="N19" s="1">
        <v>0.24603700000000001</v>
      </c>
      <c r="O19" s="1">
        <v>0.56092699999999995</v>
      </c>
      <c r="P19">
        <f t="shared" si="13"/>
        <v>55.181174210194676</v>
      </c>
      <c r="R19" s="1">
        <v>0.24750800000000001</v>
      </c>
      <c r="S19" s="1">
        <v>0.55776000000000003</v>
      </c>
      <c r="T19">
        <f t="shared" si="14"/>
        <v>53.685523891977603</v>
      </c>
      <c r="V19" s="1">
        <v>0.255388</v>
      </c>
      <c r="W19" s="1">
        <v>0.56001800000000002</v>
      </c>
      <c r="X19">
        <f t="shared" si="15"/>
        <v>52.74699944685343</v>
      </c>
      <c r="Z19" s="1">
        <v>0.26461000000000001</v>
      </c>
      <c r="AA19" s="1">
        <v>0.56612899999999999</v>
      </c>
      <c r="AB19">
        <f t="shared" si="16"/>
        <v>52.055008976392777</v>
      </c>
      <c r="AD19" s="1">
        <v>0.27340700000000001</v>
      </c>
      <c r="AE19" s="1">
        <v>0.58542300000000003</v>
      </c>
      <c r="AF19">
        <f t="shared" si="17"/>
        <v>52.633040238000007</v>
      </c>
      <c r="AH19" s="1">
        <v>0.28249200000000002</v>
      </c>
      <c r="AI19" s="1">
        <v>0.59129100000000001</v>
      </c>
      <c r="AJ19">
        <f t="shared" si="18"/>
        <v>51.968588318330745</v>
      </c>
      <c r="AL19" s="1">
        <v>0.29540300000000003</v>
      </c>
      <c r="AM19" s="1">
        <v>0.60211400000000004</v>
      </c>
      <c r="AN19">
        <f t="shared" si="19"/>
        <v>51.313947135039008</v>
      </c>
      <c r="AP19" s="56"/>
      <c r="AQ19" s="77"/>
      <c r="AR19" s="56"/>
      <c r="AT19" s="61">
        <f t="shared" si="2"/>
        <v>0</v>
      </c>
      <c r="AU19" s="43">
        <f t="shared" si="20"/>
        <v>0</v>
      </c>
      <c r="AV19" s="35">
        <f t="shared" si="21"/>
        <v>0</v>
      </c>
      <c r="AW19" s="36">
        <f t="shared" si="22"/>
        <v>0</v>
      </c>
      <c r="AX19" s="35">
        <f t="shared" si="4"/>
        <v>0</v>
      </c>
      <c r="AY19" s="62">
        <f t="shared" si="5"/>
        <v>0</v>
      </c>
      <c r="AZ19" s="61">
        <f t="shared" si="6"/>
        <v>0</v>
      </c>
      <c r="BA19" s="43">
        <f t="shared" si="23"/>
        <v>0</v>
      </c>
      <c r="BB19" s="35">
        <f t="shared" si="75"/>
        <v>0</v>
      </c>
      <c r="BC19" s="36">
        <f t="shared" si="25"/>
        <v>0</v>
      </c>
      <c r="BD19" s="35">
        <f t="shared" si="26"/>
        <v>0</v>
      </c>
      <c r="BE19" s="62">
        <f t="shared" si="27"/>
        <v>0</v>
      </c>
      <c r="BF19" s="61">
        <f t="shared" si="28"/>
        <v>0</v>
      </c>
      <c r="BG19" s="43">
        <f t="shared" si="29"/>
        <v>0</v>
      </c>
      <c r="BH19" s="35">
        <f t="shared" si="30"/>
        <v>0</v>
      </c>
      <c r="BI19" s="36">
        <f t="shared" si="31"/>
        <v>0</v>
      </c>
      <c r="BJ19" s="35">
        <f t="shared" si="32"/>
        <v>0</v>
      </c>
      <c r="BK19" s="62">
        <f t="shared" si="33"/>
        <v>0</v>
      </c>
      <c r="BL19" s="61">
        <f t="shared" si="34"/>
        <v>0</v>
      </c>
      <c r="BM19" s="43">
        <f t="shared" si="35"/>
        <v>0</v>
      </c>
      <c r="BN19" s="35">
        <f t="shared" si="36"/>
        <v>0</v>
      </c>
      <c r="BO19" s="36">
        <f t="shared" si="37"/>
        <v>0</v>
      </c>
      <c r="BP19" s="35">
        <f t="shared" si="38"/>
        <v>0</v>
      </c>
      <c r="BQ19" s="62">
        <f t="shared" si="39"/>
        <v>0</v>
      </c>
      <c r="BR19" s="61">
        <f t="shared" si="40"/>
        <v>0</v>
      </c>
      <c r="BS19" s="43">
        <f t="shared" si="41"/>
        <v>0</v>
      </c>
      <c r="BT19" s="35">
        <f t="shared" si="42"/>
        <v>0</v>
      </c>
      <c r="BU19" s="36">
        <f t="shared" si="43"/>
        <v>0</v>
      </c>
      <c r="BV19" s="35">
        <f t="shared" si="44"/>
        <v>0</v>
      </c>
      <c r="BW19" s="62">
        <f t="shared" si="45"/>
        <v>0</v>
      </c>
      <c r="BX19" s="61">
        <f t="shared" si="46"/>
        <v>0</v>
      </c>
      <c r="BY19" s="43">
        <f t="shared" si="47"/>
        <v>0</v>
      </c>
      <c r="BZ19" s="35">
        <f t="shared" si="48"/>
        <v>0</v>
      </c>
      <c r="CA19" s="36">
        <f t="shared" si="49"/>
        <v>0</v>
      </c>
      <c r="CB19" s="35">
        <f t="shared" si="50"/>
        <v>0</v>
      </c>
      <c r="CC19" s="62">
        <f t="shared" si="51"/>
        <v>0</v>
      </c>
      <c r="CD19" s="61">
        <f t="shared" si="52"/>
        <v>0</v>
      </c>
      <c r="CE19" s="43">
        <f t="shared" si="53"/>
        <v>0</v>
      </c>
      <c r="CF19" s="35">
        <f t="shared" si="54"/>
        <v>0</v>
      </c>
      <c r="CG19" s="36">
        <f t="shared" si="55"/>
        <v>0</v>
      </c>
      <c r="CH19" s="35">
        <f t="shared" si="56"/>
        <v>0</v>
      </c>
      <c r="CI19" s="62">
        <f t="shared" si="74"/>
        <v>0</v>
      </c>
      <c r="CJ19" s="61">
        <f t="shared" si="57"/>
        <v>0</v>
      </c>
      <c r="CK19" s="43">
        <f t="shared" si="58"/>
        <v>0</v>
      </c>
      <c r="CL19" s="35">
        <f t="shared" si="59"/>
        <v>0</v>
      </c>
      <c r="CM19" s="36">
        <f t="shared" si="60"/>
        <v>0</v>
      </c>
      <c r="CN19" s="35">
        <f t="shared" si="61"/>
        <v>0</v>
      </c>
      <c r="CO19" s="62">
        <f t="shared" si="62"/>
        <v>0</v>
      </c>
      <c r="CP19" s="61">
        <f t="shared" si="63"/>
        <v>0</v>
      </c>
      <c r="CQ19" s="43">
        <f t="shared" si="64"/>
        <v>0</v>
      </c>
      <c r="CR19" s="35">
        <f t="shared" si="65"/>
        <v>0</v>
      </c>
      <c r="CS19" s="36">
        <f t="shared" si="66"/>
        <v>0</v>
      </c>
      <c r="CT19" s="35">
        <f t="shared" si="1"/>
        <v>0</v>
      </c>
      <c r="CU19" s="62">
        <f t="shared" si="67"/>
        <v>0</v>
      </c>
      <c r="CV19" s="61">
        <f t="shared" si="68"/>
        <v>0</v>
      </c>
      <c r="CW19" s="43">
        <f t="shared" si="69"/>
        <v>0</v>
      </c>
      <c r="CX19" s="35">
        <f t="shared" si="70"/>
        <v>0</v>
      </c>
      <c r="CY19" s="36">
        <f t="shared" si="71"/>
        <v>0</v>
      </c>
      <c r="CZ19" s="35">
        <f t="shared" si="72"/>
        <v>0</v>
      </c>
      <c r="DA19" s="62">
        <f t="shared" si="73"/>
        <v>0</v>
      </c>
    </row>
    <row r="20" spans="2:105" x14ac:dyDescent="0.3">
      <c r="B20" s="1">
        <v>0.26663399999999998</v>
      </c>
      <c r="C20" s="1">
        <v>0.58472000000000002</v>
      </c>
      <c r="D20">
        <f t="shared" si="10"/>
        <v>58.716984990406559</v>
      </c>
      <c r="F20" s="1">
        <v>0.26266400000000001</v>
      </c>
      <c r="G20" s="1">
        <v>0.58083300000000004</v>
      </c>
      <c r="H20">
        <f t="shared" si="11"/>
        <v>57.686016901771183</v>
      </c>
      <c r="J20" s="1">
        <v>0.26116099999999998</v>
      </c>
      <c r="K20" s="1">
        <v>0.57594900000000004</v>
      </c>
      <c r="L20">
        <f t="shared" si="12"/>
        <v>56.658962940253218</v>
      </c>
      <c r="N20" s="1">
        <v>0.259907</v>
      </c>
      <c r="O20" s="1">
        <v>0.57103599999999999</v>
      </c>
      <c r="P20">
        <f t="shared" si="13"/>
        <v>56.175646735301967</v>
      </c>
      <c r="R20" s="1">
        <v>0.26146200000000003</v>
      </c>
      <c r="S20" s="1">
        <v>0.56777599999999995</v>
      </c>
      <c r="T20">
        <f t="shared" si="14"/>
        <v>54.649584074317751</v>
      </c>
      <c r="V20" s="1">
        <v>0.26978600000000003</v>
      </c>
      <c r="W20" s="1">
        <v>0.57148500000000002</v>
      </c>
      <c r="X20">
        <f t="shared" si="15"/>
        <v>53.827053735567482</v>
      </c>
      <c r="Z20" s="1">
        <v>0.27952700000000003</v>
      </c>
      <c r="AA20" s="1">
        <v>0.57780900000000002</v>
      </c>
      <c r="AB20">
        <f t="shared" si="16"/>
        <v>53.128973576058698</v>
      </c>
      <c r="AD20" s="1">
        <v>0.28882000000000002</v>
      </c>
      <c r="AE20" s="1">
        <v>0.59760199999999997</v>
      </c>
      <c r="AF20">
        <f t="shared" si="17"/>
        <v>53.728005412000002</v>
      </c>
      <c r="AH20" s="1">
        <v>0.29841699999999999</v>
      </c>
      <c r="AI20" s="1">
        <v>0.60369300000000004</v>
      </c>
      <c r="AJ20">
        <f t="shared" si="18"/>
        <v>53.058600566655073</v>
      </c>
      <c r="AL20" s="1">
        <v>0.312056</v>
      </c>
      <c r="AM20" s="1">
        <v>0.614811</v>
      </c>
      <c r="AN20">
        <f t="shared" si="19"/>
        <v>52.396023264764587</v>
      </c>
      <c r="AP20" s="134"/>
      <c r="AQ20" s="135"/>
      <c r="AR20" s="135"/>
      <c r="AT20" s="61">
        <f t="shared" si="2"/>
        <v>0</v>
      </c>
      <c r="AU20" s="43">
        <f t="shared" si="20"/>
        <v>0</v>
      </c>
      <c r="AV20" s="35">
        <f t="shared" si="21"/>
        <v>0</v>
      </c>
      <c r="AW20" s="36">
        <f t="shared" si="22"/>
        <v>0</v>
      </c>
      <c r="AX20" s="35">
        <f t="shared" si="4"/>
        <v>0</v>
      </c>
      <c r="AY20" s="62">
        <f t="shared" si="5"/>
        <v>0</v>
      </c>
      <c r="AZ20" s="61">
        <f t="shared" si="6"/>
        <v>0</v>
      </c>
      <c r="BA20" s="43">
        <f t="shared" si="23"/>
        <v>0</v>
      </c>
      <c r="BB20" s="35">
        <f t="shared" si="75"/>
        <v>0</v>
      </c>
      <c r="BC20" s="36">
        <f t="shared" si="25"/>
        <v>0</v>
      </c>
      <c r="BD20" s="35">
        <f t="shared" si="26"/>
        <v>0</v>
      </c>
      <c r="BE20" s="62">
        <f t="shared" si="27"/>
        <v>0</v>
      </c>
      <c r="BF20" s="61">
        <f t="shared" si="28"/>
        <v>0</v>
      </c>
      <c r="BG20" s="43">
        <f t="shared" si="29"/>
        <v>0</v>
      </c>
      <c r="BH20" s="35">
        <f t="shared" si="30"/>
        <v>0</v>
      </c>
      <c r="BI20" s="36">
        <f t="shared" si="31"/>
        <v>0</v>
      </c>
      <c r="BJ20" s="35">
        <f t="shared" si="32"/>
        <v>0</v>
      </c>
      <c r="BK20" s="62">
        <f t="shared" si="33"/>
        <v>0</v>
      </c>
      <c r="BL20" s="61">
        <f t="shared" si="34"/>
        <v>0</v>
      </c>
      <c r="BM20" s="43">
        <f t="shared" si="35"/>
        <v>0</v>
      </c>
      <c r="BN20" s="35">
        <f t="shared" si="36"/>
        <v>0</v>
      </c>
      <c r="BO20" s="36">
        <f t="shared" si="37"/>
        <v>0</v>
      </c>
      <c r="BP20" s="35">
        <f t="shared" si="38"/>
        <v>0</v>
      </c>
      <c r="BQ20" s="62">
        <f t="shared" si="39"/>
        <v>0</v>
      </c>
      <c r="BR20" s="61">
        <f t="shared" si="40"/>
        <v>0</v>
      </c>
      <c r="BS20" s="43">
        <f t="shared" si="41"/>
        <v>0</v>
      </c>
      <c r="BT20" s="35">
        <f t="shared" si="42"/>
        <v>0</v>
      </c>
      <c r="BU20" s="36">
        <f t="shared" si="43"/>
        <v>0</v>
      </c>
      <c r="BV20" s="35">
        <f t="shared" si="44"/>
        <v>0</v>
      </c>
      <c r="BW20" s="62">
        <f t="shared" si="45"/>
        <v>0</v>
      </c>
      <c r="BX20" s="61">
        <f t="shared" si="46"/>
        <v>0</v>
      </c>
      <c r="BY20" s="43">
        <f t="shared" si="47"/>
        <v>0</v>
      </c>
      <c r="BZ20" s="35">
        <f t="shared" si="48"/>
        <v>0</v>
      </c>
      <c r="CA20" s="36">
        <f t="shared" si="49"/>
        <v>0</v>
      </c>
      <c r="CB20" s="35">
        <f t="shared" si="50"/>
        <v>0</v>
      </c>
      <c r="CC20" s="62">
        <f t="shared" si="51"/>
        <v>0</v>
      </c>
      <c r="CD20" s="61">
        <f t="shared" si="52"/>
        <v>0</v>
      </c>
      <c r="CE20" s="43">
        <f t="shared" si="53"/>
        <v>0</v>
      </c>
      <c r="CF20" s="35">
        <f t="shared" si="54"/>
        <v>0</v>
      </c>
      <c r="CG20" s="36">
        <f t="shared" si="55"/>
        <v>0</v>
      </c>
      <c r="CH20" s="35">
        <f t="shared" si="56"/>
        <v>0</v>
      </c>
      <c r="CI20" s="62">
        <f t="shared" si="74"/>
        <v>0</v>
      </c>
      <c r="CJ20" s="61">
        <f t="shared" si="57"/>
        <v>0</v>
      </c>
      <c r="CK20" s="43">
        <f t="shared" si="58"/>
        <v>0</v>
      </c>
      <c r="CL20" s="35">
        <f t="shared" si="59"/>
        <v>0</v>
      </c>
      <c r="CM20" s="36">
        <f t="shared" si="60"/>
        <v>0</v>
      </c>
      <c r="CN20" s="35">
        <f t="shared" si="61"/>
        <v>0</v>
      </c>
      <c r="CO20" s="62">
        <f t="shared" si="62"/>
        <v>0</v>
      </c>
      <c r="CP20" s="61">
        <f t="shared" si="63"/>
        <v>0</v>
      </c>
      <c r="CQ20" s="43">
        <f t="shared" si="64"/>
        <v>0</v>
      </c>
      <c r="CR20" s="35">
        <f t="shared" si="65"/>
        <v>0</v>
      </c>
      <c r="CS20" s="36">
        <f t="shared" si="66"/>
        <v>0</v>
      </c>
      <c r="CT20" s="35">
        <f t="shared" si="1"/>
        <v>0</v>
      </c>
      <c r="CU20" s="62">
        <f t="shared" si="67"/>
        <v>0</v>
      </c>
      <c r="CV20" s="61">
        <f t="shared" si="68"/>
        <v>0</v>
      </c>
      <c r="CW20" s="43">
        <f t="shared" si="69"/>
        <v>0</v>
      </c>
      <c r="CX20" s="35">
        <f t="shared" si="70"/>
        <v>0</v>
      </c>
      <c r="CY20" s="36">
        <f t="shared" si="71"/>
        <v>0</v>
      </c>
      <c r="CZ20" s="35">
        <f t="shared" si="72"/>
        <v>0</v>
      </c>
      <c r="DA20" s="62">
        <f t="shared" si="73"/>
        <v>0</v>
      </c>
    </row>
    <row r="21" spans="2:105" x14ac:dyDescent="0.3">
      <c r="B21" s="1">
        <v>0.28086299999999997</v>
      </c>
      <c r="C21" s="1">
        <v>0.59500699999999995</v>
      </c>
      <c r="D21">
        <f t="shared" si="10"/>
        <v>59.749995020158082</v>
      </c>
      <c r="F21" s="1">
        <v>0.27668100000000001</v>
      </c>
      <c r="G21" s="1">
        <v>0.59091199999999999</v>
      </c>
      <c r="H21">
        <f t="shared" si="11"/>
        <v>58.687022981578885</v>
      </c>
      <c r="J21" s="1">
        <v>0.27509800000000001</v>
      </c>
      <c r="K21" s="1">
        <v>0.58590100000000001</v>
      </c>
      <c r="L21">
        <f t="shared" si="12"/>
        <v>57.637990595794591</v>
      </c>
      <c r="N21" s="1">
        <v>0.27377800000000002</v>
      </c>
      <c r="O21" s="1">
        <v>0.58083600000000002</v>
      </c>
      <c r="P21">
        <f t="shared" si="13"/>
        <v>57.13972139610437</v>
      </c>
      <c r="R21" s="1">
        <v>0.27541500000000002</v>
      </c>
      <c r="S21" s="1">
        <v>0.57790600000000003</v>
      </c>
      <c r="T21">
        <f t="shared" si="14"/>
        <v>55.624616986369062</v>
      </c>
      <c r="V21" s="1">
        <v>0.28418300000000002</v>
      </c>
      <c r="W21" s="1">
        <v>0.58273900000000001</v>
      </c>
      <c r="X21">
        <f t="shared" si="15"/>
        <v>54.887045971129353</v>
      </c>
      <c r="Z21" s="1">
        <v>0.29444399999999998</v>
      </c>
      <c r="AA21" s="1">
        <v>0.603661</v>
      </c>
      <c r="AB21">
        <f t="shared" si="16"/>
        <v>55.506039743058984</v>
      </c>
      <c r="AD21" s="1">
        <v>0.30423299999999998</v>
      </c>
      <c r="AE21" s="1">
        <v>0.60963699999999998</v>
      </c>
      <c r="AF21">
        <f t="shared" si="17"/>
        <v>54.810024122000002</v>
      </c>
      <c r="AH21" s="1">
        <v>0.31434200000000001</v>
      </c>
      <c r="AI21" s="1">
        <v>0.61589000000000005</v>
      </c>
      <c r="AJ21">
        <f t="shared" si="18"/>
        <v>54.130595357238185</v>
      </c>
      <c r="AL21" s="1">
        <v>0.32870899999999997</v>
      </c>
      <c r="AM21" s="1">
        <v>0.62729500000000005</v>
      </c>
      <c r="AN21">
        <f t="shared" si="19"/>
        <v>53.459946900544239</v>
      </c>
      <c r="AP21" s="134"/>
      <c r="AQ21" s="44"/>
      <c r="AR21" s="137"/>
      <c r="AT21" s="61">
        <f t="shared" si="2"/>
        <v>0</v>
      </c>
      <c r="AU21" s="43">
        <f t="shared" si="20"/>
        <v>0</v>
      </c>
      <c r="AV21" s="35">
        <f t="shared" si="21"/>
        <v>0</v>
      </c>
      <c r="AW21" s="36">
        <f t="shared" si="22"/>
        <v>0</v>
      </c>
      <c r="AX21" s="35">
        <f t="shared" si="4"/>
        <v>0</v>
      </c>
      <c r="AY21" s="62">
        <f t="shared" si="5"/>
        <v>0</v>
      </c>
      <c r="AZ21" s="61">
        <f t="shared" si="6"/>
        <v>0</v>
      </c>
      <c r="BA21" s="43">
        <f t="shared" si="23"/>
        <v>0</v>
      </c>
      <c r="BB21" s="35">
        <f t="shared" si="75"/>
        <v>0</v>
      </c>
      <c r="BC21" s="36">
        <f t="shared" si="25"/>
        <v>0</v>
      </c>
      <c r="BD21" s="35">
        <f t="shared" si="26"/>
        <v>0</v>
      </c>
      <c r="BE21" s="62">
        <f t="shared" si="27"/>
        <v>0</v>
      </c>
      <c r="BF21" s="61">
        <f t="shared" si="28"/>
        <v>0</v>
      </c>
      <c r="BG21" s="43">
        <f t="shared" si="29"/>
        <v>0</v>
      </c>
      <c r="BH21" s="35">
        <f t="shared" si="30"/>
        <v>0</v>
      </c>
      <c r="BI21" s="36">
        <f t="shared" si="31"/>
        <v>0</v>
      </c>
      <c r="BJ21" s="35">
        <f t="shared" si="32"/>
        <v>0</v>
      </c>
      <c r="BK21" s="62">
        <f t="shared" si="33"/>
        <v>0</v>
      </c>
      <c r="BL21" s="61">
        <f t="shared" si="34"/>
        <v>0</v>
      </c>
      <c r="BM21" s="43">
        <f t="shared" si="35"/>
        <v>0</v>
      </c>
      <c r="BN21" s="35">
        <f t="shared" si="36"/>
        <v>0</v>
      </c>
      <c r="BO21" s="36">
        <f t="shared" si="37"/>
        <v>0</v>
      </c>
      <c r="BP21" s="35">
        <f t="shared" si="38"/>
        <v>0</v>
      </c>
      <c r="BQ21" s="62">
        <f t="shared" si="39"/>
        <v>0</v>
      </c>
      <c r="BR21" s="61">
        <f t="shared" si="40"/>
        <v>0</v>
      </c>
      <c r="BS21" s="43">
        <f t="shared" si="41"/>
        <v>0</v>
      </c>
      <c r="BT21" s="35">
        <f t="shared" si="42"/>
        <v>0</v>
      </c>
      <c r="BU21" s="36">
        <f t="shared" si="43"/>
        <v>0</v>
      </c>
      <c r="BV21" s="35">
        <f t="shared" si="44"/>
        <v>0</v>
      </c>
      <c r="BW21" s="62">
        <f t="shared" si="45"/>
        <v>0</v>
      </c>
      <c r="BX21" s="61">
        <f t="shared" si="46"/>
        <v>0</v>
      </c>
      <c r="BY21" s="43">
        <f t="shared" si="47"/>
        <v>0</v>
      </c>
      <c r="BZ21" s="35">
        <f t="shared" si="48"/>
        <v>0</v>
      </c>
      <c r="CA21" s="36">
        <f t="shared" si="49"/>
        <v>0</v>
      </c>
      <c r="CB21" s="35">
        <f t="shared" si="50"/>
        <v>0</v>
      </c>
      <c r="CC21" s="62">
        <f t="shared" si="51"/>
        <v>0</v>
      </c>
      <c r="CD21" s="61">
        <f t="shared" si="52"/>
        <v>0</v>
      </c>
      <c r="CE21" s="43">
        <f t="shared" si="53"/>
        <v>0</v>
      </c>
      <c r="CF21" s="35">
        <f t="shared" si="54"/>
        <v>0</v>
      </c>
      <c r="CG21" s="36">
        <f t="shared" si="55"/>
        <v>0</v>
      </c>
      <c r="CH21" s="35">
        <f t="shared" si="56"/>
        <v>0</v>
      </c>
      <c r="CI21" s="62">
        <f t="shared" si="74"/>
        <v>0</v>
      </c>
      <c r="CJ21" s="61">
        <f t="shared" si="57"/>
        <v>0</v>
      </c>
      <c r="CK21" s="43">
        <f t="shared" si="58"/>
        <v>0</v>
      </c>
      <c r="CL21" s="35">
        <f t="shared" si="59"/>
        <v>0</v>
      </c>
      <c r="CM21" s="36">
        <f t="shared" si="60"/>
        <v>0</v>
      </c>
      <c r="CN21" s="35">
        <f t="shared" si="61"/>
        <v>0</v>
      </c>
      <c r="CO21" s="62">
        <f t="shared" si="62"/>
        <v>0</v>
      </c>
      <c r="CP21" s="61">
        <f t="shared" si="63"/>
        <v>0</v>
      </c>
      <c r="CQ21" s="43">
        <f t="shared" si="64"/>
        <v>0</v>
      </c>
      <c r="CR21" s="35">
        <f t="shared" si="65"/>
        <v>0</v>
      </c>
      <c r="CS21" s="36">
        <f t="shared" si="66"/>
        <v>0</v>
      </c>
      <c r="CT21" s="35">
        <f t="shared" si="1"/>
        <v>0</v>
      </c>
      <c r="CU21" s="62">
        <f t="shared" si="67"/>
        <v>0</v>
      </c>
      <c r="CV21" s="61">
        <f t="shared" si="68"/>
        <v>0</v>
      </c>
      <c r="CW21" s="43">
        <f t="shared" si="69"/>
        <v>0</v>
      </c>
      <c r="CX21" s="35">
        <f t="shared" si="70"/>
        <v>0</v>
      </c>
      <c r="CY21" s="36">
        <f t="shared" si="71"/>
        <v>0</v>
      </c>
      <c r="CZ21" s="35">
        <f t="shared" si="72"/>
        <v>0</v>
      </c>
      <c r="DA21" s="62">
        <f t="shared" si="73"/>
        <v>0</v>
      </c>
    </row>
    <row r="22" spans="2:105" x14ac:dyDescent="0.3">
      <c r="B22" s="1">
        <v>0.29509299999999999</v>
      </c>
      <c r="C22" s="1">
        <v>0.60506499999999996</v>
      </c>
      <c r="D22">
        <f t="shared" si="10"/>
        <v>60.760009103879369</v>
      </c>
      <c r="F22" s="1">
        <v>0.29069800000000001</v>
      </c>
      <c r="G22" s="1">
        <v>0.600769</v>
      </c>
      <c r="H22">
        <f t="shared" si="11"/>
        <v>59.665980906835813</v>
      </c>
      <c r="J22" s="1">
        <v>0.28903499999999999</v>
      </c>
      <c r="K22" s="1">
        <v>0.59557800000000005</v>
      </c>
      <c r="L22">
        <f t="shared" si="12"/>
        <v>58.589965135854271</v>
      </c>
      <c r="N22" s="1">
        <v>0.28764800000000001</v>
      </c>
      <c r="O22" s="1">
        <v>0.59040099999999995</v>
      </c>
      <c r="P22">
        <f t="shared" si="13"/>
        <v>58.080677940040587</v>
      </c>
      <c r="R22" s="1">
        <v>0.28936800000000001</v>
      </c>
      <c r="S22" s="1">
        <v>0.58878299999999995</v>
      </c>
      <c r="T22">
        <f t="shared" si="14"/>
        <v>56.671550153632822</v>
      </c>
      <c r="V22" s="1">
        <v>0.29858099999999999</v>
      </c>
      <c r="W22" s="1">
        <v>0.59383399999999997</v>
      </c>
      <c r="X22">
        <f t="shared" si="15"/>
        <v>55.932062307859312</v>
      </c>
      <c r="Z22" s="1">
        <v>0.30936200000000003</v>
      </c>
      <c r="AA22" s="1">
        <v>0.61524299999999998</v>
      </c>
      <c r="AB22">
        <f t="shared" si="16"/>
        <v>56.570993338378393</v>
      </c>
      <c r="AD22" s="1">
        <v>0.31964599999999999</v>
      </c>
      <c r="AE22" s="1">
        <v>0.621471</v>
      </c>
      <c r="AF22">
        <f t="shared" si="17"/>
        <v>55.873971726000001</v>
      </c>
      <c r="AH22" s="1">
        <v>0.33026800000000001</v>
      </c>
      <c r="AI22" s="1">
        <v>0.62785999999999997</v>
      </c>
      <c r="AJ22">
        <f t="shared" si="18"/>
        <v>55.182639109249322</v>
      </c>
      <c r="AL22" s="1">
        <v>0.34536299999999998</v>
      </c>
      <c r="AM22" s="1">
        <v>0.63952200000000003</v>
      </c>
      <c r="AN22">
        <f t="shared" si="19"/>
        <v>54.501968231421984</v>
      </c>
      <c r="AP22" s="44"/>
      <c r="AQ22" s="44"/>
      <c r="AR22" s="44"/>
      <c r="AT22" s="61">
        <f t="shared" si="2"/>
        <v>0</v>
      </c>
      <c r="AU22" s="43">
        <f t="shared" si="20"/>
        <v>0</v>
      </c>
      <c r="AV22" s="35">
        <f t="shared" si="21"/>
        <v>0</v>
      </c>
      <c r="AW22" s="36">
        <f t="shared" si="22"/>
        <v>0</v>
      </c>
      <c r="AX22" s="35">
        <f t="shared" si="4"/>
        <v>0</v>
      </c>
      <c r="AY22" s="62">
        <f t="shared" si="5"/>
        <v>0</v>
      </c>
      <c r="AZ22" s="61">
        <f t="shared" si="6"/>
        <v>0</v>
      </c>
      <c r="BA22" s="43">
        <f t="shared" si="23"/>
        <v>0</v>
      </c>
      <c r="BB22" s="35">
        <f t="shared" si="75"/>
        <v>0</v>
      </c>
      <c r="BC22" s="36">
        <f t="shared" si="25"/>
        <v>0</v>
      </c>
      <c r="BD22" s="35">
        <f t="shared" si="26"/>
        <v>0</v>
      </c>
      <c r="BE22" s="62">
        <f t="shared" si="27"/>
        <v>0</v>
      </c>
      <c r="BF22" s="61">
        <f t="shared" si="28"/>
        <v>0</v>
      </c>
      <c r="BG22" s="43">
        <f t="shared" si="29"/>
        <v>0</v>
      </c>
      <c r="BH22" s="35">
        <f t="shared" si="30"/>
        <v>0</v>
      </c>
      <c r="BI22" s="36">
        <f t="shared" si="31"/>
        <v>0</v>
      </c>
      <c r="BJ22" s="35">
        <f t="shared" si="32"/>
        <v>0</v>
      </c>
      <c r="BK22" s="62">
        <f t="shared" si="33"/>
        <v>0</v>
      </c>
      <c r="BL22" s="61">
        <f t="shared" si="34"/>
        <v>0</v>
      </c>
      <c r="BM22" s="43">
        <f t="shared" si="35"/>
        <v>0</v>
      </c>
      <c r="BN22" s="35">
        <f t="shared" si="36"/>
        <v>0</v>
      </c>
      <c r="BO22" s="36">
        <f t="shared" si="37"/>
        <v>0</v>
      </c>
      <c r="BP22" s="35">
        <f t="shared" si="38"/>
        <v>0</v>
      </c>
      <c r="BQ22" s="62">
        <f t="shared" si="39"/>
        <v>0</v>
      </c>
      <c r="BR22" s="61">
        <f t="shared" si="40"/>
        <v>0</v>
      </c>
      <c r="BS22" s="43">
        <f t="shared" si="41"/>
        <v>0</v>
      </c>
      <c r="BT22" s="35">
        <f t="shared" si="42"/>
        <v>0</v>
      </c>
      <c r="BU22" s="36">
        <f t="shared" si="43"/>
        <v>0</v>
      </c>
      <c r="BV22" s="35">
        <f t="shared" si="44"/>
        <v>0</v>
      </c>
      <c r="BW22" s="62">
        <f t="shared" si="45"/>
        <v>0</v>
      </c>
      <c r="BX22" s="61">
        <f t="shared" si="46"/>
        <v>0</v>
      </c>
      <c r="BY22" s="43">
        <f t="shared" si="47"/>
        <v>0</v>
      </c>
      <c r="BZ22" s="35">
        <f t="shared" si="48"/>
        <v>0</v>
      </c>
      <c r="CA22" s="36">
        <f t="shared" si="49"/>
        <v>0</v>
      </c>
      <c r="CB22" s="35">
        <f t="shared" si="50"/>
        <v>0</v>
      </c>
      <c r="CC22" s="62">
        <f t="shared" si="51"/>
        <v>0</v>
      </c>
      <c r="CD22" s="61">
        <f t="shared" si="52"/>
        <v>0</v>
      </c>
      <c r="CE22" s="43">
        <f t="shared" si="53"/>
        <v>0</v>
      </c>
      <c r="CF22" s="35">
        <f t="shared" si="54"/>
        <v>0</v>
      </c>
      <c r="CG22" s="36">
        <f t="shared" si="55"/>
        <v>0</v>
      </c>
      <c r="CH22" s="35">
        <f t="shared" si="56"/>
        <v>0</v>
      </c>
      <c r="CI22" s="62">
        <f t="shared" si="74"/>
        <v>0</v>
      </c>
      <c r="CJ22" s="61">
        <f t="shared" si="57"/>
        <v>0</v>
      </c>
      <c r="CK22" s="43">
        <f t="shared" si="58"/>
        <v>0</v>
      </c>
      <c r="CL22" s="35">
        <f t="shared" si="59"/>
        <v>0</v>
      </c>
      <c r="CM22" s="36">
        <f t="shared" si="60"/>
        <v>0</v>
      </c>
      <c r="CN22" s="35">
        <f t="shared" si="61"/>
        <v>0</v>
      </c>
      <c r="CO22" s="62">
        <f t="shared" si="62"/>
        <v>0</v>
      </c>
      <c r="CP22" s="61">
        <f t="shared" si="63"/>
        <v>0</v>
      </c>
      <c r="CQ22" s="43">
        <f t="shared" si="64"/>
        <v>0</v>
      </c>
      <c r="CR22" s="35">
        <f t="shared" si="65"/>
        <v>0</v>
      </c>
      <c r="CS22" s="36">
        <f t="shared" si="66"/>
        <v>0</v>
      </c>
      <c r="CT22" s="35">
        <f t="shared" si="1"/>
        <v>0</v>
      </c>
      <c r="CU22" s="62">
        <f t="shared" si="67"/>
        <v>0</v>
      </c>
      <c r="CV22" s="61">
        <f t="shared" si="68"/>
        <v>0</v>
      </c>
      <c r="CW22" s="43">
        <f t="shared" si="69"/>
        <v>0</v>
      </c>
      <c r="CX22" s="35">
        <f t="shared" si="70"/>
        <v>0</v>
      </c>
      <c r="CY22" s="36">
        <f t="shared" si="71"/>
        <v>0</v>
      </c>
      <c r="CZ22" s="35">
        <f t="shared" si="72"/>
        <v>0</v>
      </c>
      <c r="DA22" s="62">
        <f t="shared" si="73"/>
        <v>0</v>
      </c>
    </row>
    <row r="23" spans="2:105" x14ac:dyDescent="0.3">
      <c r="B23" s="1">
        <v>0.30932199999999999</v>
      </c>
      <c r="C23" s="1">
        <v>0.61465499999999995</v>
      </c>
      <c r="D23">
        <f t="shared" si="10"/>
        <v>61.723027105757183</v>
      </c>
      <c r="F23" s="1">
        <v>0.30471599999999999</v>
      </c>
      <c r="G23" s="1">
        <v>0.61030399999999996</v>
      </c>
      <c r="H23">
        <f t="shared" si="11"/>
        <v>60.612959076392961</v>
      </c>
      <c r="J23" s="1">
        <v>0.30297299999999999</v>
      </c>
      <c r="K23" s="1">
        <v>0.60496099999999997</v>
      </c>
      <c r="L23">
        <f t="shared" si="12"/>
        <v>59.513017436089868</v>
      </c>
      <c r="N23" s="1">
        <v>0.30151800000000001</v>
      </c>
      <c r="O23" s="1">
        <v>0.60008799999999995</v>
      </c>
      <c r="P23">
        <f t="shared" si="13"/>
        <v>59.033636229754144</v>
      </c>
      <c r="R23" s="1">
        <v>0.30332100000000001</v>
      </c>
      <c r="S23" s="1">
        <v>0.59945400000000004</v>
      </c>
      <c r="T23">
        <f t="shared" si="14"/>
        <v>57.698655405804537</v>
      </c>
      <c r="V23" s="1">
        <v>0.31297799999999998</v>
      </c>
      <c r="W23" s="1">
        <v>0.61956900000000004</v>
      </c>
      <c r="X23">
        <f t="shared" si="15"/>
        <v>58.355991593640802</v>
      </c>
      <c r="Z23" s="1">
        <v>0.32427899999999998</v>
      </c>
      <c r="AA23" s="1">
        <v>0.62670599999999999</v>
      </c>
      <c r="AB23">
        <f t="shared" si="16"/>
        <v>57.625004999848464</v>
      </c>
      <c r="AD23" s="1">
        <v>0.33506000000000002</v>
      </c>
      <c r="AE23" s="1">
        <v>0.63306099999999998</v>
      </c>
      <c r="AF23">
        <f t="shared" si="17"/>
        <v>56.915982266</v>
      </c>
      <c r="AH23" s="1">
        <v>0.34619299999999997</v>
      </c>
      <c r="AI23" s="1">
        <v>0.63965899999999998</v>
      </c>
      <c r="AJ23">
        <f t="shared" si="18"/>
        <v>56.219653664803161</v>
      </c>
      <c r="AL23" s="1">
        <v>0.362016</v>
      </c>
      <c r="AM23" s="1">
        <v>0.65157299999999996</v>
      </c>
      <c r="AN23">
        <f t="shared" si="19"/>
        <v>55.528990318475849</v>
      </c>
      <c r="AP23" s="44"/>
      <c r="AQ23" s="44"/>
      <c r="AR23" s="44"/>
      <c r="AT23" s="61">
        <f t="shared" si="2"/>
        <v>0</v>
      </c>
      <c r="AU23" s="43">
        <f t="shared" si="20"/>
        <v>0</v>
      </c>
      <c r="AV23" s="35">
        <f t="shared" si="21"/>
        <v>0</v>
      </c>
      <c r="AW23" s="36">
        <f t="shared" si="22"/>
        <v>0</v>
      </c>
      <c r="AX23" s="35">
        <f t="shared" si="4"/>
        <v>0</v>
      </c>
      <c r="AY23" s="62">
        <f t="shared" si="5"/>
        <v>0</v>
      </c>
      <c r="AZ23" s="61">
        <f t="shared" si="6"/>
        <v>0</v>
      </c>
      <c r="BA23" s="43">
        <f t="shared" si="23"/>
        <v>0</v>
      </c>
      <c r="BB23" s="35">
        <f t="shared" si="75"/>
        <v>0</v>
      </c>
      <c r="BC23" s="36">
        <f t="shared" si="25"/>
        <v>0</v>
      </c>
      <c r="BD23" s="35">
        <f t="shared" si="26"/>
        <v>0</v>
      </c>
      <c r="BE23" s="62">
        <f t="shared" si="27"/>
        <v>0</v>
      </c>
      <c r="BF23" s="61">
        <f t="shared" si="28"/>
        <v>0</v>
      </c>
      <c r="BG23" s="43">
        <f t="shared" si="29"/>
        <v>0</v>
      </c>
      <c r="BH23" s="35">
        <f t="shared" si="30"/>
        <v>0</v>
      </c>
      <c r="BI23" s="36">
        <f t="shared" si="31"/>
        <v>0</v>
      </c>
      <c r="BJ23" s="35">
        <f t="shared" si="32"/>
        <v>0</v>
      </c>
      <c r="BK23" s="62">
        <f t="shared" si="33"/>
        <v>0</v>
      </c>
      <c r="BL23" s="61">
        <f t="shared" si="34"/>
        <v>0</v>
      </c>
      <c r="BM23" s="43">
        <f t="shared" si="35"/>
        <v>0</v>
      </c>
      <c r="BN23" s="35">
        <f t="shared" si="36"/>
        <v>0</v>
      </c>
      <c r="BO23" s="36">
        <f t="shared" si="37"/>
        <v>0</v>
      </c>
      <c r="BP23" s="35">
        <f t="shared" si="38"/>
        <v>0</v>
      </c>
      <c r="BQ23" s="62">
        <f t="shared" si="39"/>
        <v>0</v>
      </c>
      <c r="BR23" s="61">
        <f t="shared" si="40"/>
        <v>0</v>
      </c>
      <c r="BS23" s="43">
        <f t="shared" si="41"/>
        <v>0</v>
      </c>
      <c r="BT23" s="35">
        <f t="shared" si="42"/>
        <v>0</v>
      </c>
      <c r="BU23" s="36">
        <f t="shared" si="43"/>
        <v>0</v>
      </c>
      <c r="BV23" s="35">
        <f t="shared" si="44"/>
        <v>0</v>
      </c>
      <c r="BW23" s="62">
        <f t="shared" si="45"/>
        <v>0</v>
      </c>
      <c r="BX23" s="61">
        <f t="shared" si="46"/>
        <v>0</v>
      </c>
      <c r="BY23" s="43">
        <f t="shared" si="47"/>
        <v>0</v>
      </c>
      <c r="BZ23" s="35">
        <f t="shared" si="48"/>
        <v>0</v>
      </c>
      <c r="CA23" s="36">
        <f t="shared" si="49"/>
        <v>0</v>
      </c>
      <c r="CB23" s="35">
        <f t="shared" si="50"/>
        <v>0</v>
      </c>
      <c r="CC23" s="62">
        <f t="shared" si="51"/>
        <v>0</v>
      </c>
      <c r="CD23" s="61">
        <f t="shared" si="52"/>
        <v>0</v>
      </c>
      <c r="CE23" s="43">
        <f t="shared" si="53"/>
        <v>0</v>
      </c>
      <c r="CF23" s="35">
        <f t="shared" si="54"/>
        <v>0</v>
      </c>
      <c r="CG23" s="36">
        <f t="shared" si="55"/>
        <v>0</v>
      </c>
      <c r="CH23" s="35">
        <f t="shared" si="56"/>
        <v>0</v>
      </c>
      <c r="CI23" s="62">
        <f t="shared" si="74"/>
        <v>0</v>
      </c>
      <c r="CJ23" s="61">
        <f t="shared" si="57"/>
        <v>0</v>
      </c>
      <c r="CK23" s="43">
        <f t="shared" si="58"/>
        <v>0</v>
      </c>
      <c r="CL23" s="35">
        <f t="shared" si="59"/>
        <v>0</v>
      </c>
      <c r="CM23" s="36">
        <f t="shared" si="60"/>
        <v>0</v>
      </c>
      <c r="CN23" s="35">
        <f t="shared" si="61"/>
        <v>0</v>
      </c>
      <c r="CO23" s="62">
        <f t="shared" si="62"/>
        <v>0</v>
      </c>
      <c r="CP23" s="61">
        <f t="shared" si="63"/>
        <v>0</v>
      </c>
      <c r="CQ23" s="43">
        <f t="shared" si="64"/>
        <v>0</v>
      </c>
      <c r="CR23" s="35">
        <f t="shared" si="65"/>
        <v>0</v>
      </c>
      <c r="CS23" s="36">
        <f t="shared" si="66"/>
        <v>0</v>
      </c>
      <c r="CT23" s="35">
        <f t="shared" si="1"/>
        <v>0</v>
      </c>
      <c r="CU23" s="62">
        <f t="shared" si="67"/>
        <v>0</v>
      </c>
      <c r="CV23" s="61">
        <f t="shared" si="68"/>
        <v>0</v>
      </c>
      <c r="CW23" s="43">
        <f t="shared" si="69"/>
        <v>0</v>
      </c>
      <c r="CX23" s="35">
        <f t="shared" si="70"/>
        <v>0</v>
      </c>
      <c r="CY23" s="36">
        <f t="shared" si="71"/>
        <v>0</v>
      </c>
      <c r="CZ23" s="35">
        <f t="shared" si="72"/>
        <v>0</v>
      </c>
      <c r="DA23" s="62">
        <f t="shared" si="73"/>
        <v>0</v>
      </c>
    </row>
    <row r="24" spans="2:105" x14ac:dyDescent="0.3">
      <c r="B24" s="1">
        <v>0.32355099999999998</v>
      </c>
      <c r="C24" s="1">
        <v>0.62372700000000003</v>
      </c>
      <c r="D24">
        <f t="shared" si="10"/>
        <v>62.634028076876646</v>
      </c>
      <c r="F24" s="1">
        <v>0.31873299999999999</v>
      </c>
      <c r="G24" s="1">
        <v>0.61932600000000004</v>
      </c>
      <c r="H24">
        <f t="shared" si="11"/>
        <v>61.508988132055748</v>
      </c>
      <c r="J24" s="1">
        <v>0.31691000000000003</v>
      </c>
      <c r="K24" s="1">
        <v>0.613896</v>
      </c>
      <c r="L24">
        <f t="shared" si="12"/>
        <v>60.391997751831653</v>
      </c>
      <c r="N24" s="1">
        <v>0.315388</v>
      </c>
      <c r="O24" s="1">
        <v>0.61033999999999999</v>
      </c>
      <c r="P24">
        <f t="shared" si="13"/>
        <v>60.042176374911925</v>
      </c>
      <c r="R24" s="1">
        <v>0.317274</v>
      </c>
      <c r="S24" s="1">
        <v>0.60984300000000002</v>
      </c>
      <c r="T24">
        <f t="shared" si="14"/>
        <v>58.698617589743428</v>
      </c>
      <c r="V24" s="1">
        <v>0.32737500000000003</v>
      </c>
      <c r="W24" s="1">
        <v>0.630494</v>
      </c>
      <c r="X24">
        <f t="shared" si="15"/>
        <v>59.384995963066196</v>
      </c>
      <c r="Z24" s="1">
        <v>0.339196</v>
      </c>
      <c r="AA24" s="1">
        <v>0.63791900000000001</v>
      </c>
      <c r="AB24">
        <f t="shared" si="16"/>
        <v>58.656029405332539</v>
      </c>
      <c r="AD24" s="1">
        <v>0.35047299999999998</v>
      </c>
      <c r="AE24" s="1">
        <v>0.64447299999999996</v>
      </c>
      <c r="AF24">
        <f t="shared" si="17"/>
        <v>57.941989538000001</v>
      </c>
      <c r="AH24" s="1">
        <v>0.36211900000000002</v>
      </c>
      <c r="AI24" s="1">
        <v>0.65125299999999997</v>
      </c>
      <c r="AJ24">
        <f t="shared" si="18"/>
        <v>57.238650762615784</v>
      </c>
      <c r="AL24" s="1">
        <v>0.37866899999999998</v>
      </c>
      <c r="AM24" s="1">
        <v>0.662744</v>
      </c>
      <c r="AN24">
        <f t="shared" si="19"/>
        <v>56.481016186410365</v>
      </c>
      <c r="AP24" s="44"/>
      <c r="AQ24" s="44"/>
      <c r="AR24" s="44"/>
      <c r="AT24" s="61">
        <f t="shared" si="2"/>
        <v>0</v>
      </c>
      <c r="AU24" s="43">
        <f t="shared" si="20"/>
        <v>0</v>
      </c>
      <c r="AV24" s="35">
        <f t="shared" si="21"/>
        <v>0</v>
      </c>
      <c r="AW24" s="36">
        <f t="shared" si="22"/>
        <v>0</v>
      </c>
      <c r="AX24" s="35">
        <f t="shared" si="4"/>
        <v>0</v>
      </c>
      <c r="AY24" s="62">
        <f t="shared" si="5"/>
        <v>0</v>
      </c>
      <c r="AZ24" s="61">
        <f t="shared" si="6"/>
        <v>0</v>
      </c>
      <c r="BA24" s="43">
        <f t="shared" si="23"/>
        <v>0</v>
      </c>
      <c r="BB24" s="35">
        <f t="shared" si="75"/>
        <v>0</v>
      </c>
      <c r="BC24" s="36">
        <f t="shared" si="25"/>
        <v>0</v>
      </c>
      <c r="BD24" s="35">
        <f t="shared" si="26"/>
        <v>0</v>
      </c>
      <c r="BE24" s="62">
        <f t="shared" si="27"/>
        <v>0</v>
      </c>
      <c r="BF24" s="61">
        <f t="shared" si="28"/>
        <v>0</v>
      </c>
      <c r="BG24" s="43">
        <f t="shared" si="29"/>
        <v>0</v>
      </c>
      <c r="BH24" s="35">
        <f t="shared" si="30"/>
        <v>0</v>
      </c>
      <c r="BI24" s="36">
        <f t="shared" si="31"/>
        <v>0</v>
      </c>
      <c r="BJ24" s="35">
        <f t="shared" si="32"/>
        <v>0</v>
      </c>
      <c r="BK24" s="62">
        <f t="shared" si="33"/>
        <v>0</v>
      </c>
      <c r="BL24" s="61">
        <f t="shared" si="34"/>
        <v>0</v>
      </c>
      <c r="BM24" s="43">
        <f t="shared" si="35"/>
        <v>0</v>
      </c>
      <c r="BN24" s="35">
        <f t="shared" si="36"/>
        <v>0</v>
      </c>
      <c r="BO24" s="36">
        <f t="shared" si="37"/>
        <v>0</v>
      </c>
      <c r="BP24" s="35">
        <f t="shared" si="38"/>
        <v>0</v>
      </c>
      <c r="BQ24" s="62">
        <f t="shared" si="39"/>
        <v>0</v>
      </c>
      <c r="BR24" s="61">
        <f t="shared" si="40"/>
        <v>0</v>
      </c>
      <c r="BS24" s="43">
        <f t="shared" si="41"/>
        <v>0</v>
      </c>
      <c r="BT24" s="35">
        <f t="shared" si="42"/>
        <v>0</v>
      </c>
      <c r="BU24" s="36">
        <f t="shared" si="43"/>
        <v>0</v>
      </c>
      <c r="BV24" s="35">
        <f t="shared" si="44"/>
        <v>0</v>
      </c>
      <c r="BW24" s="62">
        <f t="shared" si="45"/>
        <v>0</v>
      </c>
      <c r="BX24" s="61">
        <f t="shared" si="46"/>
        <v>0</v>
      </c>
      <c r="BY24" s="43">
        <f t="shared" si="47"/>
        <v>0</v>
      </c>
      <c r="BZ24" s="35">
        <f t="shared" si="48"/>
        <v>0</v>
      </c>
      <c r="CA24" s="36">
        <f t="shared" si="49"/>
        <v>0</v>
      </c>
      <c r="CB24" s="35">
        <f t="shared" si="50"/>
        <v>0</v>
      </c>
      <c r="CC24" s="62">
        <f t="shared" si="51"/>
        <v>0</v>
      </c>
      <c r="CD24" s="61">
        <f t="shared" si="52"/>
        <v>0</v>
      </c>
      <c r="CE24" s="43">
        <f t="shared" si="53"/>
        <v>0</v>
      </c>
      <c r="CF24" s="35">
        <f t="shared" si="54"/>
        <v>0</v>
      </c>
      <c r="CG24" s="36">
        <f t="shared" si="55"/>
        <v>0</v>
      </c>
      <c r="CH24" s="35">
        <f t="shared" si="56"/>
        <v>0</v>
      </c>
      <c r="CI24" s="62">
        <f t="shared" si="74"/>
        <v>0</v>
      </c>
      <c r="CJ24" s="61">
        <f t="shared" si="57"/>
        <v>0</v>
      </c>
      <c r="CK24" s="43">
        <f t="shared" si="58"/>
        <v>0</v>
      </c>
      <c r="CL24" s="35">
        <f t="shared" si="59"/>
        <v>0</v>
      </c>
      <c r="CM24" s="36">
        <f t="shared" si="60"/>
        <v>0</v>
      </c>
      <c r="CN24" s="35">
        <f t="shared" si="61"/>
        <v>0</v>
      </c>
      <c r="CO24" s="62">
        <f t="shared" si="62"/>
        <v>0</v>
      </c>
      <c r="CP24" s="61">
        <f t="shared" si="63"/>
        <v>0</v>
      </c>
      <c r="CQ24" s="43">
        <f t="shared" si="64"/>
        <v>0</v>
      </c>
      <c r="CR24" s="35">
        <f t="shared" si="65"/>
        <v>0</v>
      </c>
      <c r="CS24" s="36">
        <f t="shared" si="66"/>
        <v>0</v>
      </c>
      <c r="CT24" s="35">
        <f t="shared" si="1"/>
        <v>0</v>
      </c>
      <c r="CU24" s="62">
        <f t="shared" si="67"/>
        <v>0</v>
      </c>
      <c r="CV24" s="61">
        <f t="shared" si="68"/>
        <v>0</v>
      </c>
      <c r="CW24" s="43">
        <f t="shared" si="69"/>
        <v>0</v>
      </c>
      <c r="CX24" s="35">
        <f t="shared" si="70"/>
        <v>0</v>
      </c>
      <c r="CY24" s="36">
        <f t="shared" si="71"/>
        <v>0</v>
      </c>
      <c r="CZ24" s="35">
        <f t="shared" si="72"/>
        <v>0</v>
      </c>
      <c r="DA24" s="62">
        <f t="shared" si="73"/>
        <v>0</v>
      </c>
    </row>
    <row r="25" spans="2:105" x14ac:dyDescent="0.3">
      <c r="B25" s="1">
        <v>0.337781</v>
      </c>
      <c r="C25" s="1">
        <v>0.63275899999999996</v>
      </c>
      <c r="D25">
        <f t="shared" si="10"/>
        <v>63.541012288864181</v>
      </c>
      <c r="F25" s="1">
        <v>0.33274999999999999</v>
      </c>
      <c r="G25" s="1">
        <v>0.62814700000000001</v>
      </c>
      <c r="H25">
        <f t="shared" si="11"/>
        <v>62.385054669409037</v>
      </c>
      <c r="J25" s="1">
        <v>0.330847</v>
      </c>
      <c r="K25" s="1">
        <v>0.62293299999999996</v>
      </c>
      <c r="L25">
        <f t="shared" si="12"/>
        <v>61.281012314043004</v>
      </c>
      <c r="N25" s="1">
        <v>0.32925900000000002</v>
      </c>
      <c r="O25" s="1">
        <v>0.620479</v>
      </c>
      <c r="P25">
        <f t="shared" si="13"/>
        <v>61.03960014898086</v>
      </c>
      <c r="R25" s="1">
        <v>0.33122800000000002</v>
      </c>
      <c r="S25" s="1">
        <v>0.63522500000000004</v>
      </c>
      <c r="T25">
        <f t="shared" si="14"/>
        <v>61.141686234727253</v>
      </c>
      <c r="V25" s="1">
        <v>0.34177299999999999</v>
      </c>
      <c r="W25" s="1">
        <v>0.64103699999999997</v>
      </c>
      <c r="X25">
        <f t="shared" si="15"/>
        <v>60.378020500077817</v>
      </c>
      <c r="Z25" s="1">
        <v>0.35411399999999998</v>
      </c>
      <c r="AA25" s="1">
        <v>0.64863099999999996</v>
      </c>
      <c r="AB25">
        <f t="shared" si="16"/>
        <v>59.640987349820662</v>
      </c>
      <c r="AD25" s="1">
        <v>0.36588599999999999</v>
      </c>
      <c r="AE25" s="1">
        <v>0.655362</v>
      </c>
      <c r="AF25">
        <f t="shared" si="17"/>
        <v>58.920975972000001</v>
      </c>
      <c r="AH25" s="1">
        <v>0.37804399999999999</v>
      </c>
      <c r="AI25" s="1">
        <v>0.66233500000000001</v>
      </c>
      <c r="AJ25">
        <f t="shared" si="18"/>
        <v>58.212648161094272</v>
      </c>
      <c r="AL25" s="1">
        <v>0.39532200000000001</v>
      </c>
      <c r="AM25" s="1">
        <v>0.67259999999999998</v>
      </c>
      <c r="AN25">
        <f t="shared" si="19"/>
        <v>57.320973840547197</v>
      </c>
      <c r="AT25" s="61">
        <f t="shared" si="2"/>
        <v>0</v>
      </c>
      <c r="AU25" s="43">
        <f t="shared" si="20"/>
        <v>0</v>
      </c>
      <c r="AV25" s="35">
        <f t="shared" si="21"/>
        <v>0</v>
      </c>
      <c r="AW25" s="36">
        <f t="shared" si="22"/>
        <v>0</v>
      </c>
      <c r="AX25" s="35">
        <f t="shared" si="4"/>
        <v>0</v>
      </c>
      <c r="AY25" s="62">
        <f t="shared" si="5"/>
        <v>0</v>
      </c>
      <c r="AZ25" s="61">
        <f t="shared" si="6"/>
        <v>0</v>
      </c>
      <c r="BA25" s="43">
        <f t="shared" si="23"/>
        <v>0</v>
      </c>
      <c r="BB25" s="35">
        <f t="shared" si="75"/>
        <v>0</v>
      </c>
      <c r="BC25" s="36">
        <f t="shared" si="25"/>
        <v>0</v>
      </c>
      <c r="BD25" s="35">
        <f t="shared" si="26"/>
        <v>0</v>
      </c>
      <c r="BE25" s="62">
        <f t="shared" si="27"/>
        <v>0</v>
      </c>
      <c r="BF25" s="61">
        <f t="shared" si="28"/>
        <v>0</v>
      </c>
      <c r="BG25" s="43">
        <f t="shared" si="29"/>
        <v>0</v>
      </c>
      <c r="BH25" s="35">
        <f t="shared" si="30"/>
        <v>0</v>
      </c>
      <c r="BI25" s="36">
        <f t="shared" si="31"/>
        <v>0</v>
      </c>
      <c r="BJ25" s="35">
        <f t="shared" si="32"/>
        <v>0</v>
      </c>
      <c r="BK25" s="62">
        <f t="shared" si="33"/>
        <v>0</v>
      </c>
      <c r="BL25" s="61">
        <f t="shared" si="34"/>
        <v>0</v>
      </c>
      <c r="BM25" s="43">
        <f t="shared" si="35"/>
        <v>0</v>
      </c>
      <c r="BN25" s="35">
        <f t="shared" si="36"/>
        <v>0</v>
      </c>
      <c r="BO25" s="36">
        <f t="shared" si="37"/>
        <v>0</v>
      </c>
      <c r="BP25" s="35">
        <f t="shared" si="38"/>
        <v>0</v>
      </c>
      <c r="BQ25" s="62">
        <f t="shared" si="39"/>
        <v>0</v>
      </c>
      <c r="BR25" s="61">
        <f t="shared" si="40"/>
        <v>0</v>
      </c>
      <c r="BS25" s="43">
        <f t="shared" si="41"/>
        <v>0</v>
      </c>
      <c r="BT25" s="35">
        <f t="shared" si="42"/>
        <v>0</v>
      </c>
      <c r="BU25" s="36">
        <f t="shared" si="43"/>
        <v>0</v>
      </c>
      <c r="BV25" s="35">
        <f t="shared" si="44"/>
        <v>0</v>
      </c>
      <c r="BW25" s="62">
        <f t="shared" si="45"/>
        <v>0</v>
      </c>
      <c r="BX25" s="61">
        <f t="shared" si="46"/>
        <v>0</v>
      </c>
      <c r="BY25" s="43">
        <f t="shared" si="47"/>
        <v>0</v>
      </c>
      <c r="BZ25" s="35">
        <f t="shared" si="48"/>
        <v>0</v>
      </c>
      <c r="CA25" s="36">
        <f t="shared" si="49"/>
        <v>0</v>
      </c>
      <c r="CB25" s="35">
        <f t="shared" si="50"/>
        <v>0</v>
      </c>
      <c r="CC25" s="62">
        <f t="shared" si="51"/>
        <v>0</v>
      </c>
      <c r="CD25" s="61">
        <f t="shared" si="52"/>
        <v>0</v>
      </c>
      <c r="CE25" s="43">
        <f t="shared" si="53"/>
        <v>0</v>
      </c>
      <c r="CF25" s="35">
        <f t="shared" si="54"/>
        <v>0</v>
      </c>
      <c r="CG25" s="36">
        <f t="shared" si="55"/>
        <v>0</v>
      </c>
      <c r="CH25" s="35">
        <f t="shared" si="56"/>
        <v>0</v>
      </c>
      <c r="CI25" s="62">
        <f t="shared" si="74"/>
        <v>0</v>
      </c>
      <c r="CJ25" s="61">
        <f t="shared" si="57"/>
        <v>0</v>
      </c>
      <c r="CK25" s="43">
        <f t="shared" si="58"/>
        <v>0</v>
      </c>
      <c r="CL25" s="35">
        <f t="shared" si="59"/>
        <v>0</v>
      </c>
      <c r="CM25" s="36">
        <f t="shared" si="60"/>
        <v>0</v>
      </c>
      <c r="CN25" s="35">
        <f t="shared" si="61"/>
        <v>0</v>
      </c>
      <c r="CO25" s="62">
        <f t="shared" si="62"/>
        <v>0</v>
      </c>
      <c r="CP25" s="61">
        <f t="shared" si="63"/>
        <v>0</v>
      </c>
      <c r="CQ25" s="43">
        <f t="shared" si="64"/>
        <v>0</v>
      </c>
      <c r="CR25" s="35">
        <f t="shared" si="65"/>
        <v>0</v>
      </c>
      <c r="CS25" s="36">
        <f t="shared" si="66"/>
        <v>0</v>
      </c>
      <c r="CT25" s="35">
        <f t="shared" si="1"/>
        <v>0</v>
      </c>
      <c r="CU25" s="62">
        <f t="shared" si="67"/>
        <v>0</v>
      </c>
      <c r="CV25" s="61">
        <f t="shared" si="68"/>
        <v>0</v>
      </c>
      <c r="CW25" s="43">
        <f t="shared" si="69"/>
        <v>0</v>
      </c>
      <c r="CX25" s="35">
        <f t="shared" si="70"/>
        <v>0</v>
      </c>
      <c r="CY25" s="36">
        <f t="shared" si="71"/>
        <v>0</v>
      </c>
      <c r="CZ25" s="35">
        <f t="shared" si="72"/>
        <v>0</v>
      </c>
      <c r="DA25" s="62">
        <f t="shared" si="73"/>
        <v>0</v>
      </c>
    </row>
    <row r="26" spans="2:105" x14ac:dyDescent="0.3">
      <c r="B26" s="1">
        <v>0.35200999999999999</v>
      </c>
      <c r="C26" s="1">
        <v>0.64172099999999999</v>
      </c>
      <c r="D26">
        <f t="shared" si="10"/>
        <v>64.440967172370861</v>
      </c>
      <c r="F26" s="1">
        <v>0.34676800000000002</v>
      </c>
      <c r="G26" s="1">
        <v>0.63700699999999999</v>
      </c>
      <c r="H26">
        <f t="shared" si="11"/>
        <v>63.264994531210434</v>
      </c>
      <c r="J26" s="1">
        <v>0.34478399999999998</v>
      </c>
      <c r="K26" s="1">
        <v>0.63305699999999998</v>
      </c>
      <c r="L26">
        <f t="shared" si="12"/>
        <v>62.27696046363112</v>
      </c>
      <c r="N26" s="1">
        <v>0.34312900000000002</v>
      </c>
      <c r="O26" s="1">
        <v>0.63064900000000002</v>
      </c>
      <c r="P26">
        <f t="shared" si="13"/>
        <v>62.040073546976821</v>
      </c>
      <c r="R26" s="1">
        <v>0.34518100000000002</v>
      </c>
      <c r="S26" s="1">
        <v>0.64552100000000001</v>
      </c>
      <c r="T26">
        <f t="shared" si="14"/>
        <v>62.132696981270207</v>
      </c>
      <c r="V26" s="1">
        <v>0.35616999999999999</v>
      </c>
      <c r="W26" s="1">
        <v>0.65148399999999995</v>
      </c>
      <c r="X26">
        <f t="shared" si="15"/>
        <v>61.362002984964512</v>
      </c>
      <c r="Z26" s="1">
        <v>0.369031</v>
      </c>
      <c r="AA26" s="1">
        <v>0.65921300000000005</v>
      </c>
      <c r="AB26">
        <f t="shared" si="16"/>
        <v>60.613991921196082</v>
      </c>
      <c r="AD26" s="1">
        <v>0.381299</v>
      </c>
      <c r="AE26" s="1">
        <v>0.66608500000000004</v>
      </c>
      <c r="AF26">
        <f t="shared" si="17"/>
        <v>59.885038010000009</v>
      </c>
      <c r="AH26" s="1">
        <v>0.39396900000000001</v>
      </c>
      <c r="AI26" s="1">
        <v>0.67240500000000003</v>
      </c>
      <c r="AJ26">
        <f t="shared" si="18"/>
        <v>59.097700841357614</v>
      </c>
      <c r="AL26" s="1">
        <v>0.41197600000000001</v>
      </c>
      <c r="AM26" s="1">
        <v>0.68199900000000002</v>
      </c>
      <c r="AN26">
        <f t="shared" si="19"/>
        <v>58.121984594527724</v>
      </c>
      <c r="AT26" s="61">
        <f t="shared" si="2"/>
        <v>0</v>
      </c>
      <c r="AU26" s="43">
        <f t="shared" si="20"/>
        <v>0</v>
      </c>
      <c r="AV26" s="35">
        <f t="shared" si="21"/>
        <v>0</v>
      </c>
      <c r="AW26" s="36">
        <f t="shared" si="22"/>
        <v>0</v>
      </c>
      <c r="AX26" s="35">
        <f t="shared" si="4"/>
        <v>0</v>
      </c>
      <c r="AY26" s="62">
        <f t="shared" si="5"/>
        <v>0</v>
      </c>
      <c r="AZ26" s="61">
        <f t="shared" si="6"/>
        <v>0</v>
      </c>
      <c r="BA26" s="43">
        <f t="shared" si="23"/>
        <v>0</v>
      </c>
      <c r="BB26" s="35">
        <f t="shared" si="75"/>
        <v>0</v>
      </c>
      <c r="BC26" s="36">
        <f t="shared" si="25"/>
        <v>0</v>
      </c>
      <c r="BD26" s="35">
        <f t="shared" si="26"/>
        <v>0</v>
      </c>
      <c r="BE26" s="62">
        <f t="shared" si="27"/>
        <v>0</v>
      </c>
      <c r="BF26" s="61">
        <f t="shared" si="28"/>
        <v>0</v>
      </c>
      <c r="BG26" s="43">
        <f t="shared" si="29"/>
        <v>0</v>
      </c>
      <c r="BH26" s="35">
        <f t="shared" si="30"/>
        <v>0</v>
      </c>
      <c r="BI26" s="36">
        <f t="shared" si="31"/>
        <v>0</v>
      </c>
      <c r="BJ26" s="35">
        <f t="shared" si="32"/>
        <v>0</v>
      </c>
      <c r="BK26" s="62">
        <f t="shared" si="33"/>
        <v>0</v>
      </c>
      <c r="BL26" s="61">
        <f t="shared" si="34"/>
        <v>0</v>
      </c>
      <c r="BM26" s="43">
        <f t="shared" si="35"/>
        <v>0</v>
      </c>
      <c r="BN26" s="35">
        <f t="shared" si="36"/>
        <v>0</v>
      </c>
      <c r="BO26" s="36">
        <f t="shared" si="37"/>
        <v>0</v>
      </c>
      <c r="BP26" s="35">
        <f t="shared" si="38"/>
        <v>0</v>
      </c>
      <c r="BQ26" s="62">
        <f t="shared" si="39"/>
        <v>0</v>
      </c>
      <c r="BR26" s="61">
        <f t="shared" si="40"/>
        <v>0</v>
      </c>
      <c r="BS26" s="43">
        <f t="shared" si="41"/>
        <v>0</v>
      </c>
      <c r="BT26" s="35">
        <f t="shared" si="42"/>
        <v>0</v>
      </c>
      <c r="BU26" s="36">
        <f t="shared" si="43"/>
        <v>0</v>
      </c>
      <c r="BV26" s="35">
        <f t="shared" si="44"/>
        <v>0</v>
      </c>
      <c r="BW26" s="62">
        <f t="shared" si="45"/>
        <v>0</v>
      </c>
      <c r="BX26" s="61">
        <f t="shared" si="46"/>
        <v>0</v>
      </c>
      <c r="BY26" s="43">
        <f t="shared" si="47"/>
        <v>0</v>
      </c>
      <c r="BZ26" s="35">
        <f t="shared" si="48"/>
        <v>0</v>
      </c>
      <c r="CA26" s="36">
        <f t="shared" si="49"/>
        <v>0</v>
      </c>
      <c r="CB26" s="35">
        <f t="shared" si="50"/>
        <v>0</v>
      </c>
      <c r="CC26" s="62">
        <f t="shared" si="51"/>
        <v>0</v>
      </c>
      <c r="CD26" s="61">
        <f t="shared" si="52"/>
        <v>0</v>
      </c>
      <c r="CE26" s="43">
        <f t="shared" si="53"/>
        <v>0</v>
      </c>
      <c r="CF26" s="35">
        <f t="shared" si="54"/>
        <v>0</v>
      </c>
      <c r="CG26" s="36">
        <f t="shared" si="55"/>
        <v>0</v>
      </c>
      <c r="CH26" s="35">
        <f t="shared" si="56"/>
        <v>0</v>
      </c>
      <c r="CI26" s="62">
        <f t="shared" si="74"/>
        <v>0</v>
      </c>
      <c r="CJ26" s="61">
        <f t="shared" si="57"/>
        <v>0</v>
      </c>
      <c r="CK26" s="43">
        <f t="shared" si="58"/>
        <v>0</v>
      </c>
      <c r="CL26" s="35">
        <f t="shared" si="59"/>
        <v>0</v>
      </c>
      <c r="CM26" s="36">
        <f t="shared" si="60"/>
        <v>0</v>
      </c>
      <c r="CN26" s="35">
        <f t="shared" si="61"/>
        <v>0</v>
      </c>
      <c r="CO26" s="62">
        <f t="shared" si="62"/>
        <v>0</v>
      </c>
      <c r="CP26" s="61">
        <f t="shared" si="63"/>
        <v>0</v>
      </c>
      <c r="CQ26" s="43">
        <f t="shared" si="64"/>
        <v>0</v>
      </c>
      <c r="CR26" s="35">
        <f t="shared" si="65"/>
        <v>0</v>
      </c>
      <c r="CS26" s="36">
        <f t="shared" si="66"/>
        <v>0</v>
      </c>
      <c r="CT26" s="35">
        <f t="shared" si="1"/>
        <v>0</v>
      </c>
      <c r="CU26" s="62">
        <f t="shared" si="67"/>
        <v>0</v>
      </c>
      <c r="CV26" s="61">
        <f t="shared" si="68"/>
        <v>0</v>
      </c>
      <c r="CW26" s="43">
        <f t="shared" si="69"/>
        <v>0</v>
      </c>
      <c r="CX26" s="35">
        <f t="shared" si="70"/>
        <v>0</v>
      </c>
      <c r="CY26" s="36">
        <f t="shared" si="71"/>
        <v>0</v>
      </c>
      <c r="CZ26" s="35">
        <f t="shared" si="72"/>
        <v>0</v>
      </c>
      <c r="DA26" s="62">
        <f t="shared" si="73"/>
        <v>0</v>
      </c>
    </row>
    <row r="27" spans="2:105" x14ac:dyDescent="0.3">
      <c r="B27" s="1">
        <v>0.36620999999999998</v>
      </c>
      <c r="C27" s="1">
        <v>0.65051400000000004</v>
      </c>
      <c r="D27">
        <f t="shared" si="10"/>
        <v>65.323951248545171</v>
      </c>
      <c r="F27" s="1">
        <v>0.36075699999999999</v>
      </c>
      <c r="G27" s="1">
        <v>0.64568599999999998</v>
      </c>
      <c r="H27">
        <f t="shared" si="11"/>
        <v>64.126958194932143</v>
      </c>
      <c r="J27" s="1">
        <v>0.35869299999999998</v>
      </c>
      <c r="K27" s="1">
        <v>0.64302899999999996</v>
      </c>
      <c r="L27">
        <f t="shared" si="12"/>
        <v>63.257955618480253</v>
      </c>
      <c r="N27" s="1">
        <v>0.35697099999999998</v>
      </c>
      <c r="O27" s="1">
        <v>0.65606900000000001</v>
      </c>
      <c r="P27">
        <f t="shared" si="13"/>
        <v>64.540765167139782</v>
      </c>
      <c r="R27" s="1">
        <v>0.35910599999999998</v>
      </c>
      <c r="S27" s="1">
        <v>0.65579600000000005</v>
      </c>
      <c r="T27">
        <f t="shared" si="14"/>
        <v>63.121686435497963</v>
      </c>
      <c r="V27" s="1">
        <v>0.37053900000000001</v>
      </c>
      <c r="W27" s="1">
        <v>0.66191</v>
      </c>
      <c r="X27">
        <f t="shared" si="15"/>
        <v>62.344007520948885</v>
      </c>
      <c r="Z27" s="1">
        <v>0.38391799999999998</v>
      </c>
      <c r="AA27" s="1">
        <v>0.66980600000000001</v>
      </c>
      <c r="AB27">
        <f t="shared" si="16"/>
        <v>61.588007931834866</v>
      </c>
      <c r="AD27" s="1">
        <v>0.39668199999999998</v>
      </c>
      <c r="AE27" s="1">
        <v>0.67680700000000005</v>
      </c>
      <c r="AF27">
        <f t="shared" si="17"/>
        <v>60.849010142000012</v>
      </c>
      <c r="AH27" s="1">
        <v>0.40986299999999998</v>
      </c>
      <c r="AI27" s="1">
        <v>0.68171199999999998</v>
      </c>
      <c r="AJ27">
        <f t="shared" si="18"/>
        <v>59.915693422808545</v>
      </c>
      <c r="AL27" s="1">
        <v>0.428595</v>
      </c>
      <c r="AM27" s="1">
        <v>0.69132700000000002</v>
      </c>
      <c r="AN27">
        <f t="shared" si="19"/>
        <v>58.916944517192945</v>
      </c>
      <c r="AT27" s="61">
        <f t="shared" si="2"/>
        <v>0</v>
      </c>
      <c r="AU27" s="43">
        <f t="shared" si="20"/>
        <v>0</v>
      </c>
      <c r="AV27" s="35">
        <f t="shared" si="21"/>
        <v>0</v>
      </c>
      <c r="AW27" s="36">
        <f t="shared" si="22"/>
        <v>0</v>
      </c>
      <c r="AX27" s="35">
        <f t="shared" si="4"/>
        <v>0</v>
      </c>
      <c r="AY27" s="62">
        <f t="shared" si="5"/>
        <v>0</v>
      </c>
      <c r="AZ27" s="61">
        <f t="shared" si="6"/>
        <v>0</v>
      </c>
      <c r="BA27" s="43">
        <f t="shared" si="23"/>
        <v>0</v>
      </c>
      <c r="BB27" s="35">
        <f t="shared" si="75"/>
        <v>0</v>
      </c>
      <c r="BC27" s="36">
        <f t="shared" si="25"/>
        <v>0</v>
      </c>
      <c r="BD27" s="35">
        <f t="shared" si="26"/>
        <v>0</v>
      </c>
      <c r="BE27" s="62">
        <f t="shared" si="27"/>
        <v>0</v>
      </c>
      <c r="BF27" s="61">
        <f t="shared" si="28"/>
        <v>0</v>
      </c>
      <c r="BG27" s="43">
        <f t="shared" si="29"/>
        <v>0</v>
      </c>
      <c r="BH27" s="35">
        <f t="shared" si="30"/>
        <v>0</v>
      </c>
      <c r="BI27" s="36">
        <f t="shared" si="31"/>
        <v>0</v>
      </c>
      <c r="BJ27" s="35">
        <f t="shared" si="32"/>
        <v>0</v>
      </c>
      <c r="BK27" s="62">
        <f t="shared" si="33"/>
        <v>0</v>
      </c>
      <c r="BL27" s="61">
        <f t="shared" si="34"/>
        <v>0</v>
      </c>
      <c r="BM27" s="43">
        <f t="shared" si="35"/>
        <v>0</v>
      </c>
      <c r="BN27" s="35">
        <f t="shared" si="36"/>
        <v>0</v>
      </c>
      <c r="BO27" s="36">
        <f t="shared" si="37"/>
        <v>0</v>
      </c>
      <c r="BP27" s="35">
        <f t="shared" si="38"/>
        <v>0</v>
      </c>
      <c r="BQ27" s="62">
        <f t="shared" si="39"/>
        <v>0</v>
      </c>
      <c r="BR27" s="61">
        <f t="shared" si="40"/>
        <v>0</v>
      </c>
      <c r="BS27" s="43">
        <f t="shared" si="41"/>
        <v>0</v>
      </c>
      <c r="BT27" s="35">
        <f t="shared" si="42"/>
        <v>0</v>
      </c>
      <c r="BU27" s="36">
        <f t="shared" si="43"/>
        <v>0</v>
      </c>
      <c r="BV27" s="35">
        <f t="shared" si="44"/>
        <v>0</v>
      </c>
      <c r="BW27" s="62">
        <f t="shared" si="45"/>
        <v>0</v>
      </c>
      <c r="BX27" s="61">
        <f t="shared" si="46"/>
        <v>0</v>
      </c>
      <c r="BY27" s="43">
        <f t="shared" si="47"/>
        <v>0</v>
      </c>
      <c r="BZ27" s="35">
        <f t="shared" si="48"/>
        <v>0</v>
      </c>
      <c r="CA27" s="36">
        <f t="shared" si="49"/>
        <v>0</v>
      </c>
      <c r="CB27" s="35">
        <f t="shared" si="50"/>
        <v>0</v>
      </c>
      <c r="CC27" s="62">
        <f t="shared" si="51"/>
        <v>0</v>
      </c>
      <c r="CD27" s="61">
        <f t="shared" si="52"/>
        <v>0</v>
      </c>
      <c r="CE27" s="43">
        <f t="shared" si="53"/>
        <v>0</v>
      </c>
      <c r="CF27" s="35">
        <f t="shared" si="54"/>
        <v>0</v>
      </c>
      <c r="CG27" s="36">
        <f t="shared" si="55"/>
        <v>0</v>
      </c>
      <c r="CH27" s="35">
        <f t="shared" si="56"/>
        <v>0</v>
      </c>
      <c r="CI27" s="62">
        <f t="shared" si="74"/>
        <v>0</v>
      </c>
      <c r="CJ27" s="61">
        <f t="shared" si="57"/>
        <v>0</v>
      </c>
      <c r="CK27" s="43">
        <f t="shared" si="58"/>
        <v>0</v>
      </c>
      <c r="CL27" s="35">
        <f t="shared" si="59"/>
        <v>0</v>
      </c>
      <c r="CM27" s="36">
        <f t="shared" si="60"/>
        <v>0</v>
      </c>
      <c r="CN27" s="35">
        <f t="shared" si="61"/>
        <v>0</v>
      </c>
      <c r="CO27" s="62">
        <f t="shared" si="62"/>
        <v>0</v>
      </c>
      <c r="CP27" s="61">
        <f t="shared" si="63"/>
        <v>0</v>
      </c>
      <c r="CQ27" s="43">
        <f t="shared" si="64"/>
        <v>0</v>
      </c>
      <c r="CR27" s="35">
        <f t="shared" si="65"/>
        <v>0</v>
      </c>
      <c r="CS27" s="36">
        <f t="shared" si="66"/>
        <v>0</v>
      </c>
      <c r="CT27" s="35">
        <f t="shared" si="1"/>
        <v>0</v>
      </c>
      <c r="CU27" s="62">
        <f t="shared" si="67"/>
        <v>0</v>
      </c>
      <c r="CV27" s="61">
        <f t="shared" si="68"/>
        <v>0</v>
      </c>
      <c r="CW27" s="43">
        <f t="shared" si="69"/>
        <v>0</v>
      </c>
      <c r="CX27" s="35">
        <f t="shared" si="70"/>
        <v>0</v>
      </c>
      <c r="CY27" s="36">
        <f t="shared" si="71"/>
        <v>0</v>
      </c>
      <c r="CZ27" s="35">
        <f t="shared" si="72"/>
        <v>0</v>
      </c>
      <c r="DA27" s="62">
        <f t="shared" si="73"/>
        <v>0</v>
      </c>
    </row>
    <row r="28" spans="2:105" x14ac:dyDescent="0.3">
      <c r="B28" s="1">
        <v>0.380411</v>
      </c>
      <c r="C28" s="1">
        <v>0.65912800000000005</v>
      </c>
      <c r="D28">
        <f t="shared" si="10"/>
        <v>66.18896032760415</v>
      </c>
      <c r="F28" s="1">
        <v>0.37474600000000002</v>
      </c>
      <c r="G28" s="1">
        <v>0.655524</v>
      </c>
      <c r="H28">
        <f t="shared" si="11"/>
        <v>65.104029115970761</v>
      </c>
      <c r="J28" s="1">
        <v>0.37260199999999999</v>
      </c>
      <c r="K28" s="1">
        <v>0.65285899999999997</v>
      </c>
      <c r="L28">
        <f t="shared" si="12"/>
        <v>64.2249815282443</v>
      </c>
      <c r="N28" s="1">
        <v>0.37081399999999998</v>
      </c>
      <c r="O28" s="1">
        <v>0.66621900000000001</v>
      </c>
      <c r="P28">
        <f t="shared" si="13"/>
        <v>65.539271065827975</v>
      </c>
      <c r="R28" s="1">
        <v>0.373031</v>
      </c>
      <c r="S28" s="1">
        <v>0.66601900000000003</v>
      </c>
      <c r="T28">
        <f t="shared" si="14"/>
        <v>64.10567078494519</v>
      </c>
      <c r="V28" s="1">
        <v>0.384907</v>
      </c>
      <c r="W28" s="1">
        <v>0.67227199999999998</v>
      </c>
      <c r="X28">
        <f t="shared" si="15"/>
        <v>63.319984022183299</v>
      </c>
      <c r="Z28" s="1">
        <v>0.39880500000000002</v>
      </c>
      <c r="AA28" s="1">
        <v>0.68032300000000001</v>
      </c>
      <c r="AB28">
        <f t="shared" si="16"/>
        <v>62.555035816653913</v>
      </c>
      <c r="AD28" s="1">
        <v>0.41206399999999999</v>
      </c>
      <c r="AE28" s="1">
        <v>0.68666199999999999</v>
      </c>
      <c r="AF28">
        <f t="shared" si="17"/>
        <v>61.735033772000001</v>
      </c>
      <c r="AH28" s="1">
        <v>0.42575600000000002</v>
      </c>
      <c r="AI28" s="1">
        <v>0.69083700000000003</v>
      </c>
      <c r="AJ28">
        <f t="shared" si="18"/>
        <v>60.717690017386801</v>
      </c>
      <c r="AL28" s="1">
        <v>0.44521500000000003</v>
      </c>
      <c r="AM28" s="1">
        <v>0.70052700000000001</v>
      </c>
      <c r="AN28">
        <f t="shared" si="19"/>
        <v>59.700995898895343</v>
      </c>
      <c r="AT28" s="61">
        <f t="shared" si="2"/>
        <v>0</v>
      </c>
      <c r="AU28" s="43">
        <f t="shared" si="20"/>
        <v>0</v>
      </c>
      <c r="AV28" s="35">
        <f t="shared" si="21"/>
        <v>0</v>
      </c>
      <c r="AW28" s="36">
        <f t="shared" si="22"/>
        <v>0</v>
      </c>
      <c r="AX28" s="35">
        <f t="shared" si="4"/>
        <v>0</v>
      </c>
      <c r="AY28" s="62">
        <f t="shared" si="5"/>
        <v>0</v>
      </c>
      <c r="AZ28" s="61">
        <f t="shared" si="6"/>
        <v>0</v>
      </c>
      <c r="BA28" s="43">
        <f t="shared" si="23"/>
        <v>0</v>
      </c>
      <c r="BB28" s="35">
        <f t="shared" si="75"/>
        <v>0</v>
      </c>
      <c r="BC28" s="36">
        <f t="shared" si="25"/>
        <v>0</v>
      </c>
      <c r="BD28" s="35">
        <f t="shared" si="26"/>
        <v>0</v>
      </c>
      <c r="BE28" s="62">
        <f t="shared" si="27"/>
        <v>0</v>
      </c>
      <c r="BF28" s="61">
        <f t="shared" si="28"/>
        <v>0</v>
      </c>
      <c r="BG28" s="43">
        <f t="shared" si="29"/>
        <v>0</v>
      </c>
      <c r="BH28" s="35">
        <f t="shared" si="30"/>
        <v>0</v>
      </c>
      <c r="BI28" s="36">
        <f t="shared" si="31"/>
        <v>0</v>
      </c>
      <c r="BJ28" s="35">
        <f t="shared" si="32"/>
        <v>0</v>
      </c>
      <c r="BK28" s="62">
        <f t="shared" si="33"/>
        <v>0</v>
      </c>
      <c r="BL28" s="61">
        <f t="shared" si="34"/>
        <v>0</v>
      </c>
      <c r="BM28" s="43">
        <f t="shared" si="35"/>
        <v>0</v>
      </c>
      <c r="BN28" s="35">
        <f t="shared" si="36"/>
        <v>0</v>
      </c>
      <c r="BO28" s="36">
        <f t="shared" si="37"/>
        <v>0</v>
      </c>
      <c r="BP28" s="35">
        <f t="shared" si="38"/>
        <v>0</v>
      </c>
      <c r="BQ28" s="62">
        <f t="shared" si="39"/>
        <v>0</v>
      </c>
      <c r="BR28" s="61">
        <f t="shared" si="40"/>
        <v>0</v>
      </c>
      <c r="BS28" s="43">
        <f t="shared" si="41"/>
        <v>0</v>
      </c>
      <c r="BT28" s="35">
        <f t="shared" si="42"/>
        <v>0</v>
      </c>
      <c r="BU28" s="36">
        <f t="shared" si="43"/>
        <v>0</v>
      </c>
      <c r="BV28" s="35">
        <f t="shared" si="44"/>
        <v>0</v>
      </c>
      <c r="BW28" s="62">
        <f t="shared" si="45"/>
        <v>0</v>
      </c>
      <c r="BX28" s="61">
        <f t="shared" si="46"/>
        <v>0</v>
      </c>
      <c r="BY28" s="43">
        <f t="shared" si="47"/>
        <v>0</v>
      </c>
      <c r="BZ28" s="35">
        <f t="shared" si="48"/>
        <v>0</v>
      </c>
      <c r="CA28" s="36">
        <f t="shared" si="49"/>
        <v>0</v>
      </c>
      <c r="CB28" s="35">
        <f t="shared" si="50"/>
        <v>0</v>
      </c>
      <c r="CC28" s="62">
        <f t="shared" si="51"/>
        <v>0</v>
      </c>
      <c r="CD28" s="61">
        <f t="shared" si="52"/>
        <v>0</v>
      </c>
      <c r="CE28" s="43">
        <f t="shared" si="53"/>
        <v>0</v>
      </c>
      <c r="CF28" s="35">
        <f t="shared" si="54"/>
        <v>0</v>
      </c>
      <c r="CG28" s="36">
        <f t="shared" si="55"/>
        <v>0</v>
      </c>
      <c r="CH28" s="35">
        <f t="shared" si="56"/>
        <v>0</v>
      </c>
      <c r="CI28" s="62">
        <f t="shared" si="74"/>
        <v>0</v>
      </c>
      <c r="CJ28" s="61">
        <f t="shared" si="57"/>
        <v>0</v>
      </c>
      <c r="CK28" s="43">
        <f t="shared" si="58"/>
        <v>0</v>
      </c>
      <c r="CL28" s="35">
        <f t="shared" si="59"/>
        <v>0</v>
      </c>
      <c r="CM28" s="36">
        <f t="shared" si="60"/>
        <v>0</v>
      </c>
      <c r="CN28" s="35">
        <f t="shared" si="61"/>
        <v>0</v>
      </c>
      <c r="CO28" s="62">
        <f t="shared" si="62"/>
        <v>0</v>
      </c>
      <c r="CP28" s="61">
        <f t="shared" si="63"/>
        <v>0</v>
      </c>
      <c r="CQ28" s="43">
        <f t="shared" si="64"/>
        <v>0</v>
      </c>
      <c r="CR28" s="35">
        <f t="shared" si="65"/>
        <v>0</v>
      </c>
      <c r="CS28" s="36">
        <f t="shared" si="66"/>
        <v>0</v>
      </c>
      <c r="CT28" s="35">
        <f t="shared" si="1"/>
        <v>0</v>
      </c>
      <c r="CU28" s="62">
        <f t="shared" si="67"/>
        <v>0</v>
      </c>
      <c r="CV28" s="61">
        <f t="shared" si="68"/>
        <v>0</v>
      </c>
      <c r="CW28" s="43">
        <f t="shared" si="69"/>
        <v>0</v>
      </c>
      <c r="CX28" s="35">
        <f t="shared" si="70"/>
        <v>0</v>
      </c>
      <c r="CY28" s="36">
        <f t="shared" si="71"/>
        <v>0</v>
      </c>
      <c r="CZ28" s="35">
        <f t="shared" si="72"/>
        <v>0</v>
      </c>
      <c r="DA28" s="62">
        <f t="shared" si="73"/>
        <v>0</v>
      </c>
    </row>
    <row r="29" spans="2:105" x14ac:dyDescent="0.3">
      <c r="B29" s="1">
        <v>0.39463999999999999</v>
      </c>
      <c r="C29" s="1">
        <v>0.66746300000000003</v>
      </c>
      <c r="D29">
        <f t="shared" si="10"/>
        <v>67.025952511717975</v>
      </c>
      <c r="F29" s="1">
        <v>0.388764</v>
      </c>
      <c r="G29" s="1">
        <v>0.66524000000000005</v>
      </c>
      <c r="H29">
        <f t="shared" si="11"/>
        <v>66.06898348360761</v>
      </c>
      <c r="J29" s="1">
        <v>0.38653999999999999</v>
      </c>
      <c r="K29" s="1">
        <v>0.66263799999999995</v>
      </c>
      <c r="L29">
        <f t="shared" si="12"/>
        <v>65.186990314773539</v>
      </c>
      <c r="N29" s="1">
        <v>0.38468400000000003</v>
      </c>
      <c r="O29" s="1">
        <v>0.67628600000000005</v>
      </c>
      <c r="P29">
        <f t="shared" si="13"/>
        <v>66.529611842388974</v>
      </c>
      <c r="R29" s="1">
        <v>0.38698399999999999</v>
      </c>
      <c r="S29" s="1">
        <v>0.67613800000000002</v>
      </c>
      <c r="T29">
        <f t="shared" si="14"/>
        <v>65.079644924831371</v>
      </c>
      <c r="V29" s="1">
        <v>0.39930500000000002</v>
      </c>
      <c r="W29" s="1">
        <v>0.68250699999999997</v>
      </c>
      <c r="X29">
        <f t="shared" si="15"/>
        <v>64.283998641960778</v>
      </c>
      <c r="Z29" s="1">
        <v>0.41372300000000001</v>
      </c>
      <c r="AA29" s="1">
        <v>0.69069800000000003</v>
      </c>
      <c r="AB29">
        <f t="shared" si="16"/>
        <v>63.509006940072915</v>
      </c>
      <c r="AD29" s="1">
        <v>0.427477</v>
      </c>
      <c r="AE29" s="1">
        <v>0.69568200000000002</v>
      </c>
      <c r="AF29">
        <f t="shared" si="17"/>
        <v>62.545985892000004</v>
      </c>
      <c r="AH29" s="1">
        <v>0.44168200000000002</v>
      </c>
      <c r="AI29" s="1">
        <v>0.69975799999999999</v>
      </c>
      <c r="AJ29">
        <f t="shared" si="18"/>
        <v>61.501757044261602</v>
      </c>
      <c r="AL29" s="1">
        <v>0.461868</v>
      </c>
      <c r="AM29" s="1">
        <v>0.70953900000000003</v>
      </c>
      <c r="AN29">
        <f t="shared" si="19"/>
        <v>60.469025361058605</v>
      </c>
      <c r="AT29" s="61">
        <f t="shared" si="2"/>
        <v>0</v>
      </c>
      <c r="AU29" s="43">
        <f t="shared" si="20"/>
        <v>0</v>
      </c>
      <c r="AV29" s="35">
        <f t="shared" si="21"/>
        <v>0</v>
      </c>
      <c r="AW29" s="36">
        <f t="shared" si="22"/>
        <v>0</v>
      </c>
      <c r="AX29" s="35">
        <f t="shared" si="4"/>
        <v>0</v>
      </c>
      <c r="AY29" s="62">
        <f t="shared" si="5"/>
        <v>0</v>
      </c>
      <c r="AZ29" s="61">
        <f t="shared" si="6"/>
        <v>0</v>
      </c>
      <c r="BA29" s="43">
        <f t="shared" si="23"/>
        <v>0</v>
      </c>
      <c r="BB29" s="35">
        <f t="shared" si="75"/>
        <v>0</v>
      </c>
      <c r="BC29" s="36">
        <f t="shared" si="25"/>
        <v>0</v>
      </c>
      <c r="BD29" s="35">
        <f t="shared" si="26"/>
        <v>0</v>
      </c>
      <c r="BE29" s="62">
        <f t="shared" si="27"/>
        <v>0</v>
      </c>
      <c r="BF29" s="61">
        <f t="shared" si="28"/>
        <v>0</v>
      </c>
      <c r="BG29" s="43">
        <f t="shared" si="29"/>
        <v>0</v>
      </c>
      <c r="BH29" s="35">
        <f t="shared" si="30"/>
        <v>0</v>
      </c>
      <c r="BI29" s="36">
        <f t="shared" si="31"/>
        <v>0</v>
      </c>
      <c r="BJ29" s="35">
        <f t="shared" si="32"/>
        <v>0</v>
      </c>
      <c r="BK29" s="62">
        <f t="shared" si="33"/>
        <v>0</v>
      </c>
      <c r="BL29" s="61">
        <f t="shared" si="34"/>
        <v>0</v>
      </c>
      <c r="BM29" s="43">
        <f t="shared" si="35"/>
        <v>0</v>
      </c>
      <c r="BN29" s="35">
        <f t="shared" si="36"/>
        <v>0</v>
      </c>
      <c r="BO29" s="36">
        <f t="shared" si="37"/>
        <v>0</v>
      </c>
      <c r="BP29" s="35">
        <f t="shared" si="38"/>
        <v>0</v>
      </c>
      <c r="BQ29" s="62">
        <f t="shared" si="39"/>
        <v>0</v>
      </c>
      <c r="BR29" s="61">
        <f t="shared" si="40"/>
        <v>0</v>
      </c>
      <c r="BS29" s="43">
        <f t="shared" si="41"/>
        <v>0</v>
      </c>
      <c r="BT29" s="35">
        <f t="shared" si="42"/>
        <v>0</v>
      </c>
      <c r="BU29" s="36">
        <f t="shared" si="43"/>
        <v>0</v>
      </c>
      <c r="BV29" s="35">
        <f t="shared" si="44"/>
        <v>0</v>
      </c>
      <c r="BW29" s="62">
        <f t="shared" si="45"/>
        <v>0</v>
      </c>
      <c r="BX29" s="61">
        <f t="shared" si="46"/>
        <v>0</v>
      </c>
      <c r="BY29" s="43">
        <f t="shared" si="47"/>
        <v>0</v>
      </c>
      <c r="BZ29" s="35">
        <f t="shared" si="48"/>
        <v>0</v>
      </c>
      <c r="CA29" s="36">
        <f t="shared" si="49"/>
        <v>0</v>
      </c>
      <c r="CB29" s="35">
        <f t="shared" si="50"/>
        <v>0</v>
      </c>
      <c r="CC29" s="62">
        <f t="shared" si="51"/>
        <v>0</v>
      </c>
      <c r="CD29" s="61">
        <f t="shared" si="52"/>
        <v>0</v>
      </c>
      <c r="CE29" s="43">
        <f t="shared" si="53"/>
        <v>0</v>
      </c>
      <c r="CF29" s="35">
        <f t="shared" si="54"/>
        <v>0</v>
      </c>
      <c r="CG29" s="36">
        <f t="shared" si="55"/>
        <v>0</v>
      </c>
      <c r="CH29" s="35">
        <f t="shared" si="56"/>
        <v>0</v>
      </c>
      <c r="CI29" s="62">
        <f t="shared" si="74"/>
        <v>0</v>
      </c>
      <c r="CJ29" s="61">
        <f t="shared" si="57"/>
        <v>0</v>
      </c>
      <c r="CK29" s="43">
        <f t="shared" si="58"/>
        <v>0</v>
      </c>
      <c r="CL29" s="35">
        <f t="shared" si="59"/>
        <v>0</v>
      </c>
      <c r="CM29" s="36">
        <f t="shared" si="60"/>
        <v>0</v>
      </c>
      <c r="CN29" s="35">
        <f t="shared" si="61"/>
        <v>0</v>
      </c>
      <c r="CO29" s="62">
        <f t="shared" si="62"/>
        <v>0</v>
      </c>
      <c r="CP29" s="61">
        <f t="shared" si="63"/>
        <v>0</v>
      </c>
      <c r="CQ29" s="43">
        <f t="shared" si="64"/>
        <v>0</v>
      </c>
      <c r="CR29" s="35">
        <f t="shared" si="65"/>
        <v>0</v>
      </c>
      <c r="CS29" s="36">
        <f t="shared" si="66"/>
        <v>0</v>
      </c>
      <c r="CT29" s="35">
        <f t="shared" si="1"/>
        <v>0</v>
      </c>
      <c r="CU29" s="62">
        <f t="shared" si="67"/>
        <v>0</v>
      </c>
      <c r="CV29" s="61">
        <f t="shared" si="68"/>
        <v>0</v>
      </c>
      <c r="CW29" s="43">
        <f t="shared" si="69"/>
        <v>0</v>
      </c>
      <c r="CX29" s="35">
        <f t="shared" si="70"/>
        <v>0</v>
      </c>
      <c r="CY29" s="36">
        <f t="shared" si="71"/>
        <v>0</v>
      </c>
      <c r="CZ29" s="35">
        <f t="shared" si="72"/>
        <v>0</v>
      </c>
      <c r="DA29" s="62">
        <f t="shared" si="73"/>
        <v>0</v>
      </c>
    </row>
    <row r="30" spans="2:105" x14ac:dyDescent="0.3">
      <c r="B30" s="1">
        <v>0.40884100000000001</v>
      </c>
      <c r="C30" s="1">
        <v>0.67673399999999995</v>
      </c>
      <c r="D30">
        <f t="shared" si="10"/>
        <v>67.95693685951872</v>
      </c>
      <c r="F30" s="1">
        <v>0.40275300000000003</v>
      </c>
      <c r="G30" s="1">
        <v>0.67486599999999997</v>
      </c>
      <c r="H30">
        <f t="shared" si="11"/>
        <v>67.024999410210341</v>
      </c>
      <c r="J30" s="1">
        <v>0.400449</v>
      </c>
      <c r="K30" s="1">
        <v>0.68848799999999999</v>
      </c>
      <c r="L30">
        <f t="shared" si="12"/>
        <v>67.729983170053345</v>
      </c>
      <c r="N30" s="1">
        <v>0.39852599999999999</v>
      </c>
      <c r="O30" s="1">
        <v>0.68623999999999996</v>
      </c>
      <c r="P30">
        <f t="shared" si="13"/>
        <v>67.508836247861126</v>
      </c>
      <c r="R30" s="1">
        <v>0.40090999999999999</v>
      </c>
      <c r="S30" s="1">
        <v>0.68614399999999998</v>
      </c>
      <c r="T30">
        <f t="shared" si="14"/>
        <v>66.042742587021436</v>
      </c>
      <c r="V30" s="1">
        <v>0.41367300000000001</v>
      </c>
      <c r="W30" s="1">
        <v>0.69261499999999998</v>
      </c>
      <c r="X30">
        <f t="shared" si="15"/>
        <v>65.236051380281324</v>
      </c>
      <c r="Z30" s="1">
        <v>0.42860999999999999</v>
      </c>
      <c r="AA30" s="1">
        <v>0.70043200000000005</v>
      </c>
      <c r="AB30">
        <f t="shared" si="16"/>
        <v>64.404038739143814</v>
      </c>
      <c r="AD30" s="1">
        <v>0.442859</v>
      </c>
      <c r="AE30" s="1">
        <v>0.70449099999999998</v>
      </c>
      <c r="AF30">
        <f t="shared" si="17"/>
        <v>63.337967846000005</v>
      </c>
      <c r="AH30" s="1">
        <v>0.45757500000000001</v>
      </c>
      <c r="AI30" s="1">
        <v>0.70857599999999998</v>
      </c>
      <c r="AJ30">
        <f t="shared" si="18"/>
        <v>62.276771397246918</v>
      </c>
      <c r="AL30" s="1">
        <v>0.47848800000000002</v>
      </c>
      <c r="AM30" s="1">
        <v>0.71837399999999996</v>
      </c>
      <c r="AN30">
        <f t="shared" si="19"/>
        <v>61.221970356421721</v>
      </c>
      <c r="AT30" s="61">
        <f t="shared" si="2"/>
        <v>0</v>
      </c>
      <c r="AU30" s="43">
        <f t="shared" si="20"/>
        <v>0</v>
      </c>
      <c r="AV30" s="35">
        <f t="shared" si="21"/>
        <v>0</v>
      </c>
      <c r="AW30" s="36">
        <f t="shared" si="22"/>
        <v>0</v>
      </c>
      <c r="AX30" s="35">
        <f t="shared" si="4"/>
        <v>0</v>
      </c>
      <c r="AY30" s="62">
        <f t="shared" si="5"/>
        <v>0</v>
      </c>
      <c r="AZ30" s="61">
        <f t="shared" si="6"/>
        <v>0</v>
      </c>
      <c r="BA30" s="43">
        <f t="shared" si="23"/>
        <v>0</v>
      </c>
      <c r="BB30" s="35">
        <f t="shared" si="75"/>
        <v>0</v>
      </c>
      <c r="BC30" s="36">
        <f t="shared" si="25"/>
        <v>0</v>
      </c>
      <c r="BD30" s="35">
        <f t="shared" si="26"/>
        <v>0</v>
      </c>
      <c r="BE30" s="62">
        <f t="shared" si="27"/>
        <v>0</v>
      </c>
      <c r="BF30" s="61">
        <f t="shared" si="28"/>
        <v>0</v>
      </c>
      <c r="BG30" s="43">
        <f t="shared" si="29"/>
        <v>0</v>
      </c>
      <c r="BH30" s="35">
        <f t="shared" si="30"/>
        <v>0</v>
      </c>
      <c r="BI30" s="36">
        <f t="shared" si="31"/>
        <v>0</v>
      </c>
      <c r="BJ30" s="35">
        <f t="shared" si="32"/>
        <v>0</v>
      </c>
      <c r="BK30" s="62">
        <f t="shared" si="33"/>
        <v>0</v>
      </c>
      <c r="BL30" s="61">
        <f t="shared" si="34"/>
        <v>0</v>
      </c>
      <c r="BM30" s="43">
        <f t="shared" si="35"/>
        <v>0</v>
      </c>
      <c r="BN30" s="35">
        <f t="shared" si="36"/>
        <v>0</v>
      </c>
      <c r="BO30" s="36">
        <f t="shared" si="37"/>
        <v>0</v>
      </c>
      <c r="BP30" s="35">
        <f t="shared" si="38"/>
        <v>0</v>
      </c>
      <c r="BQ30" s="62">
        <f t="shared" si="39"/>
        <v>0</v>
      </c>
      <c r="BR30" s="61">
        <f t="shared" si="40"/>
        <v>0</v>
      </c>
      <c r="BS30" s="43">
        <f t="shared" si="41"/>
        <v>0</v>
      </c>
      <c r="BT30" s="35">
        <f t="shared" si="42"/>
        <v>0</v>
      </c>
      <c r="BU30" s="36">
        <f t="shared" si="43"/>
        <v>0</v>
      </c>
      <c r="BV30" s="35">
        <f t="shared" si="44"/>
        <v>0</v>
      </c>
      <c r="BW30" s="62">
        <f t="shared" si="45"/>
        <v>0</v>
      </c>
      <c r="BX30" s="61">
        <f t="shared" si="46"/>
        <v>0</v>
      </c>
      <c r="BY30" s="43">
        <f t="shared" si="47"/>
        <v>0</v>
      </c>
      <c r="BZ30" s="35">
        <f t="shared" si="48"/>
        <v>0</v>
      </c>
      <c r="CA30" s="36">
        <f t="shared" si="49"/>
        <v>0</v>
      </c>
      <c r="CB30" s="35">
        <f t="shared" si="50"/>
        <v>0</v>
      </c>
      <c r="CC30" s="62">
        <f t="shared" si="51"/>
        <v>0</v>
      </c>
      <c r="CD30" s="61">
        <f t="shared" si="52"/>
        <v>0</v>
      </c>
      <c r="CE30" s="43">
        <f t="shared" si="53"/>
        <v>0</v>
      </c>
      <c r="CF30" s="35">
        <f t="shared" si="54"/>
        <v>0</v>
      </c>
      <c r="CG30" s="36">
        <f t="shared" si="55"/>
        <v>0</v>
      </c>
      <c r="CH30" s="35">
        <f t="shared" si="56"/>
        <v>0</v>
      </c>
      <c r="CI30" s="62">
        <f t="shared" si="74"/>
        <v>0</v>
      </c>
      <c r="CJ30" s="61">
        <f t="shared" si="57"/>
        <v>0</v>
      </c>
      <c r="CK30" s="43">
        <f t="shared" si="58"/>
        <v>0</v>
      </c>
      <c r="CL30" s="35">
        <f t="shared" si="59"/>
        <v>0</v>
      </c>
      <c r="CM30" s="36">
        <f t="shared" si="60"/>
        <v>0</v>
      </c>
      <c r="CN30" s="35">
        <f t="shared" si="61"/>
        <v>0</v>
      </c>
      <c r="CO30" s="62">
        <f t="shared" si="62"/>
        <v>0</v>
      </c>
      <c r="CP30" s="61">
        <f t="shared" si="63"/>
        <v>0</v>
      </c>
      <c r="CQ30" s="43">
        <f t="shared" si="64"/>
        <v>0</v>
      </c>
      <c r="CR30" s="35">
        <f t="shared" si="65"/>
        <v>0</v>
      </c>
      <c r="CS30" s="36">
        <f t="shared" si="66"/>
        <v>0</v>
      </c>
      <c r="CT30" s="35">
        <f t="shared" si="1"/>
        <v>0</v>
      </c>
      <c r="CU30" s="62">
        <f t="shared" si="67"/>
        <v>0</v>
      </c>
      <c r="CV30" s="61">
        <f t="shared" si="68"/>
        <v>0</v>
      </c>
      <c r="CW30" s="43">
        <f t="shared" si="69"/>
        <v>0</v>
      </c>
      <c r="CX30" s="35">
        <f t="shared" si="70"/>
        <v>0</v>
      </c>
      <c r="CY30" s="36">
        <f t="shared" si="71"/>
        <v>0</v>
      </c>
      <c r="CZ30" s="35">
        <f t="shared" si="72"/>
        <v>0</v>
      </c>
      <c r="DA30" s="62">
        <f t="shared" si="73"/>
        <v>0</v>
      </c>
    </row>
    <row r="31" spans="2:105" x14ac:dyDescent="0.3">
      <c r="B31" s="1">
        <v>0.42304199999999997</v>
      </c>
      <c r="C31" s="1">
        <v>0.68634399999999995</v>
      </c>
      <c r="D31">
        <f t="shared" si="10"/>
        <v>68.921963240962512</v>
      </c>
      <c r="F31" s="1">
        <v>0.416742</v>
      </c>
      <c r="G31" s="1">
        <v>0.68450200000000005</v>
      </c>
      <c r="H31">
        <f t="shared" si="11"/>
        <v>67.982008496927989</v>
      </c>
      <c r="J31" s="1">
        <v>0.414358</v>
      </c>
      <c r="K31" s="1">
        <v>0.69825700000000002</v>
      </c>
      <c r="L31">
        <f t="shared" si="12"/>
        <v>68.691008206928728</v>
      </c>
      <c r="N31" s="1">
        <v>0.41236899999999999</v>
      </c>
      <c r="O31" s="1">
        <v>0.69605099999999998</v>
      </c>
      <c r="P31">
        <f t="shared" si="13"/>
        <v>68.473993033282795</v>
      </c>
      <c r="R31" s="1">
        <v>0.41483500000000001</v>
      </c>
      <c r="S31" s="1">
        <v>0.69599299999999997</v>
      </c>
      <c r="T31">
        <f t="shared" si="14"/>
        <v>66.990728682854922</v>
      </c>
      <c r="V31" s="1">
        <v>0.42804199999999998</v>
      </c>
      <c r="W31" s="1">
        <v>0.70260500000000004</v>
      </c>
      <c r="X31">
        <f t="shared" si="15"/>
        <v>66.176989929531643</v>
      </c>
      <c r="Z31" s="1">
        <v>0.44349699999999997</v>
      </c>
      <c r="AA31" s="1">
        <v>0.70918700000000001</v>
      </c>
      <c r="AB31">
        <f t="shared" si="16"/>
        <v>65.20905244377353</v>
      </c>
      <c r="AD31" s="1">
        <v>0.45824199999999998</v>
      </c>
      <c r="AE31" s="1">
        <v>0.71313400000000005</v>
      </c>
      <c r="AF31">
        <f t="shared" si="17"/>
        <v>64.115025404000008</v>
      </c>
      <c r="AH31" s="1">
        <v>0.473468</v>
      </c>
      <c r="AI31" s="1">
        <v>0.71721100000000004</v>
      </c>
      <c r="AJ31">
        <f t="shared" si="18"/>
        <v>63.035701873321791</v>
      </c>
      <c r="AL31" s="1">
        <v>0.49510799999999999</v>
      </c>
      <c r="AM31" s="1">
        <v>0.75128799999999996</v>
      </c>
      <c r="AN31">
        <f t="shared" si="19"/>
        <v>64.026999397438331</v>
      </c>
      <c r="AT31" s="61">
        <f t="shared" si="2"/>
        <v>0</v>
      </c>
      <c r="AU31" s="43">
        <f t="shared" si="20"/>
        <v>0</v>
      </c>
      <c r="AV31" s="35">
        <f t="shared" si="21"/>
        <v>0</v>
      </c>
      <c r="AW31" s="36">
        <f t="shared" si="22"/>
        <v>0</v>
      </c>
      <c r="AX31" s="35">
        <f t="shared" si="4"/>
        <v>0</v>
      </c>
      <c r="AY31" s="62">
        <f t="shared" si="5"/>
        <v>0</v>
      </c>
      <c r="AZ31" s="61">
        <f t="shared" si="6"/>
        <v>0</v>
      </c>
      <c r="BA31" s="43">
        <f t="shared" si="23"/>
        <v>0</v>
      </c>
      <c r="BB31" s="35">
        <f t="shared" si="75"/>
        <v>0</v>
      </c>
      <c r="BC31" s="36">
        <f t="shared" si="25"/>
        <v>0</v>
      </c>
      <c r="BD31" s="35">
        <f t="shared" si="26"/>
        <v>0</v>
      </c>
      <c r="BE31" s="62">
        <f t="shared" si="27"/>
        <v>0</v>
      </c>
      <c r="BF31" s="61">
        <f t="shared" si="28"/>
        <v>0</v>
      </c>
      <c r="BG31" s="43">
        <f t="shared" si="29"/>
        <v>0</v>
      </c>
      <c r="BH31" s="35">
        <f t="shared" si="30"/>
        <v>0</v>
      </c>
      <c r="BI31" s="36">
        <f t="shared" si="31"/>
        <v>0</v>
      </c>
      <c r="BJ31" s="35">
        <f t="shared" si="32"/>
        <v>0</v>
      </c>
      <c r="BK31" s="62">
        <f t="shared" si="33"/>
        <v>0</v>
      </c>
      <c r="BL31" s="61">
        <f t="shared" si="34"/>
        <v>0</v>
      </c>
      <c r="BM31" s="43">
        <f t="shared" si="35"/>
        <v>0</v>
      </c>
      <c r="BN31" s="35">
        <f t="shared" si="36"/>
        <v>0</v>
      </c>
      <c r="BO31" s="36">
        <f t="shared" si="37"/>
        <v>0</v>
      </c>
      <c r="BP31" s="35">
        <f t="shared" si="38"/>
        <v>0</v>
      </c>
      <c r="BQ31" s="62">
        <f t="shared" si="39"/>
        <v>0</v>
      </c>
      <c r="BR31" s="61">
        <f t="shared" si="40"/>
        <v>0</v>
      </c>
      <c r="BS31" s="43">
        <f t="shared" si="41"/>
        <v>0</v>
      </c>
      <c r="BT31" s="35">
        <f t="shared" si="42"/>
        <v>0</v>
      </c>
      <c r="BU31" s="36">
        <f t="shared" si="43"/>
        <v>0</v>
      </c>
      <c r="BV31" s="35">
        <f t="shared" si="44"/>
        <v>0</v>
      </c>
      <c r="BW31" s="62">
        <f t="shared" si="45"/>
        <v>0</v>
      </c>
      <c r="BX31" s="61">
        <f t="shared" si="46"/>
        <v>0</v>
      </c>
      <c r="BY31" s="43">
        <f t="shared" si="47"/>
        <v>0</v>
      </c>
      <c r="BZ31" s="35">
        <f t="shared" si="48"/>
        <v>0</v>
      </c>
      <c r="CA31" s="36">
        <f t="shared" si="49"/>
        <v>0</v>
      </c>
      <c r="CB31" s="35">
        <f t="shared" si="50"/>
        <v>0</v>
      </c>
      <c r="CC31" s="62">
        <f t="shared" si="51"/>
        <v>0</v>
      </c>
      <c r="CD31" s="61">
        <f t="shared" si="52"/>
        <v>0</v>
      </c>
      <c r="CE31" s="43">
        <f t="shared" si="53"/>
        <v>0</v>
      </c>
      <c r="CF31" s="35">
        <f t="shared" si="54"/>
        <v>0</v>
      </c>
      <c r="CG31" s="36">
        <f t="shared" si="55"/>
        <v>0</v>
      </c>
      <c r="CH31" s="35">
        <f t="shared" si="56"/>
        <v>0</v>
      </c>
      <c r="CI31" s="62">
        <f t="shared" si="74"/>
        <v>0</v>
      </c>
      <c r="CJ31" s="61">
        <f t="shared" si="57"/>
        <v>0</v>
      </c>
      <c r="CK31" s="43">
        <f t="shared" si="58"/>
        <v>0</v>
      </c>
      <c r="CL31" s="35">
        <f t="shared" si="59"/>
        <v>0</v>
      </c>
      <c r="CM31" s="36">
        <f t="shared" si="60"/>
        <v>0</v>
      </c>
      <c r="CN31" s="35">
        <f t="shared" si="61"/>
        <v>0</v>
      </c>
      <c r="CO31" s="62">
        <f t="shared" si="62"/>
        <v>0</v>
      </c>
      <c r="CP31" s="61">
        <f t="shared" si="63"/>
        <v>0</v>
      </c>
      <c r="CQ31" s="43">
        <f t="shared" si="64"/>
        <v>0</v>
      </c>
      <c r="CR31" s="35">
        <f t="shared" si="65"/>
        <v>0</v>
      </c>
      <c r="CS31" s="36">
        <f t="shared" si="66"/>
        <v>0</v>
      </c>
      <c r="CT31" s="35">
        <f t="shared" si="1"/>
        <v>0</v>
      </c>
      <c r="CU31" s="62">
        <f t="shared" si="67"/>
        <v>0</v>
      </c>
      <c r="CV31" s="61">
        <f t="shared" si="68"/>
        <v>0</v>
      </c>
      <c r="CW31" s="43">
        <f t="shared" si="69"/>
        <v>0</v>
      </c>
      <c r="CX31" s="35">
        <f t="shared" si="70"/>
        <v>0</v>
      </c>
      <c r="CY31" s="36">
        <f t="shared" si="71"/>
        <v>0</v>
      </c>
      <c r="CZ31" s="35">
        <f t="shared" si="72"/>
        <v>0</v>
      </c>
      <c r="DA31" s="62">
        <f t="shared" si="73"/>
        <v>0</v>
      </c>
    </row>
    <row r="32" spans="2:105" x14ac:dyDescent="0.3">
      <c r="B32" s="1">
        <v>0.43724200000000002</v>
      </c>
      <c r="C32" s="1">
        <v>0.69577500000000003</v>
      </c>
      <c r="D32">
        <f t="shared" si="10"/>
        <v>69.869014625290959</v>
      </c>
      <c r="F32" s="1">
        <v>0.43073099999999998</v>
      </c>
      <c r="G32" s="1">
        <v>0.71016800000000002</v>
      </c>
      <c r="H32">
        <f t="shared" si="11"/>
        <v>70.531053247830329</v>
      </c>
      <c r="J32" s="1">
        <v>0.42826700000000001</v>
      </c>
      <c r="K32" s="1">
        <v>0.70778099999999999</v>
      </c>
      <c r="L32">
        <f t="shared" si="12"/>
        <v>69.627931377284028</v>
      </c>
      <c r="N32" s="1">
        <v>0.42621100000000001</v>
      </c>
      <c r="O32" s="1">
        <v>0.705646</v>
      </c>
      <c r="P32">
        <f t="shared" si="13"/>
        <v>69.417900826180656</v>
      </c>
      <c r="R32" s="1">
        <v>0.42875999999999997</v>
      </c>
      <c r="S32" s="1">
        <v>0.70564499999999997</v>
      </c>
      <c r="T32">
        <f t="shared" si="14"/>
        <v>67.91975313173144</v>
      </c>
      <c r="V32" s="1">
        <v>0.44241000000000003</v>
      </c>
      <c r="W32" s="1">
        <v>0.71241600000000005</v>
      </c>
      <c r="X32">
        <f t="shared" si="15"/>
        <v>67.101068819090699</v>
      </c>
      <c r="Z32" s="1">
        <v>0.45838499999999999</v>
      </c>
      <c r="AA32" s="1">
        <v>0.71777800000000003</v>
      </c>
      <c r="AB32">
        <f t="shared" si="16"/>
        <v>65.998986508476435</v>
      </c>
      <c r="AD32" s="1">
        <v>0.47362399999999999</v>
      </c>
      <c r="AE32" s="1">
        <v>0.72172000000000003</v>
      </c>
      <c r="AF32">
        <f t="shared" si="17"/>
        <v>64.886958320000005</v>
      </c>
      <c r="AH32" s="1">
        <v>0.48936200000000002</v>
      </c>
      <c r="AI32" s="1">
        <v>0.72575599999999996</v>
      </c>
      <c r="AJ32">
        <f t="shared" si="18"/>
        <v>63.786722245998071</v>
      </c>
      <c r="AL32" s="1">
        <v>0.51172799999999996</v>
      </c>
      <c r="AM32" s="1">
        <v>0.76196600000000003</v>
      </c>
      <c r="AN32">
        <f t="shared" si="19"/>
        <v>64.937010338070749</v>
      </c>
      <c r="AT32" s="61">
        <f t="shared" si="2"/>
        <v>0</v>
      </c>
      <c r="AU32" s="43">
        <f t="shared" si="20"/>
        <v>0</v>
      </c>
      <c r="AV32" s="35">
        <f t="shared" si="21"/>
        <v>0</v>
      </c>
      <c r="AW32" s="36">
        <f t="shared" si="22"/>
        <v>0</v>
      </c>
      <c r="AX32" s="35">
        <f t="shared" si="4"/>
        <v>0</v>
      </c>
      <c r="AY32" s="62">
        <f t="shared" si="5"/>
        <v>0</v>
      </c>
      <c r="AZ32" s="61">
        <f t="shared" si="6"/>
        <v>0</v>
      </c>
      <c r="BA32" s="43">
        <f t="shared" si="23"/>
        <v>0</v>
      </c>
      <c r="BB32" s="35">
        <f t="shared" si="75"/>
        <v>0</v>
      </c>
      <c r="BC32" s="36">
        <f t="shared" si="25"/>
        <v>0</v>
      </c>
      <c r="BD32" s="35">
        <f t="shared" si="26"/>
        <v>0</v>
      </c>
      <c r="BE32" s="62">
        <f t="shared" si="27"/>
        <v>0</v>
      </c>
      <c r="BF32" s="61">
        <f t="shared" si="28"/>
        <v>0</v>
      </c>
      <c r="BG32" s="43">
        <f t="shared" si="29"/>
        <v>0</v>
      </c>
      <c r="BH32" s="35">
        <f t="shared" si="30"/>
        <v>0</v>
      </c>
      <c r="BI32" s="36">
        <f t="shared" si="31"/>
        <v>0</v>
      </c>
      <c r="BJ32" s="35">
        <f t="shared" si="32"/>
        <v>0</v>
      </c>
      <c r="BK32" s="62">
        <f t="shared" si="33"/>
        <v>0</v>
      </c>
      <c r="BL32" s="61">
        <f t="shared" si="34"/>
        <v>0</v>
      </c>
      <c r="BM32" s="43">
        <f t="shared" si="35"/>
        <v>0</v>
      </c>
      <c r="BN32" s="35">
        <f t="shared" si="36"/>
        <v>0</v>
      </c>
      <c r="BO32" s="36">
        <f t="shared" si="37"/>
        <v>0</v>
      </c>
      <c r="BP32" s="35">
        <f t="shared" si="38"/>
        <v>0</v>
      </c>
      <c r="BQ32" s="62">
        <f t="shared" si="39"/>
        <v>0</v>
      </c>
      <c r="BR32" s="61">
        <f t="shared" si="40"/>
        <v>0</v>
      </c>
      <c r="BS32" s="43">
        <f t="shared" si="41"/>
        <v>0</v>
      </c>
      <c r="BT32" s="35">
        <f t="shared" si="42"/>
        <v>0</v>
      </c>
      <c r="BU32" s="36">
        <f t="shared" si="43"/>
        <v>0</v>
      </c>
      <c r="BV32" s="35">
        <f t="shared" si="44"/>
        <v>0</v>
      </c>
      <c r="BW32" s="62">
        <f t="shared" si="45"/>
        <v>0</v>
      </c>
      <c r="BX32" s="61">
        <f t="shared" si="46"/>
        <v>0</v>
      </c>
      <c r="BY32" s="43">
        <f t="shared" si="47"/>
        <v>0</v>
      </c>
      <c r="BZ32" s="35">
        <f t="shared" si="48"/>
        <v>0</v>
      </c>
      <c r="CA32" s="36">
        <f t="shared" si="49"/>
        <v>0</v>
      </c>
      <c r="CB32" s="35">
        <f t="shared" si="50"/>
        <v>0</v>
      </c>
      <c r="CC32" s="62">
        <f t="shared" si="51"/>
        <v>0</v>
      </c>
      <c r="CD32" s="61">
        <f t="shared" si="52"/>
        <v>0</v>
      </c>
      <c r="CE32" s="43">
        <f t="shared" si="53"/>
        <v>0</v>
      </c>
      <c r="CF32" s="35">
        <f t="shared" si="54"/>
        <v>0</v>
      </c>
      <c r="CG32" s="36">
        <f t="shared" si="55"/>
        <v>0</v>
      </c>
      <c r="CH32" s="35">
        <f t="shared" si="56"/>
        <v>0</v>
      </c>
      <c r="CI32" s="62">
        <f t="shared" si="74"/>
        <v>0</v>
      </c>
      <c r="CJ32" s="61">
        <f t="shared" si="57"/>
        <v>0</v>
      </c>
      <c r="CK32" s="43">
        <f t="shared" si="58"/>
        <v>0</v>
      </c>
      <c r="CL32" s="35">
        <f t="shared" si="59"/>
        <v>0</v>
      </c>
      <c r="CM32" s="36">
        <f t="shared" si="60"/>
        <v>0</v>
      </c>
      <c r="CN32" s="35">
        <f t="shared" si="61"/>
        <v>0</v>
      </c>
      <c r="CO32" s="62">
        <f t="shared" si="62"/>
        <v>0</v>
      </c>
      <c r="CP32" s="61">
        <f t="shared" si="63"/>
        <v>0</v>
      </c>
      <c r="CQ32" s="43">
        <f t="shared" si="64"/>
        <v>0</v>
      </c>
      <c r="CR32" s="35">
        <f t="shared" si="65"/>
        <v>0</v>
      </c>
      <c r="CS32" s="36">
        <f t="shared" si="66"/>
        <v>0</v>
      </c>
      <c r="CT32" s="35">
        <f t="shared" si="1"/>
        <v>0</v>
      </c>
      <c r="CU32" s="62">
        <f t="shared" si="67"/>
        <v>0</v>
      </c>
      <c r="CV32" s="61">
        <f t="shared" si="68"/>
        <v>0</v>
      </c>
      <c r="CW32" s="43">
        <f t="shared" si="69"/>
        <v>0</v>
      </c>
      <c r="CX32" s="35">
        <f t="shared" si="70"/>
        <v>0</v>
      </c>
      <c r="CY32" s="36">
        <f t="shared" si="71"/>
        <v>0</v>
      </c>
      <c r="CZ32" s="35">
        <f t="shared" si="72"/>
        <v>0</v>
      </c>
      <c r="DA32" s="62">
        <f t="shared" si="73"/>
        <v>0</v>
      </c>
    </row>
    <row r="33" spans="2:105" x14ac:dyDescent="0.3">
      <c r="B33" s="1">
        <v>0.45141399999999998</v>
      </c>
      <c r="C33" s="1">
        <v>0.70501599999999998</v>
      </c>
      <c r="D33">
        <f t="shared" si="10"/>
        <v>70.796986403742764</v>
      </c>
      <c r="F33" s="1">
        <v>0.44469199999999998</v>
      </c>
      <c r="G33" s="1">
        <v>0.71961200000000003</v>
      </c>
      <c r="H33">
        <f t="shared" si="11"/>
        <v>71.468993660341894</v>
      </c>
      <c r="J33" s="1">
        <v>0.44214799999999999</v>
      </c>
      <c r="K33" s="1">
        <v>0.71723499999999996</v>
      </c>
      <c r="L33">
        <f t="shared" si="12"/>
        <v>70.557968300062186</v>
      </c>
      <c r="N33" s="1">
        <v>0.44002599999999997</v>
      </c>
      <c r="O33" s="1">
        <v>0.71511800000000003</v>
      </c>
      <c r="P33">
        <f t="shared" si="13"/>
        <v>70.349708498335787</v>
      </c>
      <c r="R33" s="1">
        <v>0.44265700000000002</v>
      </c>
      <c r="S33" s="1">
        <v>0.71515099999999998</v>
      </c>
      <c r="T33">
        <f t="shared" si="14"/>
        <v>68.834724786416501</v>
      </c>
      <c r="V33" s="1">
        <v>0.45674999999999999</v>
      </c>
      <c r="W33" s="1">
        <v>0.72071799999999997</v>
      </c>
      <c r="X33">
        <f t="shared" si="15"/>
        <v>67.883017951811027</v>
      </c>
      <c r="Z33" s="1">
        <v>0.473242</v>
      </c>
      <c r="AA33" s="1">
        <v>0.72614199999999995</v>
      </c>
      <c r="AB33">
        <f t="shared" si="16"/>
        <v>66.768048144744043</v>
      </c>
      <c r="AD33" s="1">
        <v>0.48897499999999999</v>
      </c>
      <c r="AE33" s="1">
        <v>0.73017399999999999</v>
      </c>
      <c r="AF33">
        <f t="shared" si="17"/>
        <v>65.647023644000001</v>
      </c>
      <c r="AH33" s="1">
        <v>0.50522299999999998</v>
      </c>
      <c r="AI33" s="1">
        <v>0.75792199999999998</v>
      </c>
      <c r="AJ33">
        <f t="shared" si="18"/>
        <v>66.613793200650562</v>
      </c>
      <c r="AL33" s="1">
        <v>0.52831399999999995</v>
      </c>
      <c r="AM33" s="1">
        <v>0.77243200000000001</v>
      </c>
      <c r="AN33">
        <f t="shared" si="19"/>
        <v>65.8289540077335</v>
      </c>
      <c r="AT33" s="61">
        <f t="shared" si="2"/>
        <v>0</v>
      </c>
      <c r="AU33" s="43">
        <f t="shared" si="20"/>
        <v>0</v>
      </c>
      <c r="AV33" s="35">
        <f t="shared" si="21"/>
        <v>0</v>
      </c>
      <c r="AW33" s="36">
        <f t="shared" si="22"/>
        <v>0</v>
      </c>
      <c r="AX33" s="35">
        <f t="shared" si="4"/>
        <v>0</v>
      </c>
      <c r="AY33" s="62">
        <f t="shared" si="5"/>
        <v>0</v>
      </c>
      <c r="AZ33" s="61">
        <f t="shared" si="6"/>
        <v>0</v>
      </c>
      <c r="BA33" s="43">
        <f t="shared" si="23"/>
        <v>0</v>
      </c>
      <c r="BB33" s="35">
        <f t="shared" si="75"/>
        <v>0</v>
      </c>
      <c r="BC33" s="36">
        <f t="shared" si="25"/>
        <v>0</v>
      </c>
      <c r="BD33" s="35">
        <f t="shared" si="26"/>
        <v>0</v>
      </c>
      <c r="BE33" s="62">
        <f t="shared" si="27"/>
        <v>0</v>
      </c>
      <c r="BF33" s="61">
        <f t="shared" si="28"/>
        <v>0</v>
      </c>
      <c r="BG33" s="43">
        <f t="shared" si="29"/>
        <v>0</v>
      </c>
      <c r="BH33" s="35">
        <f t="shared" si="30"/>
        <v>0</v>
      </c>
      <c r="BI33" s="36">
        <f t="shared" si="31"/>
        <v>0</v>
      </c>
      <c r="BJ33" s="35">
        <f t="shared" si="32"/>
        <v>0</v>
      </c>
      <c r="BK33" s="62">
        <f t="shared" si="33"/>
        <v>0</v>
      </c>
      <c r="BL33" s="61">
        <f t="shared" si="34"/>
        <v>0</v>
      </c>
      <c r="BM33" s="43">
        <f t="shared" si="35"/>
        <v>0</v>
      </c>
      <c r="BN33" s="35">
        <f t="shared" si="36"/>
        <v>0</v>
      </c>
      <c r="BO33" s="36">
        <f t="shared" si="37"/>
        <v>0</v>
      </c>
      <c r="BP33" s="35">
        <f t="shared" si="38"/>
        <v>0</v>
      </c>
      <c r="BQ33" s="62">
        <f t="shared" si="39"/>
        <v>0</v>
      </c>
      <c r="BR33" s="61">
        <f t="shared" si="40"/>
        <v>0</v>
      </c>
      <c r="BS33" s="43">
        <f t="shared" si="41"/>
        <v>0</v>
      </c>
      <c r="BT33" s="35">
        <f t="shared" si="42"/>
        <v>0</v>
      </c>
      <c r="BU33" s="36">
        <f t="shared" si="43"/>
        <v>0</v>
      </c>
      <c r="BV33" s="35">
        <f t="shared" si="44"/>
        <v>0</v>
      </c>
      <c r="BW33" s="62">
        <f t="shared" si="45"/>
        <v>0</v>
      </c>
      <c r="BX33" s="61">
        <f t="shared" si="46"/>
        <v>0</v>
      </c>
      <c r="BY33" s="43">
        <f t="shared" si="47"/>
        <v>0</v>
      </c>
      <c r="BZ33" s="35">
        <f t="shared" si="48"/>
        <v>0</v>
      </c>
      <c r="CA33" s="36">
        <f t="shared" si="49"/>
        <v>0</v>
      </c>
      <c r="CB33" s="35">
        <f t="shared" si="50"/>
        <v>0</v>
      </c>
      <c r="CC33" s="62">
        <f t="shared" si="51"/>
        <v>0</v>
      </c>
      <c r="CD33" s="61">
        <f t="shared" si="52"/>
        <v>0</v>
      </c>
      <c r="CE33" s="43">
        <f t="shared" si="53"/>
        <v>0</v>
      </c>
      <c r="CF33" s="35">
        <f t="shared" si="54"/>
        <v>0</v>
      </c>
      <c r="CG33" s="36">
        <f t="shared" si="55"/>
        <v>0</v>
      </c>
      <c r="CH33" s="35">
        <f t="shared" si="56"/>
        <v>0</v>
      </c>
      <c r="CI33" s="62">
        <f t="shared" si="74"/>
        <v>0</v>
      </c>
      <c r="CJ33" s="61">
        <f t="shared" si="57"/>
        <v>0</v>
      </c>
      <c r="CK33" s="43">
        <f t="shared" si="58"/>
        <v>0</v>
      </c>
      <c r="CL33" s="35">
        <f t="shared" si="59"/>
        <v>0</v>
      </c>
      <c r="CM33" s="36">
        <f t="shared" si="60"/>
        <v>0</v>
      </c>
      <c r="CN33" s="35">
        <f t="shared" si="61"/>
        <v>0</v>
      </c>
      <c r="CO33" s="62">
        <f t="shared" si="62"/>
        <v>0</v>
      </c>
      <c r="CP33" s="61">
        <f t="shared" si="63"/>
        <v>0</v>
      </c>
      <c r="CQ33" s="43">
        <f t="shared" si="64"/>
        <v>0</v>
      </c>
      <c r="CR33" s="35">
        <f t="shared" si="65"/>
        <v>0</v>
      </c>
      <c r="CS33" s="36">
        <f t="shared" si="66"/>
        <v>0</v>
      </c>
      <c r="CT33" s="35">
        <f t="shared" si="1"/>
        <v>0</v>
      </c>
      <c r="CU33" s="62">
        <f t="shared" si="67"/>
        <v>0</v>
      </c>
      <c r="CV33" s="61">
        <f t="shared" si="68"/>
        <v>0</v>
      </c>
      <c r="CW33" s="43">
        <f t="shared" si="69"/>
        <v>0</v>
      </c>
      <c r="CX33" s="35">
        <f t="shared" si="70"/>
        <v>0</v>
      </c>
      <c r="CY33" s="36">
        <f t="shared" si="71"/>
        <v>0</v>
      </c>
      <c r="CZ33" s="35">
        <f t="shared" si="72"/>
        <v>0</v>
      </c>
      <c r="DA33" s="62">
        <f t="shared" si="73"/>
        <v>0</v>
      </c>
    </row>
    <row r="34" spans="2:105" x14ac:dyDescent="0.3">
      <c r="B34" s="1">
        <v>0.465615</v>
      </c>
      <c r="C34" s="1">
        <v>0.71421699999999999</v>
      </c>
      <c r="D34">
        <f t="shared" si="10"/>
        <v>71.720941423062669</v>
      </c>
      <c r="F34" s="1">
        <v>0.45868100000000001</v>
      </c>
      <c r="G34" s="1">
        <v>0.72895600000000005</v>
      </c>
      <c r="H34">
        <f t="shared" si="11"/>
        <v>72.397002471704454</v>
      </c>
      <c r="J34" s="1">
        <v>0.45605699999999999</v>
      </c>
      <c r="K34" s="1">
        <v>0.72659700000000005</v>
      </c>
      <c r="L34">
        <f t="shared" si="12"/>
        <v>71.478954726024639</v>
      </c>
      <c r="N34" s="1">
        <v>0.45386799999999999</v>
      </c>
      <c r="O34" s="1">
        <v>0.72446699999999997</v>
      </c>
      <c r="P34">
        <f t="shared" si="13"/>
        <v>71.269416049748202</v>
      </c>
      <c r="R34" s="1">
        <v>0.45658199999999999</v>
      </c>
      <c r="S34" s="1">
        <v>0.72454300000000005</v>
      </c>
      <c r="T34">
        <f t="shared" si="14"/>
        <v>69.738723711390435</v>
      </c>
      <c r="V34" s="1">
        <v>0.47111799999999998</v>
      </c>
      <c r="W34" s="1">
        <v>0.72889300000000001</v>
      </c>
      <c r="X34">
        <f t="shared" si="15"/>
        <v>68.653005203074429</v>
      </c>
      <c r="Z34" s="1">
        <v>0.48812899999999998</v>
      </c>
      <c r="AA34" s="1">
        <v>0.73427699999999996</v>
      </c>
      <c r="AB34">
        <f t="shared" si="16"/>
        <v>67.516053454528489</v>
      </c>
      <c r="AD34" s="1">
        <v>0.50435700000000006</v>
      </c>
      <c r="AE34" s="1">
        <v>0.73831599999999997</v>
      </c>
      <c r="AF34">
        <f t="shared" si="17"/>
        <v>66.379038296000004</v>
      </c>
      <c r="AH34" s="1">
        <v>0.52111600000000002</v>
      </c>
      <c r="AI34" s="1">
        <v>0.76802599999999999</v>
      </c>
      <c r="AJ34">
        <f t="shared" si="18"/>
        <v>67.501834142197822</v>
      </c>
      <c r="AL34" s="1">
        <v>0.54493400000000003</v>
      </c>
      <c r="AM34" s="1">
        <v>0.78274600000000005</v>
      </c>
      <c r="AN34">
        <f t="shared" si="19"/>
        <v>66.707943785002911</v>
      </c>
      <c r="AT34" s="61">
        <f t="shared" si="2"/>
        <v>0</v>
      </c>
      <c r="AU34" s="43">
        <f t="shared" si="20"/>
        <v>0</v>
      </c>
      <c r="AV34" s="35">
        <f t="shared" si="21"/>
        <v>0</v>
      </c>
      <c r="AW34" s="36">
        <f t="shared" si="22"/>
        <v>0</v>
      </c>
      <c r="AX34" s="35">
        <f t="shared" si="4"/>
        <v>0</v>
      </c>
      <c r="AY34" s="62">
        <f t="shared" si="5"/>
        <v>0</v>
      </c>
      <c r="AZ34" s="61">
        <f t="shared" si="6"/>
        <v>0</v>
      </c>
      <c r="BA34" s="43">
        <f t="shared" si="23"/>
        <v>0</v>
      </c>
      <c r="BB34" s="35">
        <f t="shared" si="75"/>
        <v>0</v>
      </c>
      <c r="BC34" s="36">
        <f t="shared" si="25"/>
        <v>0</v>
      </c>
      <c r="BD34" s="35">
        <f t="shared" si="26"/>
        <v>0</v>
      </c>
      <c r="BE34" s="62">
        <f t="shared" si="27"/>
        <v>0</v>
      </c>
      <c r="BF34" s="61">
        <f t="shared" si="28"/>
        <v>0</v>
      </c>
      <c r="BG34" s="43">
        <f t="shared" si="29"/>
        <v>0</v>
      </c>
      <c r="BH34" s="35">
        <f t="shared" si="30"/>
        <v>0</v>
      </c>
      <c r="BI34" s="36">
        <f t="shared" si="31"/>
        <v>0</v>
      </c>
      <c r="BJ34" s="35">
        <f t="shared" si="32"/>
        <v>0</v>
      </c>
      <c r="BK34" s="62">
        <f t="shared" si="33"/>
        <v>0</v>
      </c>
      <c r="BL34" s="61">
        <f t="shared" si="34"/>
        <v>0</v>
      </c>
      <c r="BM34" s="43">
        <f t="shared" si="35"/>
        <v>0</v>
      </c>
      <c r="BN34" s="35">
        <f t="shared" si="36"/>
        <v>0</v>
      </c>
      <c r="BO34" s="36">
        <f t="shared" si="37"/>
        <v>0</v>
      </c>
      <c r="BP34" s="35">
        <f t="shared" si="38"/>
        <v>0</v>
      </c>
      <c r="BQ34" s="62">
        <f t="shared" si="39"/>
        <v>0</v>
      </c>
      <c r="BR34" s="61">
        <f t="shared" si="40"/>
        <v>0</v>
      </c>
      <c r="BS34" s="43">
        <f t="shared" si="41"/>
        <v>0</v>
      </c>
      <c r="BT34" s="35">
        <f t="shared" si="42"/>
        <v>0</v>
      </c>
      <c r="BU34" s="36">
        <f t="shared" si="43"/>
        <v>0</v>
      </c>
      <c r="BV34" s="35">
        <f t="shared" si="44"/>
        <v>0</v>
      </c>
      <c r="BW34" s="62">
        <f t="shared" si="45"/>
        <v>0</v>
      </c>
      <c r="BX34" s="61">
        <f t="shared" si="46"/>
        <v>0</v>
      </c>
      <c r="BY34" s="43">
        <f t="shared" si="47"/>
        <v>0</v>
      </c>
      <c r="BZ34" s="35">
        <f t="shared" si="48"/>
        <v>0</v>
      </c>
      <c r="CA34" s="36">
        <f t="shared" si="49"/>
        <v>0</v>
      </c>
      <c r="CB34" s="35">
        <f t="shared" si="50"/>
        <v>0</v>
      </c>
      <c r="CC34" s="62">
        <f t="shared" si="51"/>
        <v>0</v>
      </c>
      <c r="CD34" s="61">
        <f t="shared" si="52"/>
        <v>0</v>
      </c>
      <c r="CE34" s="43">
        <f t="shared" si="53"/>
        <v>0</v>
      </c>
      <c r="CF34" s="35">
        <f t="shared" si="54"/>
        <v>0</v>
      </c>
      <c r="CG34" s="36">
        <f t="shared" si="55"/>
        <v>0</v>
      </c>
      <c r="CH34" s="35">
        <f t="shared" si="56"/>
        <v>0</v>
      </c>
      <c r="CI34" s="62">
        <f t="shared" si="74"/>
        <v>0</v>
      </c>
      <c r="CJ34" s="61">
        <f t="shared" si="57"/>
        <v>0</v>
      </c>
      <c r="CK34" s="43">
        <f t="shared" si="58"/>
        <v>0</v>
      </c>
      <c r="CL34" s="35">
        <f t="shared" si="59"/>
        <v>0</v>
      </c>
      <c r="CM34" s="36">
        <f t="shared" si="60"/>
        <v>0</v>
      </c>
      <c r="CN34" s="35">
        <f t="shared" si="61"/>
        <v>0</v>
      </c>
      <c r="CO34" s="62">
        <f t="shared" si="62"/>
        <v>0</v>
      </c>
      <c r="CP34" s="61">
        <f t="shared" si="63"/>
        <v>0</v>
      </c>
      <c r="CQ34" s="43">
        <f t="shared" si="64"/>
        <v>0</v>
      </c>
      <c r="CR34" s="35">
        <f t="shared" si="65"/>
        <v>0</v>
      </c>
      <c r="CS34" s="36">
        <f t="shared" si="66"/>
        <v>0</v>
      </c>
      <c r="CT34" s="35">
        <f t="shared" si="1"/>
        <v>0</v>
      </c>
      <c r="CU34" s="62">
        <f t="shared" si="67"/>
        <v>0</v>
      </c>
      <c r="CV34" s="61">
        <f t="shared" si="68"/>
        <v>0</v>
      </c>
      <c r="CW34" s="43">
        <f t="shared" si="69"/>
        <v>0</v>
      </c>
      <c r="CX34" s="35">
        <f t="shared" si="70"/>
        <v>0</v>
      </c>
      <c r="CY34" s="36">
        <f t="shared" si="71"/>
        <v>0</v>
      </c>
      <c r="CZ34" s="35">
        <f t="shared" si="72"/>
        <v>0</v>
      </c>
      <c r="DA34" s="62">
        <f t="shared" si="73"/>
        <v>0</v>
      </c>
    </row>
    <row r="35" spans="2:105" x14ac:dyDescent="0.3">
      <c r="B35" s="1">
        <v>0.47978700000000002</v>
      </c>
      <c r="C35" s="1">
        <v>0.73969099999999999</v>
      </c>
      <c r="D35">
        <f t="shared" si="10"/>
        <v>74.27901447622591</v>
      </c>
      <c r="F35" s="1">
        <v>0.47264200000000001</v>
      </c>
      <c r="G35" s="1">
        <v>0.73818899999999998</v>
      </c>
      <c r="H35">
        <f t="shared" si="11"/>
        <v>73.313987205791619</v>
      </c>
      <c r="J35" s="1">
        <v>0.46993800000000002</v>
      </c>
      <c r="K35" s="1">
        <v>0.73586799999999997</v>
      </c>
      <c r="L35">
        <f t="shared" si="12"/>
        <v>72.39098903013678</v>
      </c>
      <c r="N35" s="1">
        <v>0.46768300000000002</v>
      </c>
      <c r="O35" s="1">
        <v>0.73372400000000004</v>
      </c>
      <c r="P35">
        <f t="shared" si="13"/>
        <v>72.180073104344928</v>
      </c>
      <c r="R35" s="1">
        <v>0.47047899999999998</v>
      </c>
      <c r="S35" s="1">
        <v>0.73312500000000003</v>
      </c>
      <c r="T35">
        <f t="shared" si="14"/>
        <v>70.564758504206253</v>
      </c>
      <c r="V35" s="1">
        <v>0.485458</v>
      </c>
      <c r="W35" s="1">
        <v>0.736877</v>
      </c>
      <c r="X35">
        <f t="shared" si="15"/>
        <v>69.405002538130944</v>
      </c>
      <c r="Z35" s="1">
        <v>0.50298600000000004</v>
      </c>
      <c r="AA35" s="1">
        <v>0.74229199999999995</v>
      </c>
      <c r="AB35">
        <f t="shared" si="16"/>
        <v>68.253024881439643</v>
      </c>
      <c r="AD35" s="1">
        <v>0.51970799999999995</v>
      </c>
      <c r="AE35" s="1">
        <v>0.74626800000000004</v>
      </c>
      <c r="AF35">
        <f t="shared" si="17"/>
        <v>67.093970808000009</v>
      </c>
      <c r="AH35" s="1">
        <v>0.53697799999999996</v>
      </c>
      <c r="AI35" s="1">
        <v>0.77803800000000001</v>
      </c>
      <c r="AJ35">
        <f t="shared" si="18"/>
        <v>68.381789200270958</v>
      </c>
      <c r="AL35" s="1">
        <v>0.56152000000000002</v>
      </c>
      <c r="AM35" s="1">
        <v>0.79293100000000005</v>
      </c>
      <c r="AN35">
        <f t="shared" si="19"/>
        <v>67.575939798333238</v>
      </c>
      <c r="AT35" s="61">
        <f t="shared" si="2"/>
        <v>0</v>
      </c>
      <c r="AU35" s="43">
        <f t="shared" si="20"/>
        <v>0</v>
      </c>
      <c r="AV35" s="35">
        <f t="shared" si="21"/>
        <v>0</v>
      </c>
      <c r="AW35" s="36">
        <f t="shared" si="22"/>
        <v>0</v>
      </c>
      <c r="AX35" s="35">
        <f t="shared" si="4"/>
        <v>0</v>
      </c>
      <c r="AY35" s="62">
        <f t="shared" si="5"/>
        <v>0</v>
      </c>
      <c r="AZ35" s="61">
        <f t="shared" si="6"/>
        <v>0</v>
      </c>
      <c r="BA35" s="43">
        <f t="shared" si="23"/>
        <v>0</v>
      </c>
      <c r="BB35" s="35">
        <f t="shared" si="75"/>
        <v>0</v>
      </c>
      <c r="BC35" s="36">
        <f t="shared" si="25"/>
        <v>0</v>
      </c>
      <c r="BD35" s="35">
        <f t="shared" si="26"/>
        <v>0</v>
      </c>
      <c r="BE35" s="62">
        <f t="shared" si="27"/>
        <v>0</v>
      </c>
      <c r="BF35" s="61">
        <f t="shared" si="28"/>
        <v>0</v>
      </c>
      <c r="BG35" s="43">
        <f t="shared" si="29"/>
        <v>0</v>
      </c>
      <c r="BH35" s="35">
        <f t="shared" si="30"/>
        <v>0</v>
      </c>
      <c r="BI35" s="36">
        <f t="shared" si="31"/>
        <v>0</v>
      </c>
      <c r="BJ35" s="35">
        <f t="shared" si="32"/>
        <v>0</v>
      </c>
      <c r="BK35" s="62">
        <f t="shared" si="33"/>
        <v>0</v>
      </c>
      <c r="BL35" s="61">
        <f t="shared" si="34"/>
        <v>0</v>
      </c>
      <c r="BM35" s="43">
        <f t="shared" si="35"/>
        <v>0</v>
      </c>
      <c r="BN35" s="35">
        <f t="shared" si="36"/>
        <v>0</v>
      </c>
      <c r="BO35" s="36">
        <f t="shared" si="37"/>
        <v>0</v>
      </c>
      <c r="BP35" s="35">
        <f t="shared" si="38"/>
        <v>0</v>
      </c>
      <c r="BQ35" s="62">
        <f t="shared" si="39"/>
        <v>0</v>
      </c>
      <c r="BR35" s="61">
        <f t="shared" si="40"/>
        <v>0</v>
      </c>
      <c r="BS35" s="43">
        <f t="shared" si="41"/>
        <v>0</v>
      </c>
      <c r="BT35" s="35">
        <f t="shared" si="42"/>
        <v>0</v>
      </c>
      <c r="BU35" s="36">
        <f t="shared" si="43"/>
        <v>0</v>
      </c>
      <c r="BV35" s="35">
        <f t="shared" si="44"/>
        <v>0</v>
      </c>
      <c r="BW35" s="62">
        <f t="shared" si="45"/>
        <v>0</v>
      </c>
      <c r="BX35" s="61">
        <f t="shared" si="46"/>
        <v>0</v>
      </c>
      <c r="BY35" s="43">
        <f t="shared" si="47"/>
        <v>0</v>
      </c>
      <c r="BZ35" s="35">
        <f t="shared" si="48"/>
        <v>0</v>
      </c>
      <c r="CA35" s="36">
        <f t="shared" si="49"/>
        <v>0</v>
      </c>
      <c r="CB35" s="35">
        <f t="shared" si="50"/>
        <v>0</v>
      </c>
      <c r="CC35" s="62">
        <f t="shared" si="51"/>
        <v>0</v>
      </c>
      <c r="CD35" s="61">
        <f t="shared" si="52"/>
        <v>0</v>
      </c>
      <c r="CE35" s="43">
        <f t="shared" si="53"/>
        <v>0</v>
      </c>
      <c r="CF35" s="35">
        <f t="shared" si="54"/>
        <v>0</v>
      </c>
      <c r="CG35" s="36">
        <f t="shared" si="55"/>
        <v>0</v>
      </c>
      <c r="CH35" s="35">
        <f t="shared" si="56"/>
        <v>0</v>
      </c>
      <c r="CI35" s="62">
        <f t="shared" si="74"/>
        <v>0</v>
      </c>
      <c r="CJ35" s="61">
        <f t="shared" si="57"/>
        <v>0</v>
      </c>
      <c r="CK35" s="43">
        <f t="shared" si="58"/>
        <v>0</v>
      </c>
      <c r="CL35" s="35">
        <f t="shared" si="59"/>
        <v>0</v>
      </c>
      <c r="CM35" s="36">
        <f t="shared" si="60"/>
        <v>0</v>
      </c>
      <c r="CN35" s="35">
        <f t="shared" si="61"/>
        <v>0</v>
      </c>
      <c r="CO35" s="62">
        <f t="shared" si="62"/>
        <v>0</v>
      </c>
      <c r="CP35" s="61">
        <f t="shared" si="63"/>
        <v>0</v>
      </c>
      <c r="CQ35" s="43">
        <f t="shared" si="64"/>
        <v>0</v>
      </c>
      <c r="CR35" s="35">
        <f t="shared" si="65"/>
        <v>0</v>
      </c>
      <c r="CS35" s="36">
        <f t="shared" si="66"/>
        <v>0</v>
      </c>
      <c r="CT35" s="35">
        <f t="shared" si="1"/>
        <v>0</v>
      </c>
      <c r="CU35" s="62">
        <f t="shared" si="67"/>
        <v>0</v>
      </c>
      <c r="CV35" s="61">
        <f t="shared" si="68"/>
        <v>0</v>
      </c>
      <c r="CW35" s="43">
        <f t="shared" si="69"/>
        <v>0</v>
      </c>
      <c r="CX35" s="35">
        <f t="shared" si="70"/>
        <v>0</v>
      </c>
      <c r="CY35" s="36">
        <f t="shared" si="71"/>
        <v>0</v>
      </c>
      <c r="CZ35" s="35">
        <f t="shared" si="72"/>
        <v>0</v>
      </c>
      <c r="DA35" s="62">
        <f t="shared" si="73"/>
        <v>0</v>
      </c>
    </row>
    <row r="36" spans="2:105" x14ac:dyDescent="0.3">
      <c r="B36" s="1">
        <v>0.49398799999999998</v>
      </c>
      <c r="C36" s="1">
        <v>0.74876299999999996</v>
      </c>
      <c r="D36">
        <f t="shared" si="10"/>
        <v>75.190015447345374</v>
      </c>
      <c r="F36" s="1">
        <v>0.48663099999999998</v>
      </c>
      <c r="G36" s="1">
        <v>0.747332</v>
      </c>
      <c r="H36">
        <f t="shared" si="11"/>
        <v>74.222033498844681</v>
      </c>
      <c r="J36" s="1">
        <v>0.48384700000000003</v>
      </c>
      <c r="K36" s="1">
        <v>0.74501700000000004</v>
      </c>
      <c r="L36">
        <f t="shared" si="12"/>
        <v>73.291021588471608</v>
      </c>
      <c r="N36" s="1">
        <v>0.48152499999999998</v>
      </c>
      <c r="O36" s="1">
        <v>0.74285699999999999</v>
      </c>
      <c r="P36">
        <f t="shared" si="13"/>
        <v>73.07853166323352</v>
      </c>
      <c r="R36" s="1">
        <v>0.484404</v>
      </c>
      <c r="S36" s="1">
        <v>0.741031</v>
      </c>
      <c r="T36">
        <f t="shared" si="14"/>
        <v>71.325726934875306</v>
      </c>
      <c r="V36" s="1">
        <v>0.49982599999999999</v>
      </c>
      <c r="W36" s="1">
        <v>0.74470199999999998</v>
      </c>
      <c r="X36">
        <f t="shared" si="15"/>
        <v>70.142023974355538</v>
      </c>
      <c r="Z36" s="1">
        <v>0.51787399999999995</v>
      </c>
      <c r="AA36" s="1">
        <v>0.75014400000000003</v>
      </c>
      <c r="AB36">
        <f t="shared" si="16"/>
        <v>68.975008617447941</v>
      </c>
      <c r="AD36" s="1">
        <v>0.53509099999999998</v>
      </c>
      <c r="AE36" s="1">
        <v>0.77922499999999995</v>
      </c>
      <c r="AF36">
        <f t="shared" si="17"/>
        <v>70.057002850000003</v>
      </c>
      <c r="AH36" s="1">
        <v>0.552871</v>
      </c>
      <c r="AI36" s="1">
        <v>0.78784600000000005</v>
      </c>
      <c r="AJ36">
        <f t="shared" si="18"/>
        <v>69.243814690640662</v>
      </c>
      <c r="AL36" s="1">
        <v>0.57813999999999999</v>
      </c>
      <c r="AM36" s="1">
        <v>0.80290499999999998</v>
      </c>
      <c r="AN36">
        <f t="shared" si="19"/>
        <v>68.425953763670151</v>
      </c>
      <c r="AT36" s="61">
        <f t="shared" si="2"/>
        <v>0</v>
      </c>
      <c r="AU36" s="43">
        <f t="shared" si="20"/>
        <v>0</v>
      </c>
      <c r="AV36" s="35">
        <f t="shared" si="21"/>
        <v>0</v>
      </c>
      <c r="AW36" s="36">
        <f t="shared" si="22"/>
        <v>0</v>
      </c>
      <c r="AX36" s="35">
        <f t="shared" si="4"/>
        <v>0</v>
      </c>
      <c r="AY36" s="62">
        <f t="shared" si="5"/>
        <v>0</v>
      </c>
      <c r="AZ36" s="61">
        <f t="shared" si="6"/>
        <v>0</v>
      </c>
      <c r="BA36" s="43">
        <f t="shared" si="23"/>
        <v>0</v>
      </c>
      <c r="BB36" s="35">
        <f t="shared" si="75"/>
        <v>0</v>
      </c>
      <c r="BC36" s="36">
        <f t="shared" si="25"/>
        <v>0</v>
      </c>
      <c r="BD36" s="35">
        <f t="shared" si="26"/>
        <v>0</v>
      </c>
      <c r="BE36" s="62">
        <f t="shared" si="27"/>
        <v>0</v>
      </c>
      <c r="BF36" s="61">
        <f t="shared" si="28"/>
        <v>0</v>
      </c>
      <c r="BG36" s="43">
        <f t="shared" si="29"/>
        <v>0</v>
      </c>
      <c r="BH36" s="35">
        <f t="shared" si="30"/>
        <v>0</v>
      </c>
      <c r="BI36" s="36">
        <f t="shared" si="31"/>
        <v>0</v>
      </c>
      <c r="BJ36" s="35">
        <f t="shared" si="32"/>
        <v>0</v>
      </c>
      <c r="BK36" s="62">
        <f t="shared" si="33"/>
        <v>0</v>
      </c>
      <c r="BL36" s="61">
        <f t="shared" si="34"/>
        <v>0</v>
      </c>
      <c r="BM36" s="43">
        <f t="shared" si="35"/>
        <v>0</v>
      </c>
      <c r="BN36" s="35">
        <f t="shared" si="36"/>
        <v>0</v>
      </c>
      <c r="BO36" s="36">
        <f t="shared" si="37"/>
        <v>0</v>
      </c>
      <c r="BP36" s="35">
        <f t="shared" si="38"/>
        <v>0</v>
      </c>
      <c r="BQ36" s="62">
        <f t="shared" si="39"/>
        <v>0</v>
      </c>
      <c r="BR36" s="61">
        <f t="shared" si="40"/>
        <v>0</v>
      </c>
      <c r="BS36" s="43">
        <f t="shared" si="41"/>
        <v>0</v>
      </c>
      <c r="BT36" s="35">
        <f t="shared" si="42"/>
        <v>0</v>
      </c>
      <c r="BU36" s="36">
        <f t="shared" si="43"/>
        <v>0</v>
      </c>
      <c r="BV36" s="35">
        <f t="shared" si="44"/>
        <v>0</v>
      </c>
      <c r="BW36" s="62">
        <f t="shared" si="45"/>
        <v>0</v>
      </c>
      <c r="BX36" s="61">
        <f t="shared" si="46"/>
        <v>0</v>
      </c>
      <c r="BY36" s="43">
        <f t="shared" si="47"/>
        <v>0</v>
      </c>
      <c r="BZ36" s="35">
        <f t="shared" si="48"/>
        <v>0</v>
      </c>
      <c r="CA36" s="36">
        <f t="shared" si="49"/>
        <v>0</v>
      </c>
      <c r="CB36" s="35">
        <f t="shared" si="50"/>
        <v>0</v>
      </c>
      <c r="CC36" s="62">
        <f t="shared" si="51"/>
        <v>0</v>
      </c>
      <c r="CD36" s="61">
        <f t="shared" si="52"/>
        <v>0</v>
      </c>
      <c r="CE36" s="43">
        <f t="shared" si="53"/>
        <v>0</v>
      </c>
      <c r="CF36" s="35">
        <f t="shared" si="54"/>
        <v>0</v>
      </c>
      <c r="CG36" s="36">
        <f t="shared" si="55"/>
        <v>0</v>
      </c>
      <c r="CH36" s="35">
        <f t="shared" si="56"/>
        <v>0</v>
      </c>
      <c r="CI36" s="62">
        <f t="shared" si="74"/>
        <v>0</v>
      </c>
      <c r="CJ36" s="61">
        <f t="shared" si="57"/>
        <v>0</v>
      </c>
      <c r="CK36" s="43">
        <f t="shared" si="58"/>
        <v>0</v>
      </c>
      <c r="CL36" s="35">
        <f t="shared" si="59"/>
        <v>0</v>
      </c>
      <c r="CM36" s="36">
        <f t="shared" si="60"/>
        <v>0</v>
      </c>
      <c r="CN36" s="35">
        <f t="shared" si="61"/>
        <v>0</v>
      </c>
      <c r="CO36" s="62">
        <f t="shared" si="62"/>
        <v>0</v>
      </c>
      <c r="CP36" s="61">
        <f t="shared" si="63"/>
        <v>0</v>
      </c>
      <c r="CQ36" s="43">
        <f t="shared" si="64"/>
        <v>0</v>
      </c>
      <c r="CR36" s="35">
        <f t="shared" si="65"/>
        <v>0</v>
      </c>
      <c r="CS36" s="36">
        <f t="shared" si="66"/>
        <v>0</v>
      </c>
      <c r="CT36" s="35">
        <f t="shared" si="1"/>
        <v>0</v>
      </c>
      <c r="CU36" s="62">
        <f t="shared" si="67"/>
        <v>0</v>
      </c>
      <c r="CV36" s="61">
        <f t="shared" si="68"/>
        <v>0</v>
      </c>
      <c r="CW36" s="43">
        <f t="shared" si="69"/>
        <v>0</v>
      </c>
      <c r="CX36" s="35">
        <f t="shared" si="70"/>
        <v>0</v>
      </c>
      <c r="CY36" s="36">
        <f t="shared" si="71"/>
        <v>0</v>
      </c>
      <c r="CZ36" s="35">
        <f t="shared" si="72"/>
        <v>0</v>
      </c>
      <c r="DA36" s="62">
        <f t="shared" si="73"/>
        <v>0</v>
      </c>
    </row>
    <row r="37" spans="2:105" x14ac:dyDescent="0.3">
      <c r="B37" s="1">
        <v>0.50815999999999995</v>
      </c>
      <c r="C37" s="1">
        <v>0.75761599999999996</v>
      </c>
      <c r="D37">
        <f t="shared" si="10"/>
        <v>76.079024662217563</v>
      </c>
      <c r="F37" s="1">
        <v>0.50059200000000004</v>
      </c>
      <c r="G37" s="1">
        <v>0.756243</v>
      </c>
      <c r="H37">
        <f t="shared" si="11"/>
        <v>75.107038477232081</v>
      </c>
      <c r="J37" s="1">
        <v>0.49772899999999998</v>
      </c>
      <c r="K37" s="1">
        <v>0.75395199999999996</v>
      </c>
      <c r="L37">
        <f t="shared" si="12"/>
        <v>74.170001904213379</v>
      </c>
      <c r="N37" s="1">
        <v>0.49533899999999997</v>
      </c>
      <c r="O37" s="1">
        <v>0.75183699999999998</v>
      </c>
      <c r="P37">
        <f t="shared" si="13"/>
        <v>73.961938852417759</v>
      </c>
      <c r="R37" s="1">
        <v>0.49830099999999999</v>
      </c>
      <c r="S37" s="1">
        <v>0.74878199999999995</v>
      </c>
      <c r="T37">
        <f t="shared" si="14"/>
        <v>72.071776303217817</v>
      </c>
      <c r="V37" s="1">
        <v>0.51416600000000001</v>
      </c>
      <c r="W37" s="1">
        <v>0.75245300000000004</v>
      </c>
      <c r="X37">
        <f t="shared" si="15"/>
        <v>70.872075495400509</v>
      </c>
      <c r="Z37" s="1">
        <v>0.53273099999999995</v>
      </c>
      <c r="AA37" s="1">
        <v>0.75787700000000002</v>
      </c>
      <c r="AB37">
        <f t="shared" si="16"/>
        <v>69.686050419606886</v>
      </c>
      <c r="AD37" s="1">
        <v>0.55044199999999999</v>
      </c>
      <c r="AE37" s="1">
        <v>0.788802</v>
      </c>
      <c r="AF37">
        <f t="shared" si="17"/>
        <v>70.918032612000005</v>
      </c>
      <c r="AH37" s="1">
        <v>0.56873200000000002</v>
      </c>
      <c r="AI37" s="1">
        <v>0.79756300000000002</v>
      </c>
      <c r="AJ37">
        <f t="shared" si="18"/>
        <v>70.097842187574017</v>
      </c>
      <c r="AL37" s="1">
        <v>0.59472599999999998</v>
      </c>
      <c r="AM37" s="1">
        <v>0.81169400000000003</v>
      </c>
      <c r="AN37">
        <f t="shared" si="19"/>
        <v>69.174978502124773</v>
      </c>
      <c r="AT37" s="61">
        <f t="shared" si="2"/>
        <v>0</v>
      </c>
      <c r="AU37" s="43">
        <f t="shared" si="20"/>
        <v>0</v>
      </c>
      <c r="AV37" s="35">
        <f t="shared" si="21"/>
        <v>0</v>
      </c>
      <c r="AW37" s="36">
        <f t="shared" si="22"/>
        <v>0</v>
      </c>
      <c r="AX37" s="35">
        <f t="shared" si="4"/>
        <v>0</v>
      </c>
      <c r="AY37" s="62">
        <f t="shared" si="5"/>
        <v>0</v>
      </c>
      <c r="AZ37" s="61">
        <f t="shared" si="6"/>
        <v>0</v>
      </c>
      <c r="BA37" s="43">
        <f t="shared" si="23"/>
        <v>0</v>
      </c>
      <c r="BB37" s="35">
        <f t="shared" si="75"/>
        <v>0</v>
      </c>
      <c r="BC37" s="36">
        <f t="shared" si="25"/>
        <v>0</v>
      </c>
      <c r="BD37" s="35">
        <f t="shared" si="26"/>
        <v>0</v>
      </c>
      <c r="BE37" s="62">
        <f t="shared" si="27"/>
        <v>0</v>
      </c>
      <c r="BF37" s="61">
        <f t="shared" si="28"/>
        <v>0</v>
      </c>
      <c r="BG37" s="43">
        <f t="shared" si="29"/>
        <v>0</v>
      </c>
      <c r="BH37" s="35">
        <f t="shared" si="30"/>
        <v>0</v>
      </c>
      <c r="BI37" s="36">
        <f t="shared" si="31"/>
        <v>0</v>
      </c>
      <c r="BJ37" s="35">
        <f t="shared" si="32"/>
        <v>0</v>
      </c>
      <c r="BK37" s="62">
        <f t="shared" si="33"/>
        <v>0</v>
      </c>
      <c r="BL37" s="61">
        <f t="shared" si="34"/>
        <v>0</v>
      </c>
      <c r="BM37" s="43">
        <f t="shared" si="35"/>
        <v>0</v>
      </c>
      <c r="BN37" s="35">
        <f t="shared" si="36"/>
        <v>0</v>
      </c>
      <c r="BO37" s="36">
        <f t="shared" si="37"/>
        <v>0</v>
      </c>
      <c r="BP37" s="35">
        <f t="shared" si="38"/>
        <v>0</v>
      </c>
      <c r="BQ37" s="62">
        <f t="shared" si="39"/>
        <v>0</v>
      </c>
      <c r="BR37" s="61">
        <f t="shared" si="40"/>
        <v>0</v>
      </c>
      <c r="BS37" s="43">
        <f t="shared" si="41"/>
        <v>0</v>
      </c>
      <c r="BT37" s="35">
        <f t="shared" si="42"/>
        <v>0</v>
      </c>
      <c r="BU37" s="36">
        <f t="shared" si="43"/>
        <v>0</v>
      </c>
      <c r="BV37" s="35">
        <f t="shared" si="44"/>
        <v>0</v>
      </c>
      <c r="BW37" s="62">
        <f t="shared" si="45"/>
        <v>0</v>
      </c>
      <c r="BX37" s="61">
        <f t="shared" si="46"/>
        <v>0</v>
      </c>
      <c r="BY37" s="43">
        <f t="shared" si="47"/>
        <v>0</v>
      </c>
      <c r="BZ37" s="35">
        <f t="shared" si="48"/>
        <v>0</v>
      </c>
      <c r="CA37" s="36">
        <f t="shared" si="49"/>
        <v>0</v>
      </c>
      <c r="CB37" s="35">
        <f t="shared" si="50"/>
        <v>0</v>
      </c>
      <c r="CC37" s="62">
        <f t="shared" si="51"/>
        <v>0</v>
      </c>
      <c r="CD37" s="61">
        <f t="shared" si="52"/>
        <v>0</v>
      </c>
      <c r="CE37" s="43">
        <f t="shared" si="53"/>
        <v>0</v>
      </c>
      <c r="CF37" s="35">
        <f t="shared" si="54"/>
        <v>0</v>
      </c>
      <c r="CG37" s="36">
        <f t="shared" si="55"/>
        <v>0</v>
      </c>
      <c r="CH37" s="35">
        <f t="shared" si="56"/>
        <v>0</v>
      </c>
      <c r="CI37" s="62">
        <f t="shared" si="74"/>
        <v>0</v>
      </c>
      <c r="CJ37" s="61">
        <f t="shared" si="57"/>
        <v>0</v>
      </c>
      <c r="CK37" s="43">
        <f t="shared" si="58"/>
        <v>0</v>
      </c>
      <c r="CL37" s="35">
        <f t="shared" si="59"/>
        <v>0</v>
      </c>
      <c r="CM37" s="36">
        <f t="shared" si="60"/>
        <v>0</v>
      </c>
      <c r="CN37" s="35">
        <f t="shared" si="61"/>
        <v>0</v>
      </c>
      <c r="CO37" s="62">
        <f t="shared" si="62"/>
        <v>0</v>
      </c>
      <c r="CP37" s="61">
        <f t="shared" si="63"/>
        <v>0</v>
      </c>
      <c r="CQ37" s="43">
        <f t="shared" si="64"/>
        <v>0</v>
      </c>
      <c r="CR37" s="35">
        <f t="shared" si="65"/>
        <v>0</v>
      </c>
      <c r="CS37" s="36">
        <f t="shared" si="66"/>
        <v>0</v>
      </c>
      <c r="CT37" s="35">
        <f t="shared" si="1"/>
        <v>0</v>
      </c>
      <c r="CU37" s="62">
        <f t="shared" si="67"/>
        <v>0</v>
      </c>
      <c r="CV37" s="61">
        <f t="shared" si="68"/>
        <v>0</v>
      </c>
      <c r="CW37" s="43">
        <f t="shared" si="69"/>
        <v>0</v>
      </c>
      <c r="CX37" s="35">
        <f t="shared" si="70"/>
        <v>0</v>
      </c>
      <c r="CY37" s="36">
        <f t="shared" si="71"/>
        <v>0</v>
      </c>
      <c r="CZ37" s="35">
        <f t="shared" si="72"/>
        <v>0</v>
      </c>
      <c r="DA37" s="62">
        <f t="shared" si="73"/>
        <v>0</v>
      </c>
    </row>
    <row r="38" spans="2:105" x14ac:dyDescent="0.3">
      <c r="B38" s="1">
        <v>0.52233200000000002</v>
      </c>
      <c r="C38" s="1">
        <v>0.76638899999999999</v>
      </c>
      <c r="D38">
        <f t="shared" si="10"/>
        <v>76.960000358825923</v>
      </c>
      <c r="F38" s="1">
        <v>0.51455300000000004</v>
      </c>
      <c r="G38" s="1">
        <v>0.76505299999999998</v>
      </c>
      <c r="H38">
        <f t="shared" si="11"/>
        <v>75.982012538458974</v>
      </c>
      <c r="J38" s="1">
        <v>0.51161000000000001</v>
      </c>
      <c r="K38" s="1">
        <v>0.76276500000000003</v>
      </c>
      <c r="L38">
        <f t="shared" si="12"/>
        <v>75.036980474177824</v>
      </c>
      <c r="N38" s="1">
        <v>0.509154</v>
      </c>
      <c r="O38" s="1">
        <v>0.75952299999999995</v>
      </c>
      <c r="P38">
        <f t="shared" si="13"/>
        <v>74.718048836389926</v>
      </c>
      <c r="R38" s="1">
        <v>0.51219899999999996</v>
      </c>
      <c r="S38" s="1">
        <v>0.75625200000000004</v>
      </c>
      <c r="T38">
        <f t="shared" si="14"/>
        <v>72.790778855342523</v>
      </c>
      <c r="V38" s="1">
        <v>0.528505</v>
      </c>
      <c r="W38" s="1">
        <v>0.76006499999999999</v>
      </c>
      <c r="X38">
        <f t="shared" si="15"/>
        <v>71.58903487847293</v>
      </c>
      <c r="Z38" s="1">
        <v>0.54758799999999996</v>
      </c>
      <c r="AA38" s="1">
        <v>0.78962299999999996</v>
      </c>
      <c r="AB38">
        <f t="shared" si="16"/>
        <v>72.605064133733109</v>
      </c>
      <c r="AD38" s="1">
        <v>0.56579299999999999</v>
      </c>
      <c r="AE38" s="1">
        <v>0.79820000000000002</v>
      </c>
      <c r="AF38">
        <f t="shared" si="17"/>
        <v>71.762969200000001</v>
      </c>
      <c r="AH38" s="1">
        <v>0.58459399999999995</v>
      </c>
      <c r="AI38" s="1">
        <v>0.807029</v>
      </c>
      <c r="AJ38">
        <f t="shared" si="18"/>
        <v>70.929809285029108</v>
      </c>
      <c r="AL38" s="1">
        <v>0.61131199999999997</v>
      </c>
      <c r="AM38" s="1">
        <v>0.81989599999999996</v>
      </c>
      <c r="AN38">
        <f t="shared" si="19"/>
        <v>69.873977353507712</v>
      </c>
      <c r="AT38" s="61">
        <f t="shared" si="2"/>
        <v>0</v>
      </c>
      <c r="AU38" s="43">
        <f t="shared" si="20"/>
        <v>0</v>
      </c>
      <c r="AV38" s="35">
        <f t="shared" si="21"/>
        <v>0</v>
      </c>
      <c r="AW38" s="36">
        <f t="shared" si="22"/>
        <v>0</v>
      </c>
      <c r="AX38" s="35">
        <f t="shared" si="4"/>
        <v>0</v>
      </c>
      <c r="AY38" s="62">
        <f t="shared" si="5"/>
        <v>0</v>
      </c>
      <c r="AZ38" s="61">
        <f t="shared" si="6"/>
        <v>0</v>
      </c>
      <c r="BA38" s="43">
        <f t="shared" si="23"/>
        <v>0</v>
      </c>
      <c r="BB38" s="35">
        <f t="shared" si="75"/>
        <v>0</v>
      </c>
      <c r="BC38" s="36">
        <f t="shared" si="25"/>
        <v>0</v>
      </c>
      <c r="BD38" s="35">
        <f t="shared" si="26"/>
        <v>0</v>
      </c>
      <c r="BE38" s="62">
        <f t="shared" si="27"/>
        <v>0</v>
      </c>
      <c r="BF38" s="61">
        <f t="shared" si="28"/>
        <v>0</v>
      </c>
      <c r="BG38" s="43">
        <f t="shared" si="29"/>
        <v>0</v>
      </c>
      <c r="BH38" s="35">
        <f t="shared" si="30"/>
        <v>0</v>
      </c>
      <c r="BI38" s="36">
        <f t="shared" si="31"/>
        <v>0</v>
      </c>
      <c r="BJ38" s="35">
        <f t="shared" si="32"/>
        <v>0</v>
      </c>
      <c r="BK38" s="62">
        <f t="shared" si="33"/>
        <v>0</v>
      </c>
      <c r="BL38" s="61">
        <f t="shared" si="34"/>
        <v>0</v>
      </c>
      <c r="BM38" s="43">
        <f t="shared" si="35"/>
        <v>0</v>
      </c>
      <c r="BN38" s="35">
        <f t="shared" si="36"/>
        <v>0</v>
      </c>
      <c r="BO38" s="36">
        <f t="shared" si="37"/>
        <v>0</v>
      </c>
      <c r="BP38" s="35">
        <f t="shared" si="38"/>
        <v>0</v>
      </c>
      <c r="BQ38" s="62">
        <f t="shared" si="39"/>
        <v>0</v>
      </c>
      <c r="BR38" s="61">
        <f t="shared" si="40"/>
        <v>0</v>
      </c>
      <c r="BS38" s="43">
        <f t="shared" si="41"/>
        <v>0</v>
      </c>
      <c r="BT38" s="35">
        <f t="shared" si="42"/>
        <v>0</v>
      </c>
      <c r="BU38" s="36">
        <f t="shared" si="43"/>
        <v>0</v>
      </c>
      <c r="BV38" s="35">
        <f t="shared" si="44"/>
        <v>0</v>
      </c>
      <c r="BW38" s="62">
        <f t="shared" si="45"/>
        <v>0</v>
      </c>
      <c r="BX38" s="61">
        <f t="shared" si="46"/>
        <v>0</v>
      </c>
      <c r="BY38" s="43">
        <f t="shared" si="47"/>
        <v>0</v>
      </c>
      <c r="BZ38" s="35">
        <f t="shared" si="48"/>
        <v>0</v>
      </c>
      <c r="CA38" s="36">
        <f t="shared" si="49"/>
        <v>0</v>
      </c>
      <c r="CB38" s="35">
        <f t="shared" si="50"/>
        <v>0</v>
      </c>
      <c r="CC38" s="62">
        <f t="shared" si="51"/>
        <v>0</v>
      </c>
      <c r="CD38" s="61">
        <f t="shared" si="52"/>
        <v>0</v>
      </c>
      <c r="CE38" s="43">
        <f t="shared" si="53"/>
        <v>0</v>
      </c>
      <c r="CF38" s="35">
        <f t="shared" si="54"/>
        <v>0</v>
      </c>
      <c r="CG38" s="36">
        <f t="shared" si="55"/>
        <v>0</v>
      </c>
      <c r="CH38" s="35">
        <f t="shared" si="56"/>
        <v>0</v>
      </c>
      <c r="CI38" s="62">
        <f t="shared" si="74"/>
        <v>0</v>
      </c>
      <c r="CJ38" s="61">
        <f t="shared" si="57"/>
        <v>0</v>
      </c>
      <c r="CK38" s="43">
        <f t="shared" si="58"/>
        <v>0</v>
      </c>
      <c r="CL38" s="35">
        <f t="shared" si="59"/>
        <v>0</v>
      </c>
      <c r="CM38" s="36">
        <f t="shared" si="60"/>
        <v>0</v>
      </c>
      <c r="CN38" s="35">
        <f t="shared" si="61"/>
        <v>0</v>
      </c>
      <c r="CO38" s="62">
        <f t="shared" si="62"/>
        <v>0</v>
      </c>
      <c r="CP38" s="61">
        <f t="shared" si="63"/>
        <v>0</v>
      </c>
      <c r="CQ38" s="43">
        <f t="shared" si="64"/>
        <v>0</v>
      </c>
      <c r="CR38" s="35">
        <f t="shared" si="65"/>
        <v>0</v>
      </c>
      <c r="CS38" s="36">
        <f t="shared" si="66"/>
        <v>0</v>
      </c>
      <c r="CT38" s="35">
        <f t="shared" si="1"/>
        <v>0</v>
      </c>
      <c r="CU38" s="62">
        <f t="shared" si="67"/>
        <v>0</v>
      </c>
      <c r="CV38" s="61">
        <f t="shared" si="68"/>
        <v>0</v>
      </c>
      <c r="CW38" s="43">
        <f t="shared" si="69"/>
        <v>0</v>
      </c>
      <c r="CX38" s="35">
        <f t="shared" si="70"/>
        <v>0</v>
      </c>
      <c r="CY38" s="36">
        <f t="shared" si="71"/>
        <v>0</v>
      </c>
      <c r="CZ38" s="35">
        <f t="shared" si="72"/>
        <v>0</v>
      </c>
      <c r="DA38" s="62">
        <f t="shared" si="73"/>
        <v>0</v>
      </c>
    </row>
    <row r="39" spans="2:105" x14ac:dyDescent="0.3">
      <c r="B39" s="1">
        <v>0.53650399999999998</v>
      </c>
      <c r="C39" s="1">
        <v>0.775142</v>
      </c>
      <c r="D39">
        <f t="shared" si="10"/>
        <v>77.838967675868318</v>
      </c>
      <c r="F39" s="1">
        <v>0.52851400000000004</v>
      </c>
      <c r="G39" s="1">
        <v>0.77380300000000002</v>
      </c>
      <c r="H39">
        <f t="shared" si="11"/>
        <v>76.851027638996484</v>
      </c>
      <c r="J39" s="1">
        <v>0.52549100000000004</v>
      </c>
      <c r="K39" s="1">
        <v>0.77149699999999999</v>
      </c>
      <c r="L39">
        <f t="shared" si="12"/>
        <v>75.895990671945839</v>
      </c>
      <c r="N39" s="1">
        <v>0.52296799999999999</v>
      </c>
      <c r="O39" s="1">
        <v>0.76703500000000002</v>
      </c>
      <c r="P39">
        <f t="shared" si="13"/>
        <v>75.457041576384583</v>
      </c>
      <c r="R39" s="1">
        <v>0.52609600000000001</v>
      </c>
      <c r="S39" s="1">
        <v>0.76366000000000001</v>
      </c>
      <c r="T39">
        <f t="shared" si="14"/>
        <v>73.503813782536596</v>
      </c>
      <c r="V39" s="1">
        <v>0.54284500000000002</v>
      </c>
      <c r="W39" s="1">
        <v>0.76743300000000003</v>
      </c>
      <c r="X39">
        <f t="shared" si="15"/>
        <v>72.283012379061148</v>
      </c>
      <c r="Z39" s="1">
        <v>0.562446</v>
      </c>
      <c r="AA39" s="1">
        <v>0.79876899999999995</v>
      </c>
      <c r="AB39">
        <f t="shared" si="16"/>
        <v>73.446029906724931</v>
      </c>
      <c r="AD39" s="1">
        <v>0.58114399999999999</v>
      </c>
      <c r="AE39" s="1">
        <v>0.80748799999999998</v>
      </c>
      <c r="AF39">
        <f t="shared" si="17"/>
        <v>72.598016127999998</v>
      </c>
      <c r="AH39" s="1">
        <v>0.60045499999999996</v>
      </c>
      <c r="AI39" s="1">
        <v>0.81576800000000005</v>
      </c>
      <c r="AJ39">
        <f t="shared" si="18"/>
        <v>71.697880325031221</v>
      </c>
      <c r="AL39" s="1">
        <v>0.62789799999999996</v>
      </c>
      <c r="AM39" s="1">
        <v>0.82794599999999996</v>
      </c>
      <c r="AN39">
        <f t="shared" si="19"/>
        <v>70.56002231249731</v>
      </c>
      <c r="AT39" s="61">
        <f t="shared" ref="AT39:AT74" si="76">IF($AQ$4&gt;B39,0,1)</f>
        <v>0</v>
      </c>
      <c r="AU39" s="43">
        <f t="shared" si="20"/>
        <v>0</v>
      </c>
      <c r="AV39" s="35">
        <f t="shared" si="21"/>
        <v>0</v>
      </c>
      <c r="AW39" s="36">
        <f t="shared" si="22"/>
        <v>0</v>
      </c>
      <c r="AX39" s="35">
        <f t="shared" ref="AX39:AX74" si="77">IF(AV38=0,0,B39)</f>
        <v>0</v>
      </c>
      <c r="AY39" s="62">
        <f t="shared" ref="AY39:AY70" si="78">IF(AX39=0,0,C39)</f>
        <v>0</v>
      </c>
      <c r="AZ39" s="61">
        <f t="shared" ref="AZ39:AZ74" si="79">IF($AQ$4&gt;F39,0,1)</f>
        <v>0</v>
      </c>
      <c r="BA39" s="43">
        <f t="shared" si="23"/>
        <v>0</v>
      </c>
      <c r="BB39" s="35">
        <f t="shared" si="75"/>
        <v>0</v>
      </c>
      <c r="BC39" s="36">
        <f t="shared" si="25"/>
        <v>0</v>
      </c>
      <c r="BD39" s="35">
        <f t="shared" si="26"/>
        <v>0</v>
      </c>
      <c r="BE39" s="62">
        <f t="shared" si="27"/>
        <v>0</v>
      </c>
      <c r="BF39" s="61">
        <f t="shared" si="28"/>
        <v>0</v>
      </c>
      <c r="BG39" s="43">
        <f t="shared" si="29"/>
        <v>0</v>
      </c>
      <c r="BH39" s="35">
        <f t="shared" si="30"/>
        <v>0</v>
      </c>
      <c r="BI39" s="36">
        <f t="shared" si="31"/>
        <v>0</v>
      </c>
      <c r="BJ39" s="35">
        <f t="shared" si="32"/>
        <v>0</v>
      </c>
      <c r="BK39" s="62">
        <f t="shared" si="33"/>
        <v>0</v>
      </c>
      <c r="BL39" s="61">
        <f t="shared" si="34"/>
        <v>0</v>
      </c>
      <c r="BM39" s="43">
        <f t="shared" si="35"/>
        <v>0</v>
      </c>
      <c r="BN39" s="35">
        <f t="shared" si="36"/>
        <v>0</v>
      </c>
      <c r="BO39" s="36">
        <f t="shared" si="37"/>
        <v>0</v>
      </c>
      <c r="BP39" s="35">
        <f t="shared" si="38"/>
        <v>0</v>
      </c>
      <c r="BQ39" s="62">
        <f t="shared" si="39"/>
        <v>0</v>
      </c>
      <c r="BR39" s="61">
        <f t="shared" si="40"/>
        <v>0</v>
      </c>
      <c r="BS39" s="43">
        <f t="shared" si="41"/>
        <v>0</v>
      </c>
      <c r="BT39" s="35">
        <f t="shared" si="42"/>
        <v>0</v>
      </c>
      <c r="BU39" s="36">
        <f t="shared" si="43"/>
        <v>0</v>
      </c>
      <c r="BV39" s="35">
        <f t="shared" si="44"/>
        <v>0</v>
      </c>
      <c r="BW39" s="62">
        <f t="shared" si="45"/>
        <v>0</v>
      </c>
      <c r="BX39" s="61">
        <f t="shared" si="46"/>
        <v>0</v>
      </c>
      <c r="BY39" s="43">
        <f t="shared" si="47"/>
        <v>0</v>
      </c>
      <c r="BZ39" s="35">
        <f t="shared" si="48"/>
        <v>0</v>
      </c>
      <c r="CA39" s="36">
        <f t="shared" si="49"/>
        <v>0</v>
      </c>
      <c r="CB39" s="35">
        <f t="shared" si="50"/>
        <v>0</v>
      </c>
      <c r="CC39" s="62">
        <f t="shared" si="51"/>
        <v>0</v>
      </c>
      <c r="CD39" s="61">
        <f t="shared" si="52"/>
        <v>0</v>
      </c>
      <c r="CE39" s="43">
        <f t="shared" si="53"/>
        <v>0</v>
      </c>
      <c r="CF39" s="35">
        <f t="shared" si="54"/>
        <v>0</v>
      </c>
      <c r="CG39" s="36">
        <f t="shared" si="55"/>
        <v>0</v>
      </c>
      <c r="CH39" s="35">
        <f t="shared" si="56"/>
        <v>0</v>
      </c>
      <c r="CI39" s="62">
        <f t="shared" si="74"/>
        <v>0</v>
      </c>
      <c r="CJ39" s="61">
        <f t="shared" si="57"/>
        <v>0</v>
      </c>
      <c r="CK39" s="43">
        <f t="shared" si="58"/>
        <v>0</v>
      </c>
      <c r="CL39" s="35">
        <f t="shared" si="59"/>
        <v>0</v>
      </c>
      <c r="CM39" s="36">
        <f t="shared" si="60"/>
        <v>0</v>
      </c>
      <c r="CN39" s="35">
        <f t="shared" si="61"/>
        <v>0</v>
      </c>
      <c r="CO39" s="62">
        <f t="shared" si="62"/>
        <v>0</v>
      </c>
      <c r="CP39" s="61">
        <f t="shared" si="63"/>
        <v>0</v>
      </c>
      <c r="CQ39" s="43">
        <f t="shared" si="64"/>
        <v>0</v>
      </c>
      <c r="CR39" s="35">
        <f t="shared" si="65"/>
        <v>0</v>
      </c>
      <c r="CS39" s="36">
        <f t="shared" si="66"/>
        <v>0</v>
      </c>
      <c r="CT39" s="35">
        <f t="shared" si="1"/>
        <v>0</v>
      </c>
      <c r="CU39" s="62">
        <f t="shared" si="67"/>
        <v>0</v>
      </c>
      <c r="CV39" s="61">
        <f t="shared" si="68"/>
        <v>0</v>
      </c>
      <c r="CW39" s="43">
        <f t="shared" si="69"/>
        <v>0</v>
      </c>
      <c r="CX39" s="35">
        <f t="shared" si="70"/>
        <v>0</v>
      </c>
      <c r="CY39" s="36">
        <f t="shared" si="71"/>
        <v>0</v>
      </c>
      <c r="CZ39" s="35">
        <f t="shared" si="72"/>
        <v>0</v>
      </c>
      <c r="DA39" s="62">
        <f t="shared" si="73"/>
        <v>0</v>
      </c>
    </row>
    <row r="40" spans="2:105" x14ac:dyDescent="0.3">
      <c r="B40" s="1">
        <v>0.55067600000000005</v>
      </c>
      <c r="C40" s="1">
        <v>0.78381599999999996</v>
      </c>
      <c r="D40">
        <f t="shared" si="10"/>
        <v>78.710001893625162</v>
      </c>
      <c r="F40" s="1">
        <v>0.54247500000000004</v>
      </c>
      <c r="G40" s="1">
        <v>0.78247199999999995</v>
      </c>
      <c r="H40">
        <f t="shared" si="11"/>
        <v>77.711998142603278</v>
      </c>
      <c r="J40" s="1">
        <v>0.53937199999999996</v>
      </c>
      <c r="K40" s="1">
        <v>0.77983199999999997</v>
      </c>
      <c r="L40">
        <f t="shared" si="12"/>
        <v>76.715946008454821</v>
      </c>
      <c r="N40" s="1">
        <v>0.53678300000000001</v>
      </c>
      <c r="O40" s="1">
        <v>0.774393</v>
      </c>
      <c r="P40">
        <f t="shared" si="13"/>
        <v>76.180884571709484</v>
      </c>
      <c r="R40" s="1">
        <v>0.53999299999999995</v>
      </c>
      <c r="S40" s="1">
        <v>0.77097400000000005</v>
      </c>
      <c r="T40">
        <f t="shared" si="14"/>
        <v>74.207801020319735</v>
      </c>
      <c r="V40" s="1">
        <v>0.55718400000000001</v>
      </c>
      <c r="W40" s="1">
        <v>0.77469500000000002</v>
      </c>
      <c r="X40">
        <f t="shared" si="15"/>
        <v>72.967005947094762</v>
      </c>
      <c r="Z40" s="1">
        <v>0.57730300000000001</v>
      </c>
      <c r="AA40" s="1">
        <v>0.80784999999999996</v>
      </c>
      <c r="AB40">
        <f t="shared" si="16"/>
        <v>74.281018993160401</v>
      </c>
      <c r="AD40" s="1">
        <v>0.59649600000000003</v>
      </c>
      <c r="AE40" s="1">
        <v>0.81667500000000004</v>
      </c>
      <c r="AF40">
        <f t="shared" si="17"/>
        <v>73.423982550000005</v>
      </c>
      <c r="AH40" s="1">
        <v>0.61631599999999997</v>
      </c>
      <c r="AI40" s="1">
        <v>0.82359599999999999</v>
      </c>
      <c r="AJ40">
        <f t="shared" si="18"/>
        <v>72.38588354063215</v>
      </c>
      <c r="AL40" s="1">
        <v>0.64448499999999997</v>
      </c>
      <c r="AM40" s="1">
        <v>0.83590100000000001</v>
      </c>
      <c r="AN40">
        <f t="shared" si="19"/>
        <v>71.237971088741077</v>
      </c>
      <c r="AT40" s="61">
        <f t="shared" si="76"/>
        <v>0</v>
      </c>
      <c r="AU40" s="43">
        <f t="shared" si="20"/>
        <v>0</v>
      </c>
      <c r="AV40" s="35">
        <f t="shared" si="21"/>
        <v>0</v>
      </c>
      <c r="AW40" s="36">
        <f t="shared" si="22"/>
        <v>0</v>
      </c>
      <c r="AX40" s="35">
        <f t="shared" si="77"/>
        <v>0</v>
      </c>
      <c r="AY40" s="62">
        <f t="shared" si="78"/>
        <v>0</v>
      </c>
      <c r="AZ40" s="61">
        <f t="shared" si="79"/>
        <v>0</v>
      </c>
      <c r="BA40" s="43">
        <f t="shared" si="23"/>
        <v>0</v>
      </c>
      <c r="BB40" s="35">
        <f t="shared" si="75"/>
        <v>0</v>
      </c>
      <c r="BC40" s="36">
        <f t="shared" si="25"/>
        <v>0</v>
      </c>
      <c r="BD40" s="35">
        <f t="shared" si="26"/>
        <v>0</v>
      </c>
      <c r="BE40" s="62">
        <f t="shared" si="27"/>
        <v>0</v>
      </c>
      <c r="BF40" s="61">
        <f t="shared" si="28"/>
        <v>0</v>
      </c>
      <c r="BG40" s="43">
        <f t="shared" si="29"/>
        <v>0</v>
      </c>
      <c r="BH40" s="35">
        <f t="shared" si="30"/>
        <v>0</v>
      </c>
      <c r="BI40" s="36">
        <f t="shared" si="31"/>
        <v>0</v>
      </c>
      <c r="BJ40" s="35">
        <f t="shared" si="32"/>
        <v>0</v>
      </c>
      <c r="BK40" s="62">
        <f t="shared" si="33"/>
        <v>0</v>
      </c>
      <c r="BL40" s="61">
        <f t="shared" si="34"/>
        <v>0</v>
      </c>
      <c r="BM40" s="43">
        <f t="shared" si="35"/>
        <v>0</v>
      </c>
      <c r="BN40" s="35">
        <f t="shared" si="36"/>
        <v>0</v>
      </c>
      <c r="BO40" s="36">
        <f t="shared" si="37"/>
        <v>0</v>
      </c>
      <c r="BP40" s="35">
        <f t="shared" si="38"/>
        <v>0</v>
      </c>
      <c r="BQ40" s="62">
        <f t="shared" si="39"/>
        <v>0</v>
      </c>
      <c r="BR40" s="61">
        <f t="shared" si="40"/>
        <v>0</v>
      </c>
      <c r="BS40" s="43">
        <f t="shared" si="41"/>
        <v>0</v>
      </c>
      <c r="BT40" s="35">
        <f t="shared" si="42"/>
        <v>0</v>
      </c>
      <c r="BU40" s="36">
        <f t="shared" si="43"/>
        <v>0</v>
      </c>
      <c r="BV40" s="35">
        <f t="shared" si="44"/>
        <v>0</v>
      </c>
      <c r="BW40" s="62">
        <f t="shared" si="45"/>
        <v>0</v>
      </c>
      <c r="BX40" s="61">
        <f t="shared" si="46"/>
        <v>0</v>
      </c>
      <c r="BY40" s="43">
        <f t="shared" si="47"/>
        <v>0</v>
      </c>
      <c r="BZ40" s="35">
        <f t="shared" si="48"/>
        <v>0</v>
      </c>
      <c r="CA40" s="36">
        <f t="shared" si="49"/>
        <v>0</v>
      </c>
      <c r="CB40" s="35">
        <f t="shared" si="50"/>
        <v>0</v>
      </c>
      <c r="CC40" s="62">
        <f t="shared" si="51"/>
        <v>0</v>
      </c>
      <c r="CD40" s="61">
        <f t="shared" si="52"/>
        <v>0</v>
      </c>
      <c r="CE40" s="43">
        <f t="shared" si="53"/>
        <v>0</v>
      </c>
      <c r="CF40" s="35">
        <f t="shared" si="54"/>
        <v>0</v>
      </c>
      <c r="CG40" s="36">
        <f t="shared" si="55"/>
        <v>0</v>
      </c>
      <c r="CH40" s="35">
        <f t="shared" si="56"/>
        <v>0</v>
      </c>
      <c r="CI40" s="62">
        <f t="shared" si="74"/>
        <v>0</v>
      </c>
      <c r="CJ40" s="61">
        <f t="shared" si="57"/>
        <v>0</v>
      </c>
      <c r="CK40" s="43">
        <f t="shared" si="58"/>
        <v>0</v>
      </c>
      <c r="CL40" s="35">
        <f t="shared" si="59"/>
        <v>0</v>
      </c>
      <c r="CM40" s="36">
        <f t="shared" si="60"/>
        <v>0</v>
      </c>
      <c r="CN40" s="35">
        <f t="shared" si="61"/>
        <v>0</v>
      </c>
      <c r="CO40" s="62">
        <f t="shared" si="62"/>
        <v>0</v>
      </c>
      <c r="CP40" s="61">
        <f t="shared" si="63"/>
        <v>0</v>
      </c>
      <c r="CQ40" s="43">
        <f t="shared" si="64"/>
        <v>0</v>
      </c>
      <c r="CR40" s="35">
        <f t="shared" si="65"/>
        <v>0</v>
      </c>
      <c r="CS40" s="36">
        <f t="shared" si="66"/>
        <v>0</v>
      </c>
      <c r="CT40" s="35">
        <f t="shared" si="1"/>
        <v>0</v>
      </c>
      <c r="CU40" s="62">
        <f t="shared" si="67"/>
        <v>0</v>
      </c>
      <c r="CV40" s="61">
        <f t="shared" si="68"/>
        <v>0</v>
      </c>
      <c r="CW40" s="43">
        <f t="shared" si="69"/>
        <v>0</v>
      </c>
      <c r="CX40" s="35">
        <f t="shared" si="70"/>
        <v>0</v>
      </c>
      <c r="CY40" s="36">
        <f t="shared" si="71"/>
        <v>0</v>
      </c>
      <c r="CZ40" s="35">
        <f t="shared" si="72"/>
        <v>0</v>
      </c>
      <c r="DA40" s="62">
        <f t="shared" si="73"/>
        <v>0</v>
      </c>
    </row>
    <row r="41" spans="2:105" x14ac:dyDescent="0.3">
      <c r="B41" s="1">
        <v>0.56484800000000002</v>
      </c>
      <c r="C41" s="1">
        <v>0.79239999999999999</v>
      </c>
      <c r="D41">
        <f t="shared" si="10"/>
        <v>79.571998403335201</v>
      </c>
      <c r="F41" s="1">
        <v>0.55643600000000004</v>
      </c>
      <c r="G41" s="1">
        <v>0.79105099999999995</v>
      </c>
      <c r="H41">
        <f t="shared" si="11"/>
        <v>78.564030205175996</v>
      </c>
      <c r="J41" s="1">
        <v>0.55325299999999999</v>
      </c>
      <c r="K41" s="1">
        <v>0.78728299999999996</v>
      </c>
      <c r="L41">
        <f t="shared" si="12"/>
        <v>77.448937875560802</v>
      </c>
      <c r="N41" s="1">
        <v>0.550597</v>
      </c>
      <c r="O41" s="1">
        <v>0.78163899999999997</v>
      </c>
      <c r="P41">
        <f t="shared" si="13"/>
        <v>76.893709570910929</v>
      </c>
      <c r="R41" s="1">
        <v>0.55388999999999999</v>
      </c>
      <c r="S41" s="1">
        <v>0.77816300000000005</v>
      </c>
      <c r="T41">
        <f t="shared" si="14"/>
        <v>74.899756756226637</v>
      </c>
      <c r="V41" s="1">
        <v>0.57152400000000003</v>
      </c>
      <c r="W41" s="1">
        <v>0.80682299999999996</v>
      </c>
      <c r="X41">
        <f t="shared" si="15"/>
        <v>75.99307939157066</v>
      </c>
      <c r="Z41" s="1">
        <v>0.59216000000000002</v>
      </c>
      <c r="AA41" s="1">
        <v>0.816855</v>
      </c>
      <c r="AB41">
        <f t="shared" si="16"/>
        <v>75.109019953776126</v>
      </c>
      <c r="AD41" s="1">
        <v>0.61184700000000003</v>
      </c>
      <c r="AE41" s="1">
        <v>0.82572900000000005</v>
      </c>
      <c r="AF41">
        <f t="shared" si="17"/>
        <v>74.237991474000012</v>
      </c>
      <c r="AH41" s="1">
        <v>0.63217800000000002</v>
      </c>
      <c r="AI41" s="1">
        <v>0.83136699999999997</v>
      </c>
      <c r="AJ41">
        <f t="shared" si="18"/>
        <v>73.068877024080649</v>
      </c>
      <c r="AL41" s="1">
        <v>0.66107099999999996</v>
      </c>
      <c r="AM41" s="1">
        <v>0.84370400000000001</v>
      </c>
      <c r="AN41">
        <f t="shared" si="19"/>
        <v>71.902965972591488</v>
      </c>
      <c r="AT41" s="61">
        <f t="shared" si="76"/>
        <v>0</v>
      </c>
      <c r="AU41" s="43">
        <f t="shared" si="20"/>
        <v>0</v>
      </c>
      <c r="AV41" s="35">
        <f t="shared" si="21"/>
        <v>0</v>
      </c>
      <c r="AW41" s="36">
        <f t="shared" si="22"/>
        <v>0</v>
      </c>
      <c r="AX41" s="35">
        <f t="shared" si="77"/>
        <v>0</v>
      </c>
      <c r="AY41" s="62">
        <f t="shared" si="78"/>
        <v>0</v>
      </c>
      <c r="AZ41" s="61">
        <f t="shared" si="79"/>
        <v>0</v>
      </c>
      <c r="BA41" s="43">
        <f t="shared" si="23"/>
        <v>0</v>
      </c>
      <c r="BB41" s="35">
        <f t="shared" si="75"/>
        <v>0</v>
      </c>
      <c r="BC41" s="36">
        <f t="shared" si="25"/>
        <v>0</v>
      </c>
      <c r="BD41" s="35">
        <f t="shared" si="26"/>
        <v>0</v>
      </c>
      <c r="BE41" s="62">
        <f t="shared" si="27"/>
        <v>0</v>
      </c>
      <c r="BF41" s="61">
        <f t="shared" si="28"/>
        <v>0</v>
      </c>
      <c r="BG41" s="43">
        <f t="shared" si="29"/>
        <v>0</v>
      </c>
      <c r="BH41" s="35">
        <f t="shared" si="30"/>
        <v>0</v>
      </c>
      <c r="BI41" s="36">
        <f t="shared" si="31"/>
        <v>0</v>
      </c>
      <c r="BJ41" s="35">
        <f t="shared" si="32"/>
        <v>0</v>
      </c>
      <c r="BK41" s="62">
        <f t="shared" si="33"/>
        <v>0</v>
      </c>
      <c r="BL41" s="61">
        <f t="shared" si="34"/>
        <v>0</v>
      </c>
      <c r="BM41" s="43">
        <f t="shared" si="35"/>
        <v>0</v>
      </c>
      <c r="BN41" s="35">
        <f t="shared" si="36"/>
        <v>0</v>
      </c>
      <c r="BO41" s="36">
        <f t="shared" si="37"/>
        <v>0</v>
      </c>
      <c r="BP41" s="35">
        <f t="shared" si="38"/>
        <v>0</v>
      </c>
      <c r="BQ41" s="62">
        <f t="shared" si="39"/>
        <v>0</v>
      </c>
      <c r="BR41" s="61">
        <f t="shared" si="40"/>
        <v>0</v>
      </c>
      <c r="BS41" s="43">
        <f t="shared" si="41"/>
        <v>0</v>
      </c>
      <c r="BT41" s="35">
        <f t="shared" si="42"/>
        <v>0</v>
      </c>
      <c r="BU41" s="36">
        <f t="shared" si="43"/>
        <v>0</v>
      </c>
      <c r="BV41" s="35">
        <f t="shared" si="44"/>
        <v>0</v>
      </c>
      <c r="BW41" s="62">
        <f t="shared" si="45"/>
        <v>0</v>
      </c>
      <c r="BX41" s="61">
        <f t="shared" si="46"/>
        <v>0</v>
      </c>
      <c r="BY41" s="43">
        <f t="shared" si="47"/>
        <v>0</v>
      </c>
      <c r="BZ41" s="35">
        <f t="shared" si="48"/>
        <v>0</v>
      </c>
      <c r="CA41" s="36">
        <f t="shared" si="49"/>
        <v>0</v>
      </c>
      <c r="CB41" s="35">
        <f t="shared" si="50"/>
        <v>0</v>
      </c>
      <c r="CC41" s="62">
        <f t="shared" si="51"/>
        <v>0</v>
      </c>
      <c r="CD41" s="61">
        <f t="shared" si="52"/>
        <v>0</v>
      </c>
      <c r="CE41" s="43">
        <f t="shared" si="53"/>
        <v>0</v>
      </c>
      <c r="CF41" s="35">
        <f t="shared" si="54"/>
        <v>0</v>
      </c>
      <c r="CG41" s="36">
        <f t="shared" si="55"/>
        <v>0</v>
      </c>
      <c r="CH41" s="35">
        <f t="shared" si="56"/>
        <v>0</v>
      </c>
      <c r="CI41" s="62">
        <f t="shared" si="74"/>
        <v>0</v>
      </c>
      <c r="CJ41" s="61">
        <f t="shared" si="57"/>
        <v>0</v>
      </c>
      <c r="CK41" s="43">
        <f t="shared" si="58"/>
        <v>0</v>
      </c>
      <c r="CL41" s="35">
        <f t="shared" si="59"/>
        <v>0</v>
      </c>
      <c r="CM41" s="36">
        <f t="shared" si="60"/>
        <v>0</v>
      </c>
      <c r="CN41" s="35">
        <f t="shared" si="61"/>
        <v>0</v>
      </c>
      <c r="CO41" s="62">
        <f t="shared" si="62"/>
        <v>0</v>
      </c>
      <c r="CP41" s="61">
        <f t="shared" si="63"/>
        <v>0</v>
      </c>
      <c r="CQ41" s="43">
        <f t="shared" si="64"/>
        <v>0</v>
      </c>
      <c r="CR41" s="35">
        <f t="shared" si="65"/>
        <v>0</v>
      </c>
      <c r="CS41" s="36">
        <f t="shared" si="66"/>
        <v>0</v>
      </c>
      <c r="CT41" s="35">
        <f t="shared" si="1"/>
        <v>0</v>
      </c>
      <c r="CU41" s="62">
        <f t="shared" si="67"/>
        <v>0</v>
      </c>
      <c r="CV41" s="61">
        <f t="shared" si="68"/>
        <v>0</v>
      </c>
      <c r="CW41" s="43">
        <f t="shared" si="69"/>
        <v>0</v>
      </c>
      <c r="CX41" s="35">
        <f t="shared" si="70"/>
        <v>0</v>
      </c>
      <c r="CY41" s="36">
        <f t="shared" si="71"/>
        <v>0</v>
      </c>
      <c r="CZ41" s="35">
        <f t="shared" si="72"/>
        <v>0</v>
      </c>
      <c r="DA41" s="62">
        <f t="shared" si="73"/>
        <v>0</v>
      </c>
    </row>
    <row r="42" spans="2:105" x14ac:dyDescent="0.3">
      <c r="B42" s="1">
        <v>0.57901999999999998</v>
      </c>
      <c r="C42" s="1">
        <v>0.80085399999999995</v>
      </c>
      <c r="D42">
        <f t="shared" si="10"/>
        <v>80.420940445866492</v>
      </c>
      <c r="F42" s="1">
        <v>0.57039700000000004</v>
      </c>
      <c r="G42" s="1">
        <v>0.799539</v>
      </c>
      <c r="H42">
        <f t="shared" si="11"/>
        <v>79.40702451070311</v>
      </c>
      <c r="J42" s="1">
        <v>0.56713400000000003</v>
      </c>
      <c r="K42" s="1">
        <v>0.79465300000000005</v>
      </c>
      <c r="L42">
        <f t="shared" si="12"/>
        <v>78.17396137047038</v>
      </c>
      <c r="N42" s="1">
        <v>0.56441200000000002</v>
      </c>
      <c r="O42" s="1">
        <v>0.78886299999999998</v>
      </c>
      <c r="P42">
        <f t="shared" si="13"/>
        <v>77.604370320873841</v>
      </c>
      <c r="R42" s="1">
        <v>0.56778700000000004</v>
      </c>
      <c r="S42" s="1">
        <v>0.78527000000000002</v>
      </c>
      <c r="T42">
        <f t="shared" si="14"/>
        <v>75.583819826902698</v>
      </c>
      <c r="V42" s="1">
        <v>0.58586300000000002</v>
      </c>
      <c r="W42" s="1">
        <v>0.81558200000000003</v>
      </c>
      <c r="X42">
        <f t="shared" si="15"/>
        <v>76.818072459927379</v>
      </c>
      <c r="Z42" s="1">
        <v>0.60701700000000003</v>
      </c>
      <c r="AA42" s="1">
        <v>0.82578399999999996</v>
      </c>
      <c r="AB42">
        <f t="shared" si="16"/>
        <v>75.930032788572092</v>
      </c>
      <c r="AD42" s="1">
        <v>0.62719800000000003</v>
      </c>
      <c r="AE42" s="1">
        <v>0.83352599999999999</v>
      </c>
      <c r="AF42">
        <f t="shared" si="17"/>
        <v>74.938988555999998</v>
      </c>
      <c r="AH42" s="1">
        <v>0.64803900000000003</v>
      </c>
      <c r="AI42" s="1">
        <v>0.83901300000000001</v>
      </c>
      <c r="AJ42">
        <f t="shared" si="18"/>
        <v>73.740884252808911</v>
      </c>
      <c r="AL42" s="1">
        <v>0.67765699999999995</v>
      </c>
      <c r="AM42" s="1">
        <v>0.85148400000000002</v>
      </c>
      <c r="AN42">
        <f t="shared" si="19"/>
        <v>72.566000727987642</v>
      </c>
      <c r="AT42" s="61">
        <f t="shared" si="76"/>
        <v>0</v>
      </c>
      <c r="AU42" s="43">
        <f t="shared" si="20"/>
        <v>0</v>
      </c>
      <c r="AV42" s="35">
        <f t="shared" si="21"/>
        <v>0</v>
      </c>
      <c r="AW42" s="36">
        <f t="shared" si="22"/>
        <v>0</v>
      </c>
      <c r="AX42" s="35">
        <f t="shared" si="77"/>
        <v>0</v>
      </c>
      <c r="AY42" s="62">
        <f t="shared" si="78"/>
        <v>0</v>
      </c>
      <c r="AZ42" s="61">
        <f t="shared" si="79"/>
        <v>0</v>
      </c>
      <c r="BA42" s="43">
        <f t="shared" si="23"/>
        <v>0</v>
      </c>
      <c r="BB42" s="35">
        <f t="shared" si="75"/>
        <v>0</v>
      </c>
      <c r="BC42" s="36">
        <f t="shared" si="25"/>
        <v>0</v>
      </c>
      <c r="BD42" s="35">
        <f t="shared" si="26"/>
        <v>0</v>
      </c>
      <c r="BE42" s="62">
        <f t="shared" si="27"/>
        <v>0</v>
      </c>
      <c r="BF42" s="61">
        <f t="shared" si="28"/>
        <v>0</v>
      </c>
      <c r="BG42" s="43">
        <f t="shared" si="29"/>
        <v>0</v>
      </c>
      <c r="BH42" s="35">
        <f t="shared" si="30"/>
        <v>0</v>
      </c>
      <c r="BI42" s="36">
        <f t="shared" si="31"/>
        <v>0</v>
      </c>
      <c r="BJ42" s="35">
        <f t="shared" si="32"/>
        <v>0</v>
      </c>
      <c r="BK42" s="62">
        <f t="shared" si="33"/>
        <v>0</v>
      </c>
      <c r="BL42" s="61">
        <f t="shared" si="34"/>
        <v>0</v>
      </c>
      <c r="BM42" s="43">
        <f t="shared" si="35"/>
        <v>0</v>
      </c>
      <c r="BN42" s="35">
        <f t="shared" si="36"/>
        <v>0</v>
      </c>
      <c r="BO42" s="36">
        <f t="shared" si="37"/>
        <v>0</v>
      </c>
      <c r="BP42" s="35">
        <f t="shared" si="38"/>
        <v>0</v>
      </c>
      <c r="BQ42" s="62">
        <f t="shared" si="39"/>
        <v>0</v>
      </c>
      <c r="BR42" s="61">
        <f t="shared" si="40"/>
        <v>0</v>
      </c>
      <c r="BS42" s="43">
        <f t="shared" si="41"/>
        <v>0</v>
      </c>
      <c r="BT42" s="35">
        <f t="shared" si="42"/>
        <v>0</v>
      </c>
      <c r="BU42" s="36">
        <f t="shared" si="43"/>
        <v>0</v>
      </c>
      <c r="BV42" s="35">
        <f t="shared" si="44"/>
        <v>0</v>
      </c>
      <c r="BW42" s="62">
        <f t="shared" si="45"/>
        <v>0</v>
      </c>
      <c r="BX42" s="61">
        <f t="shared" si="46"/>
        <v>0</v>
      </c>
      <c r="BY42" s="43">
        <f t="shared" si="47"/>
        <v>0</v>
      </c>
      <c r="BZ42" s="35">
        <f t="shared" si="48"/>
        <v>0</v>
      </c>
      <c r="CA42" s="36">
        <f t="shared" si="49"/>
        <v>0</v>
      </c>
      <c r="CB42" s="35">
        <f t="shared" si="50"/>
        <v>0</v>
      </c>
      <c r="CC42" s="62">
        <f t="shared" si="51"/>
        <v>0</v>
      </c>
      <c r="CD42" s="61">
        <f t="shared" si="52"/>
        <v>0</v>
      </c>
      <c r="CE42" s="43">
        <f t="shared" si="53"/>
        <v>0</v>
      </c>
      <c r="CF42" s="35">
        <f t="shared" si="54"/>
        <v>0</v>
      </c>
      <c r="CG42" s="36">
        <f t="shared" si="55"/>
        <v>0</v>
      </c>
      <c r="CH42" s="35">
        <f t="shared" si="56"/>
        <v>0</v>
      </c>
      <c r="CI42" s="62">
        <f t="shared" si="74"/>
        <v>0</v>
      </c>
      <c r="CJ42" s="61">
        <f t="shared" si="57"/>
        <v>0</v>
      </c>
      <c r="CK42" s="43">
        <f t="shared" si="58"/>
        <v>0</v>
      </c>
      <c r="CL42" s="35">
        <f t="shared" si="59"/>
        <v>0</v>
      </c>
      <c r="CM42" s="36">
        <f t="shared" si="60"/>
        <v>0</v>
      </c>
      <c r="CN42" s="35">
        <f t="shared" si="61"/>
        <v>0</v>
      </c>
      <c r="CO42" s="62">
        <f t="shared" si="62"/>
        <v>0</v>
      </c>
      <c r="CP42" s="61">
        <f t="shared" si="63"/>
        <v>0</v>
      </c>
      <c r="CQ42" s="43">
        <f t="shared" si="64"/>
        <v>0</v>
      </c>
      <c r="CR42" s="35">
        <f t="shared" si="65"/>
        <v>0</v>
      </c>
      <c r="CS42" s="36">
        <f t="shared" si="66"/>
        <v>0</v>
      </c>
      <c r="CT42" s="35">
        <f t="shared" si="1"/>
        <v>0</v>
      </c>
      <c r="CU42" s="62">
        <f t="shared" si="67"/>
        <v>0</v>
      </c>
      <c r="CV42" s="61">
        <f t="shared" si="68"/>
        <v>0</v>
      </c>
      <c r="CW42" s="43">
        <f t="shared" si="69"/>
        <v>0</v>
      </c>
      <c r="CX42" s="35">
        <f t="shared" si="70"/>
        <v>0</v>
      </c>
      <c r="CY42" s="36">
        <f t="shared" si="71"/>
        <v>0</v>
      </c>
      <c r="CZ42" s="35">
        <f t="shared" si="72"/>
        <v>0</v>
      </c>
      <c r="DA42" s="62">
        <f t="shared" si="73"/>
        <v>0</v>
      </c>
    </row>
    <row r="43" spans="2:105" x14ac:dyDescent="0.3">
      <c r="B43" s="1">
        <v>0.593163</v>
      </c>
      <c r="C43" s="1">
        <v>0.80915000000000004</v>
      </c>
      <c r="D43">
        <f t="shared" si="10"/>
        <v>81.254016289826708</v>
      </c>
      <c r="F43" s="1">
        <v>0.58433000000000002</v>
      </c>
      <c r="G43" s="1">
        <v>0.80744300000000002</v>
      </c>
      <c r="H43">
        <f t="shared" si="11"/>
        <v>80.192018265520076</v>
      </c>
      <c r="J43" s="1">
        <v>0.58098700000000003</v>
      </c>
      <c r="K43" s="1">
        <v>0.80177900000000002</v>
      </c>
      <c r="L43">
        <f t="shared" si="12"/>
        <v>78.874981373825264</v>
      </c>
      <c r="N43" s="1">
        <v>0.57819799999999999</v>
      </c>
      <c r="O43" s="1">
        <v>0.79598500000000005</v>
      </c>
      <c r="P43">
        <f t="shared" si="13"/>
        <v>78.304996824367194</v>
      </c>
      <c r="R43" s="1">
        <v>0.58165599999999995</v>
      </c>
      <c r="S43" s="1">
        <v>0.79231399999999996</v>
      </c>
      <c r="T43">
        <f t="shared" si="14"/>
        <v>76.261819020633126</v>
      </c>
      <c r="V43" s="1">
        <v>0.60017399999999999</v>
      </c>
      <c r="W43" s="1">
        <v>0.82415000000000005</v>
      </c>
      <c r="X43">
        <f t="shared" si="15"/>
        <v>77.625075612077211</v>
      </c>
      <c r="Z43" s="1">
        <v>0.62184499999999998</v>
      </c>
      <c r="AA43" s="1">
        <v>0.83449499999999999</v>
      </c>
      <c r="AB43">
        <f t="shared" si="16"/>
        <v>76.731000736148289</v>
      </c>
      <c r="AD43" s="1">
        <v>0.64251800000000003</v>
      </c>
      <c r="AE43" s="1">
        <v>0.84089999999999998</v>
      </c>
      <c r="AF43">
        <f t="shared" si="17"/>
        <v>75.601955400000008</v>
      </c>
      <c r="AH43" s="1">
        <v>0.66386800000000001</v>
      </c>
      <c r="AI43" s="1">
        <v>0.84665900000000005</v>
      </c>
      <c r="AJ43">
        <f t="shared" si="18"/>
        <v>74.412891481537173</v>
      </c>
      <c r="AL43" s="1">
        <v>0.69420999999999999</v>
      </c>
      <c r="AM43" s="1">
        <v>0.85914599999999997</v>
      </c>
      <c r="AN43">
        <f t="shared" si="19"/>
        <v>73.218979172183708</v>
      </c>
      <c r="AT43" s="61">
        <f t="shared" si="76"/>
        <v>0</v>
      </c>
      <c r="AU43" s="43">
        <f t="shared" si="20"/>
        <v>0</v>
      </c>
      <c r="AV43" s="35">
        <f t="shared" si="21"/>
        <v>0</v>
      </c>
      <c r="AW43" s="36">
        <f t="shared" si="22"/>
        <v>0</v>
      </c>
      <c r="AX43" s="35">
        <f t="shared" si="77"/>
        <v>0</v>
      </c>
      <c r="AY43" s="62">
        <f t="shared" si="78"/>
        <v>0</v>
      </c>
      <c r="AZ43" s="61">
        <f t="shared" si="79"/>
        <v>0</v>
      </c>
      <c r="BA43" s="43">
        <f t="shared" si="23"/>
        <v>0</v>
      </c>
      <c r="BB43" s="35">
        <f t="shared" si="75"/>
        <v>0</v>
      </c>
      <c r="BC43" s="36">
        <f t="shared" si="25"/>
        <v>0</v>
      </c>
      <c r="BD43" s="35">
        <f t="shared" si="26"/>
        <v>0</v>
      </c>
      <c r="BE43" s="62">
        <f t="shared" si="27"/>
        <v>0</v>
      </c>
      <c r="BF43" s="61">
        <f t="shared" si="28"/>
        <v>0</v>
      </c>
      <c r="BG43" s="43">
        <f t="shared" si="29"/>
        <v>0</v>
      </c>
      <c r="BH43" s="35">
        <f t="shared" si="30"/>
        <v>0</v>
      </c>
      <c r="BI43" s="36">
        <f t="shared" si="31"/>
        <v>0</v>
      </c>
      <c r="BJ43" s="35">
        <f t="shared" si="32"/>
        <v>0</v>
      </c>
      <c r="BK43" s="62">
        <f t="shared" si="33"/>
        <v>0</v>
      </c>
      <c r="BL43" s="61">
        <f t="shared" si="34"/>
        <v>0</v>
      </c>
      <c r="BM43" s="43">
        <f t="shared" si="35"/>
        <v>0</v>
      </c>
      <c r="BN43" s="35">
        <f t="shared" si="36"/>
        <v>0</v>
      </c>
      <c r="BO43" s="36">
        <f t="shared" si="37"/>
        <v>0</v>
      </c>
      <c r="BP43" s="35">
        <f t="shared" si="38"/>
        <v>0</v>
      </c>
      <c r="BQ43" s="62">
        <f t="shared" si="39"/>
        <v>0</v>
      </c>
      <c r="BR43" s="61">
        <f t="shared" si="40"/>
        <v>0</v>
      </c>
      <c r="BS43" s="43">
        <f t="shared" si="41"/>
        <v>0</v>
      </c>
      <c r="BT43" s="35">
        <f t="shared" si="42"/>
        <v>0</v>
      </c>
      <c r="BU43" s="36">
        <f t="shared" si="43"/>
        <v>0</v>
      </c>
      <c r="BV43" s="35">
        <f t="shared" si="44"/>
        <v>0</v>
      </c>
      <c r="BW43" s="62">
        <f t="shared" si="45"/>
        <v>0</v>
      </c>
      <c r="BX43" s="61">
        <f t="shared" si="46"/>
        <v>0</v>
      </c>
      <c r="BY43" s="43">
        <f t="shared" si="47"/>
        <v>0</v>
      </c>
      <c r="BZ43" s="35">
        <f t="shared" si="48"/>
        <v>0</v>
      </c>
      <c r="CA43" s="36">
        <f t="shared" si="49"/>
        <v>0</v>
      </c>
      <c r="CB43" s="35">
        <f t="shared" si="50"/>
        <v>0</v>
      </c>
      <c r="CC43" s="62">
        <f t="shared" si="51"/>
        <v>0</v>
      </c>
      <c r="CD43" s="61">
        <f t="shared" si="52"/>
        <v>0</v>
      </c>
      <c r="CE43" s="43">
        <f t="shared" si="53"/>
        <v>0</v>
      </c>
      <c r="CF43" s="35">
        <f t="shared" si="54"/>
        <v>0</v>
      </c>
      <c r="CG43" s="36">
        <f t="shared" si="55"/>
        <v>0</v>
      </c>
      <c r="CH43" s="35">
        <f t="shared" si="56"/>
        <v>0</v>
      </c>
      <c r="CI43" s="62">
        <f t="shared" si="74"/>
        <v>0</v>
      </c>
      <c r="CJ43" s="61">
        <f t="shared" si="57"/>
        <v>0</v>
      </c>
      <c r="CK43" s="43">
        <f t="shared" si="58"/>
        <v>0</v>
      </c>
      <c r="CL43" s="35">
        <f t="shared" si="59"/>
        <v>0</v>
      </c>
      <c r="CM43" s="36">
        <f t="shared" si="60"/>
        <v>0</v>
      </c>
      <c r="CN43" s="35">
        <f t="shared" si="61"/>
        <v>0</v>
      </c>
      <c r="CO43" s="62">
        <f t="shared" si="62"/>
        <v>0</v>
      </c>
      <c r="CP43" s="61">
        <f t="shared" si="63"/>
        <v>0</v>
      </c>
      <c r="CQ43" s="43">
        <f t="shared" si="64"/>
        <v>0</v>
      </c>
      <c r="CR43" s="35">
        <f t="shared" si="65"/>
        <v>0</v>
      </c>
      <c r="CS43" s="36">
        <f t="shared" si="66"/>
        <v>0</v>
      </c>
      <c r="CT43" s="35">
        <f t="shared" si="1"/>
        <v>0</v>
      </c>
      <c r="CU43" s="62">
        <f t="shared" si="67"/>
        <v>0</v>
      </c>
      <c r="CV43" s="61">
        <f t="shared" si="68"/>
        <v>0</v>
      </c>
      <c r="CW43" s="43">
        <f t="shared" si="69"/>
        <v>0</v>
      </c>
      <c r="CX43" s="35">
        <f t="shared" si="70"/>
        <v>0</v>
      </c>
      <c r="CY43" s="36">
        <f t="shared" si="71"/>
        <v>0</v>
      </c>
      <c r="CZ43" s="35">
        <f t="shared" si="72"/>
        <v>0</v>
      </c>
      <c r="DA43" s="62">
        <f t="shared" si="73"/>
        <v>0</v>
      </c>
    </row>
    <row r="44" spans="2:105" x14ac:dyDescent="0.3">
      <c r="B44" s="1">
        <v>0.60733499999999996</v>
      </c>
      <c r="C44" s="1">
        <v>0.817415</v>
      </c>
      <c r="D44">
        <f t="shared" si="10"/>
        <v>82.083979145459665</v>
      </c>
      <c r="F44" s="1">
        <v>0.59829100000000002</v>
      </c>
      <c r="G44" s="1">
        <v>0.81460200000000005</v>
      </c>
      <c r="H44">
        <f t="shared" si="11"/>
        <v>80.903021591776991</v>
      </c>
      <c r="J44" s="1">
        <v>0.59486799999999995</v>
      </c>
      <c r="K44" s="1">
        <v>0.80876199999999998</v>
      </c>
      <c r="L44">
        <f t="shared" si="12"/>
        <v>79.561933757129665</v>
      </c>
      <c r="N44" s="1">
        <v>0.59201300000000001</v>
      </c>
      <c r="O44" s="1">
        <v>0.802902</v>
      </c>
      <c r="P44">
        <f t="shared" si="13"/>
        <v>78.985456459955984</v>
      </c>
      <c r="R44" s="1">
        <v>0.595553</v>
      </c>
      <c r="S44" s="1">
        <v>0.82442800000000005</v>
      </c>
      <c r="T44">
        <f t="shared" si="14"/>
        <v>79.352856230664273</v>
      </c>
      <c r="V44" s="1">
        <v>0.61451299999999998</v>
      </c>
      <c r="W44" s="1">
        <v>0.83267500000000005</v>
      </c>
      <c r="X44">
        <f t="shared" si="15"/>
        <v>78.428028678379405</v>
      </c>
      <c r="Z44" s="1">
        <v>0.63670199999999999</v>
      </c>
      <c r="AA44" s="1">
        <v>0.84284800000000004</v>
      </c>
      <c r="AB44">
        <f t="shared" si="16"/>
        <v>77.499050933152517</v>
      </c>
      <c r="AD44" s="1">
        <v>0.65786900000000004</v>
      </c>
      <c r="AE44" s="1">
        <v>0.84817500000000001</v>
      </c>
      <c r="AF44">
        <f t="shared" si="17"/>
        <v>76.25602155</v>
      </c>
      <c r="AH44" s="1">
        <v>0.67972999999999995</v>
      </c>
      <c r="AI44" s="1">
        <v>0.85403200000000001</v>
      </c>
      <c r="AJ44">
        <f t="shared" si="18"/>
        <v>75.060904729956391</v>
      </c>
      <c r="AL44" s="1">
        <v>0.71079599999999998</v>
      </c>
      <c r="AM44" s="1">
        <v>0.86669099999999999</v>
      </c>
      <c r="AN44">
        <f t="shared" si="19"/>
        <v>73.861986528155953</v>
      </c>
      <c r="AT44" s="61">
        <f t="shared" si="76"/>
        <v>0</v>
      </c>
      <c r="AU44" s="43">
        <f t="shared" si="20"/>
        <v>0</v>
      </c>
      <c r="AV44" s="35">
        <f t="shared" si="21"/>
        <v>0</v>
      </c>
      <c r="AW44" s="36">
        <f t="shared" si="22"/>
        <v>0</v>
      </c>
      <c r="AX44" s="35">
        <f t="shared" si="77"/>
        <v>0</v>
      </c>
      <c r="AY44" s="62">
        <f t="shared" si="78"/>
        <v>0</v>
      </c>
      <c r="AZ44" s="61">
        <f t="shared" si="79"/>
        <v>0</v>
      </c>
      <c r="BA44" s="43">
        <f t="shared" si="23"/>
        <v>0</v>
      </c>
      <c r="BB44" s="35">
        <f t="shared" si="75"/>
        <v>0</v>
      </c>
      <c r="BC44" s="36">
        <f t="shared" si="25"/>
        <v>0</v>
      </c>
      <c r="BD44" s="35">
        <f t="shared" si="26"/>
        <v>0</v>
      </c>
      <c r="BE44" s="62">
        <f t="shared" si="27"/>
        <v>0</v>
      </c>
      <c r="BF44" s="61">
        <f t="shared" si="28"/>
        <v>0</v>
      </c>
      <c r="BG44" s="43">
        <f t="shared" si="29"/>
        <v>0</v>
      </c>
      <c r="BH44" s="35">
        <f t="shared" si="30"/>
        <v>0</v>
      </c>
      <c r="BI44" s="36">
        <f t="shared" si="31"/>
        <v>0</v>
      </c>
      <c r="BJ44" s="35">
        <f t="shared" si="32"/>
        <v>0</v>
      </c>
      <c r="BK44" s="62">
        <f t="shared" si="33"/>
        <v>0</v>
      </c>
      <c r="BL44" s="61">
        <f t="shared" si="34"/>
        <v>0</v>
      </c>
      <c r="BM44" s="43">
        <f t="shared" si="35"/>
        <v>0</v>
      </c>
      <c r="BN44" s="35">
        <f t="shared" si="36"/>
        <v>0</v>
      </c>
      <c r="BO44" s="36">
        <f t="shared" si="37"/>
        <v>0</v>
      </c>
      <c r="BP44" s="35">
        <f t="shared" si="38"/>
        <v>0</v>
      </c>
      <c r="BQ44" s="62">
        <f t="shared" si="39"/>
        <v>0</v>
      </c>
      <c r="BR44" s="61">
        <f t="shared" si="40"/>
        <v>0</v>
      </c>
      <c r="BS44" s="43">
        <f t="shared" si="41"/>
        <v>0</v>
      </c>
      <c r="BT44" s="35">
        <f t="shared" si="42"/>
        <v>0</v>
      </c>
      <c r="BU44" s="36">
        <f t="shared" si="43"/>
        <v>0</v>
      </c>
      <c r="BV44" s="35">
        <f t="shared" si="44"/>
        <v>0</v>
      </c>
      <c r="BW44" s="62">
        <f t="shared" si="45"/>
        <v>0</v>
      </c>
      <c r="BX44" s="61">
        <f t="shared" si="46"/>
        <v>0</v>
      </c>
      <c r="BY44" s="43">
        <f t="shared" si="47"/>
        <v>0</v>
      </c>
      <c r="BZ44" s="35">
        <f t="shared" si="48"/>
        <v>0</v>
      </c>
      <c r="CA44" s="36">
        <f t="shared" si="49"/>
        <v>0</v>
      </c>
      <c r="CB44" s="35">
        <f t="shared" si="50"/>
        <v>0</v>
      </c>
      <c r="CC44" s="62">
        <f t="shared" si="51"/>
        <v>0</v>
      </c>
      <c r="CD44" s="61">
        <f t="shared" si="52"/>
        <v>0</v>
      </c>
      <c r="CE44" s="43">
        <f t="shared" si="53"/>
        <v>0</v>
      </c>
      <c r="CF44" s="35">
        <f t="shared" si="54"/>
        <v>0</v>
      </c>
      <c r="CG44" s="36">
        <f t="shared" si="55"/>
        <v>0</v>
      </c>
      <c r="CH44" s="35">
        <f t="shared" si="56"/>
        <v>0</v>
      </c>
      <c r="CI44" s="62">
        <f t="shared" si="74"/>
        <v>0</v>
      </c>
      <c r="CJ44" s="61">
        <f t="shared" si="57"/>
        <v>0</v>
      </c>
      <c r="CK44" s="43">
        <f t="shared" si="58"/>
        <v>0</v>
      </c>
      <c r="CL44" s="35">
        <f t="shared" si="59"/>
        <v>0</v>
      </c>
      <c r="CM44" s="36">
        <f t="shared" si="60"/>
        <v>0</v>
      </c>
      <c r="CN44" s="35">
        <f t="shared" si="61"/>
        <v>0</v>
      </c>
      <c r="CO44" s="62">
        <f t="shared" si="62"/>
        <v>0</v>
      </c>
      <c r="CP44" s="61">
        <f t="shared" si="63"/>
        <v>0</v>
      </c>
      <c r="CQ44" s="43">
        <f t="shared" si="64"/>
        <v>0</v>
      </c>
      <c r="CR44" s="35">
        <f t="shared" si="65"/>
        <v>0</v>
      </c>
      <c r="CS44" s="36">
        <f t="shared" si="66"/>
        <v>0</v>
      </c>
      <c r="CT44" s="35">
        <f t="shared" si="1"/>
        <v>0</v>
      </c>
      <c r="CU44" s="62">
        <f t="shared" si="67"/>
        <v>0</v>
      </c>
      <c r="CV44" s="61">
        <f t="shared" si="68"/>
        <v>0</v>
      </c>
      <c r="CW44" s="43">
        <f t="shared" si="69"/>
        <v>0</v>
      </c>
      <c r="CX44" s="35">
        <f t="shared" si="70"/>
        <v>0</v>
      </c>
      <c r="CY44" s="36">
        <f t="shared" si="71"/>
        <v>0</v>
      </c>
      <c r="CZ44" s="35">
        <f t="shared" si="72"/>
        <v>0</v>
      </c>
      <c r="DA44" s="62">
        <f t="shared" si="73"/>
        <v>0</v>
      </c>
    </row>
    <row r="45" spans="2:105" x14ac:dyDescent="0.3">
      <c r="B45" s="1">
        <v>0.62147799999999997</v>
      </c>
      <c r="C45" s="1">
        <v>0.82560100000000003</v>
      </c>
      <c r="D45">
        <f t="shared" si="10"/>
        <v>82.906008901807098</v>
      </c>
      <c r="F45" s="1">
        <v>0.61222399999999999</v>
      </c>
      <c r="G45" s="1">
        <v>0.82169000000000003</v>
      </c>
      <c r="H45">
        <f t="shared" si="11"/>
        <v>81.606973481218105</v>
      </c>
      <c r="J45" s="1">
        <v>0.60872099999999996</v>
      </c>
      <c r="K45" s="1">
        <v>0.81570500000000001</v>
      </c>
      <c r="L45">
        <f t="shared" si="12"/>
        <v>80.244951141818547</v>
      </c>
      <c r="N45" s="1">
        <v>0.60579899999999998</v>
      </c>
      <c r="O45" s="1">
        <v>0.80970600000000004</v>
      </c>
      <c r="P45">
        <f t="shared" si="13"/>
        <v>79.654799724455941</v>
      </c>
      <c r="R45" s="1">
        <v>0.60942200000000002</v>
      </c>
      <c r="S45" s="1">
        <v>0.83280200000000004</v>
      </c>
      <c r="T45">
        <f t="shared" si="14"/>
        <v>80.158870604358015</v>
      </c>
      <c r="V45" s="1">
        <v>0.62882400000000005</v>
      </c>
      <c r="W45" s="1">
        <v>0.84114699999999998</v>
      </c>
      <c r="X45">
        <f t="shared" si="15"/>
        <v>79.225989778404298</v>
      </c>
      <c r="Z45" s="1">
        <v>0.65152900000000002</v>
      </c>
      <c r="AA45" s="1">
        <v>0.850047</v>
      </c>
      <c r="AB45">
        <f t="shared" si="16"/>
        <v>78.160991956525365</v>
      </c>
      <c r="AD45" s="1">
        <v>0.67318999999999996</v>
      </c>
      <c r="AE45" s="1">
        <v>0.855549</v>
      </c>
      <c r="AF45">
        <f t="shared" si="17"/>
        <v>76.91898839400001</v>
      </c>
      <c r="AH45" s="1">
        <v>0.69555900000000004</v>
      </c>
      <c r="AI45" s="1">
        <v>0.86130200000000001</v>
      </c>
      <c r="AJ45">
        <f t="shared" si="18"/>
        <v>75.699865304486124</v>
      </c>
      <c r="AL45" s="1">
        <v>0.72734900000000002</v>
      </c>
      <c r="AM45" s="1">
        <v>0.87400100000000003</v>
      </c>
      <c r="AN45">
        <f t="shared" si="19"/>
        <v>74.484966484704273</v>
      </c>
      <c r="AT45" s="61">
        <f t="shared" si="76"/>
        <v>0</v>
      </c>
      <c r="AU45" s="43">
        <f t="shared" si="20"/>
        <v>0</v>
      </c>
      <c r="AV45" s="35">
        <f t="shared" si="21"/>
        <v>0</v>
      </c>
      <c r="AW45" s="36">
        <f t="shared" si="22"/>
        <v>0</v>
      </c>
      <c r="AX45" s="35">
        <f t="shared" si="77"/>
        <v>0</v>
      </c>
      <c r="AY45" s="62">
        <f t="shared" si="78"/>
        <v>0</v>
      </c>
      <c r="AZ45" s="61">
        <f t="shared" si="79"/>
        <v>0</v>
      </c>
      <c r="BA45" s="43">
        <f t="shared" si="23"/>
        <v>0</v>
      </c>
      <c r="BB45" s="35">
        <f t="shared" si="75"/>
        <v>0</v>
      </c>
      <c r="BC45" s="36">
        <f t="shared" si="25"/>
        <v>0</v>
      </c>
      <c r="BD45" s="35">
        <f t="shared" si="26"/>
        <v>0</v>
      </c>
      <c r="BE45" s="62">
        <f t="shared" si="27"/>
        <v>0</v>
      </c>
      <c r="BF45" s="61">
        <f t="shared" si="28"/>
        <v>0</v>
      </c>
      <c r="BG45" s="43">
        <f t="shared" si="29"/>
        <v>0</v>
      </c>
      <c r="BH45" s="35">
        <f t="shared" si="30"/>
        <v>0</v>
      </c>
      <c r="BI45" s="36">
        <f t="shared" si="31"/>
        <v>0</v>
      </c>
      <c r="BJ45" s="35">
        <f t="shared" si="32"/>
        <v>0</v>
      </c>
      <c r="BK45" s="62">
        <f t="shared" si="33"/>
        <v>0</v>
      </c>
      <c r="BL45" s="61">
        <f t="shared" si="34"/>
        <v>0</v>
      </c>
      <c r="BM45" s="43">
        <f t="shared" si="35"/>
        <v>0</v>
      </c>
      <c r="BN45" s="35">
        <f t="shared" si="36"/>
        <v>0</v>
      </c>
      <c r="BO45" s="36">
        <f t="shared" si="37"/>
        <v>0</v>
      </c>
      <c r="BP45" s="35">
        <f t="shared" si="38"/>
        <v>0</v>
      </c>
      <c r="BQ45" s="62">
        <f t="shared" si="39"/>
        <v>0</v>
      </c>
      <c r="BR45" s="61">
        <f t="shared" si="40"/>
        <v>0</v>
      </c>
      <c r="BS45" s="43">
        <f t="shared" si="41"/>
        <v>0</v>
      </c>
      <c r="BT45" s="35">
        <f t="shared" si="42"/>
        <v>0</v>
      </c>
      <c r="BU45" s="36">
        <f t="shared" si="43"/>
        <v>0</v>
      </c>
      <c r="BV45" s="35">
        <f t="shared" si="44"/>
        <v>0</v>
      </c>
      <c r="BW45" s="62">
        <f t="shared" si="45"/>
        <v>0</v>
      </c>
      <c r="BX45" s="61">
        <f t="shared" si="46"/>
        <v>0</v>
      </c>
      <c r="BY45" s="43">
        <f t="shared" si="47"/>
        <v>0</v>
      </c>
      <c r="BZ45" s="35">
        <f t="shared" si="48"/>
        <v>0</v>
      </c>
      <c r="CA45" s="36">
        <f t="shared" si="49"/>
        <v>0</v>
      </c>
      <c r="CB45" s="35">
        <f t="shared" si="50"/>
        <v>0</v>
      </c>
      <c r="CC45" s="62">
        <f t="shared" si="51"/>
        <v>0</v>
      </c>
      <c r="CD45" s="61">
        <f t="shared" si="52"/>
        <v>0</v>
      </c>
      <c r="CE45" s="43">
        <f t="shared" si="53"/>
        <v>0</v>
      </c>
      <c r="CF45" s="35">
        <f t="shared" si="54"/>
        <v>0</v>
      </c>
      <c r="CG45" s="36">
        <f t="shared" si="55"/>
        <v>0</v>
      </c>
      <c r="CH45" s="35">
        <f t="shared" si="56"/>
        <v>0</v>
      </c>
      <c r="CI45" s="62">
        <f t="shared" si="74"/>
        <v>0</v>
      </c>
      <c r="CJ45" s="61">
        <f t="shared" si="57"/>
        <v>0</v>
      </c>
      <c r="CK45" s="43">
        <f t="shared" si="58"/>
        <v>0</v>
      </c>
      <c r="CL45" s="35">
        <f t="shared" si="59"/>
        <v>0</v>
      </c>
      <c r="CM45" s="36">
        <f t="shared" si="60"/>
        <v>0</v>
      </c>
      <c r="CN45" s="35">
        <f t="shared" si="61"/>
        <v>0</v>
      </c>
      <c r="CO45" s="62">
        <f t="shared" si="62"/>
        <v>0</v>
      </c>
      <c r="CP45" s="61">
        <f t="shared" si="63"/>
        <v>0</v>
      </c>
      <c r="CQ45" s="43">
        <f t="shared" si="64"/>
        <v>0</v>
      </c>
      <c r="CR45" s="35">
        <f t="shared" si="65"/>
        <v>0</v>
      </c>
      <c r="CS45" s="36">
        <f t="shared" si="66"/>
        <v>0</v>
      </c>
      <c r="CT45" s="35">
        <f t="shared" si="1"/>
        <v>0</v>
      </c>
      <c r="CU45" s="62">
        <f t="shared" si="67"/>
        <v>0</v>
      </c>
      <c r="CV45" s="61">
        <f t="shared" si="68"/>
        <v>0</v>
      </c>
      <c r="CW45" s="43">
        <f t="shared" si="69"/>
        <v>0</v>
      </c>
      <c r="CX45" s="35">
        <f t="shared" si="70"/>
        <v>0</v>
      </c>
      <c r="CY45" s="36">
        <f t="shared" si="71"/>
        <v>0</v>
      </c>
      <c r="CZ45" s="35">
        <f t="shared" si="72"/>
        <v>0</v>
      </c>
      <c r="DA45" s="62">
        <f t="shared" si="73"/>
        <v>0</v>
      </c>
    </row>
    <row r="46" spans="2:105" x14ac:dyDescent="0.3">
      <c r="B46" s="1">
        <v>0.63562200000000002</v>
      </c>
      <c r="C46" s="1">
        <v>0.83340800000000004</v>
      </c>
      <c r="D46">
        <f t="shared" si="10"/>
        <v>83.689979865379584</v>
      </c>
      <c r="F46" s="1">
        <v>0.62615600000000005</v>
      </c>
      <c r="G46" s="1">
        <v>0.82865800000000001</v>
      </c>
      <c r="H46">
        <f t="shared" si="11"/>
        <v>82.299007449280424</v>
      </c>
      <c r="J46" s="1">
        <v>0.62257399999999996</v>
      </c>
      <c r="K46" s="1">
        <v>0.82258699999999996</v>
      </c>
      <c r="L46">
        <f t="shared" si="12"/>
        <v>80.921967653618751</v>
      </c>
      <c r="N46" s="1">
        <v>0.61958599999999997</v>
      </c>
      <c r="O46" s="1">
        <v>0.81645900000000005</v>
      </c>
      <c r="P46">
        <f t="shared" si="13"/>
        <v>80.319125865721105</v>
      </c>
      <c r="R46" s="1">
        <v>0.62329100000000004</v>
      </c>
      <c r="S46" s="1">
        <v>0.84116500000000005</v>
      </c>
      <c r="T46">
        <f t="shared" si="14"/>
        <v>80.963826205886647</v>
      </c>
      <c r="V46" s="1">
        <v>0.64313399999999998</v>
      </c>
      <c r="W46" s="1">
        <v>0.84958800000000001</v>
      </c>
      <c r="X46">
        <f t="shared" si="15"/>
        <v>80.021031049097189</v>
      </c>
      <c r="Z46" s="1">
        <v>0.66635699999999998</v>
      </c>
      <c r="AA46" s="1">
        <v>0.857182</v>
      </c>
      <c r="AB46">
        <f t="shared" si="16"/>
        <v>78.817048242365814</v>
      </c>
      <c r="AD46" s="1">
        <v>0.68850999999999996</v>
      </c>
      <c r="AE46" s="1">
        <v>0.862734</v>
      </c>
      <c r="AF46">
        <f t="shared" si="17"/>
        <v>77.564963004000006</v>
      </c>
      <c r="AH46" s="1">
        <v>0.71138800000000002</v>
      </c>
      <c r="AI46" s="1">
        <v>0.86850499999999997</v>
      </c>
      <c r="AJ46">
        <f t="shared" si="18"/>
        <v>76.332937246485812</v>
      </c>
      <c r="AL46" s="1">
        <v>0.74390199999999995</v>
      </c>
      <c r="AM46" s="1">
        <v>0.88122900000000004</v>
      </c>
      <c r="AN46">
        <f t="shared" si="19"/>
        <v>75.100958157198292</v>
      </c>
      <c r="AT46" s="61">
        <f t="shared" si="76"/>
        <v>0</v>
      </c>
      <c r="AU46" s="43">
        <f t="shared" si="20"/>
        <v>0</v>
      </c>
      <c r="AV46" s="35">
        <f t="shared" si="21"/>
        <v>0</v>
      </c>
      <c r="AW46" s="36">
        <f t="shared" si="22"/>
        <v>0</v>
      </c>
      <c r="AX46" s="35">
        <f t="shared" si="77"/>
        <v>0</v>
      </c>
      <c r="AY46" s="62">
        <f t="shared" si="78"/>
        <v>0</v>
      </c>
      <c r="AZ46" s="61">
        <f t="shared" si="79"/>
        <v>0</v>
      </c>
      <c r="BA46" s="43">
        <f t="shared" si="23"/>
        <v>0</v>
      </c>
      <c r="BB46" s="35">
        <f t="shared" si="75"/>
        <v>0</v>
      </c>
      <c r="BC46" s="36">
        <f t="shared" si="25"/>
        <v>0</v>
      </c>
      <c r="BD46" s="35">
        <f t="shared" si="26"/>
        <v>0</v>
      </c>
      <c r="BE46" s="62">
        <f t="shared" si="27"/>
        <v>0</v>
      </c>
      <c r="BF46" s="61">
        <f t="shared" si="28"/>
        <v>0</v>
      </c>
      <c r="BG46" s="43">
        <f t="shared" si="29"/>
        <v>0</v>
      </c>
      <c r="BH46" s="35">
        <f t="shared" si="30"/>
        <v>0</v>
      </c>
      <c r="BI46" s="36">
        <f t="shared" si="31"/>
        <v>0</v>
      </c>
      <c r="BJ46" s="35">
        <f t="shared" si="32"/>
        <v>0</v>
      </c>
      <c r="BK46" s="62">
        <f t="shared" si="33"/>
        <v>0</v>
      </c>
      <c r="BL46" s="61">
        <f t="shared" si="34"/>
        <v>0</v>
      </c>
      <c r="BM46" s="43">
        <f t="shared" si="35"/>
        <v>0</v>
      </c>
      <c r="BN46" s="35">
        <f t="shared" si="36"/>
        <v>0</v>
      </c>
      <c r="BO46" s="36">
        <f t="shared" si="37"/>
        <v>0</v>
      </c>
      <c r="BP46" s="35">
        <f t="shared" si="38"/>
        <v>0</v>
      </c>
      <c r="BQ46" s="62">
        <f t="shared" si="39"/>
        <v>0</v>
      </c>
      <c r="BR46" s="61">
        <f t="shared" si="40"/>
        <v>0</v>
      </c>
      <c r="BS46" s="43">
        <f t="shared" si="41"/>
        <v>0</v>
      </c>
      <c r="BT46" s="35">
        <f t="shared" si="42"/>
        <v>0</v>
      </c>
      <c r="BU46" s="36">
        <f t="shared" si="43"/>
        <v>0</v>
      </c>
      <c r="BV46" s="35">
        <f t="shared" si="44"/>
        <v>0</v>
      </c>
      <c r="BW46" s="62">
        <f t="shared" si="45"/>
        <v>0</v>
      </c>
      <c r="BX46" s="61">
        <f t="shared" si="46"/>
        <v>0</v>
      </c>
      <c r="BY46" s="43">
        <f t="shared" si="47"/>
        <v>0</v>
      </c>
      <c r="BZ46" s="35">
        <f t="shared" si="48"/>
        <v>0</v>
      </c>
      <c r="CA46" s="36">
        <f t="shared" si="49"/>
        <v>0</v>
      </c>
      <c r="CB46" s="35">
        <f t="shared" si="50"/>
        <v>0</v>
      </c>
      <c r="CC46" s="62">
        <f t="shared" si="51"/>
        <v>0</v>
      </c>
      <c r="CD46" s="61">
        <f t="shared" si="52"/>
        <v>0</v>
      </c>
      <c r="CE46" s="43">
        <f t="shared" si="53"/>
        <v>0</v>
      </c>
      <c r="CF46" s="35">
        <f t="shared" si="54"/>
        <v>0</v>
      </c>
      <c r="CG46" s="36">
        <f t="shared" si="55"/>
        <v>0</v>
      </c>
      <c r="CH46" s="35">
        <f t="shared" si="56"/>
        <v>0</v>
      </c>
      <c r="CI46" s="62">
        <f t="shared" si="74"/>
        <v>0</v>
      </c>
      <c r="CJ46" s="61">
        <f t="shared" si="57"/>
        <v>0</v>
      </c>
      <c r="CK46" s="43">
        <f t="shared" si="58"/>
        <v>0</v>
      </c>
      <c r="CL46" s="35">
        <f t="shared" si="59"/>
        <v>0</v>
      </c>
      <c r="CM46" s="36">
        <f t="shared" si="60"/>
        <v>0</v>
      </c>
      <c r="CN46" s="35">
        <f t="shared" si="61"/>
        <v>0</v>
      </c>
      <c r="CO46" s="62">
        <f t="shared" si="62"/>
        <v>0</v>
      </c>
      <c r="CP46" s="61">
        <f t="shared" si="63"/>
        <v>0</v>
      </c>
      <c r="CQ46" s="43">
        <f t="shared" si="64"/>
        <v>0</v>
      </c>
      <c r="CR46" s="35">
        <f t="shared" si="65"/>
        <v>0</v>
      </c>
      <c r="CS46" s="36">
        <f t="shared" si="66"/>
        <v>0</v>
      </c>
      <c r="CT46" s="35">
        <f t="shared" si="1"/>
        <v>0</v>
      </c>
      <c r="CU46" s="62">
        <f t="shared" si="67"/>
        <v>0</v>
      </c>
      <c r="CV46" s="61">
        <f t="shared" si="68"/>
        <v>0</v>
      </c>
      <c r="CW46" s="43">
        <f t="shared" si="69"/>
        <v>0</v>
      </c>
      <c r="CX46" s="35">
        <f t="shared" si="70"/>
        <v>0</v>
      </c>
      <c r="CY46" s="36">
        <f t="shared" si="71"/>
        <v>0</v>
      </c>
      <c r="CZ46" s="35">
        <f t="shared" si="72"/>
        <v>0</v>
      </c>
      <c r="DA46" s="62">
        <f t="shared" si="73"/>
        <v>0</v>
      </c>
    </row>
    <row r="47" spans="2:105" x14ac:dyDescent="0.3">
      <c r="B47" s="1">
        <v>0.64976500000000004</v>
      </c>
      <c r="C47" s="1">
        <v>0.84043900000000005</v>
      </c>
      <c r="D47">
        <f t="shared" si="10"/>
        <v>84.396025701792823</v>
      </c>
      <c r="F47" s="1">
        <v>0.64008900000000002</v>
      </c>
      <c r="G47" s="1">
        <v>0.83549499999999999</v>
      </c>
      <c r="H47">
        <f t="shared" si="11"/>
        <v>82.978031019837559</v>
      </c>
      <c r="J47" s="1">
        <v>0.63642699999999996</v>
      </c>
      <c r="K47" s="1">
        <v>0.82926599999999995</v>
      </c>
      <c r="L47">
        <f t="shared" si="12"/>
        <v>81.579014047445213</v>
      </c>
      <c r="N47" s="1">
        <v>0.63337200000000005</v>
      </c>
      <c r="O47" s="1">
        <v>0.84908300000000003</v>
      </c>
      <c r="P47">
        <f t="shared" si="13"/>
        <v>83.528510736539218</v>
      </c>
      <c r="R47" s="1">
        <v>0.63715999999999995</v>
      </c>
      <c r="S47" s="1">
        <v>0.84945599999999999</v>
      </c>
      <c r="T47">
        <f t="shared" si="14"/>
        <v>81.76185166233455</v>
      </c>
      <c r="V47" s="1">
        <v>0.65744499999999995</v>
      </c>
      <c r="W47" s="1">
        <v>0.85758299999999998</v>
      </c>
      <c r="X47">
        <f t="shared" si="15"/>
        <v>80.774064452626348</v>
      </c>
      <c r="Z47" s="1">
        <v>0.68118400000000001</v>
      </c>
      <c r="AA47" s="1">
        <v>0.86428300000000002</v>
      </c>
      <c r="AB47">
        <f t="shared" si="16"/>
        <v>79.469978261392157</v>
      </c>
      <c r="AD47" s="1">
        <v>0.70382999999999996</v>
      </c>
      <c r="AE47" s="1">
        <v>0.86996399999999996</v>
      </c>
      <c r="AF47">
        <f t="shared" si="17"/>
        <v>78.214983384000007</v>
      </c>
      <c r="AH47" s="1">
        <v>0.727217</v>
      </c>
      <c r="AI47" s="1">
        <v>0.87568400000000002</v>
      </c>
      <c r="AJ47">
        <f t="shared" si="18"/>
        <v>76.963899827579212</v>
      </c>
      <c r="AL47" s="1">
        <v>0.76045399999999996</v>
      </c>
      <c r="AM47" s="1">
        <v>0.88841000000000003</v>
      </c>
      <c r="AN47">
        <f t="shared" si="19"/>
        <v>75.712944349807515</v>
      </c>
      <c r="AT47" s="61">
        <f t="shared" si="76"/>
        <v>0</v>
      </c>
      <c r="AU47" s="43">
        <f t="shared" si="20"/>
        <v>0</v>
      </c>
      <c r="AV47" s="35">
        <f t="shared" si="21"/>
        <v>0</v>
      </c>
      <c r="AW47" s="36">
        <f t="shared" si="22"/>
        <v>0</v>
      </c>
      <c r="AX47" s="35">
        <f t="shared" si="77"/>
        <v>0</v>
      </c>
      <c r="AY47" s="62">
        <f t="shared" si="78"/>
        <v>0</v>
      </c>
      <c r="AZ47" s="61">
        <f t="shared" si="79"/>
        <v>0</v>
      </c>
      <c r="BA47" s="43">
        <f t="shared" si="23"/>
        <v>0</v>
      </c>
      <c r="BB47" s="35">
        <f t="shared" si="75"/>
        <v>0</v>
      </c>
      <c r="BC47" s="36">
        <f t="shared" si="25"/>
        <v>0</v>
      </c>
      <c r="BD47" s="35">
        <f t="shared" si="26"/>
        <v>0</v>
      </c>
      <c r="BE47" s="62">
        <f t="shared" si="27"/>
        <v>0</v>
      </c>
      <c r="BF47" s="61">
        <f t="shared" si="28"/>
        <v>0</v>
      </c>
      <c r="BG47" s="43">
        <f t="shared" si="29"/>
        <v>0</v>
      </c>
      <c r="BH47" s="35">
        <f t="shared" si="30"/>
        <v>0</v>
      </c>
      <c r="BI47" s="36">
        <f t="shared" si="31"/>
        <v>0</v>
      </c>
      <c r="BJ47" s="35">
        <f t="shared" si="32"/>
        <v>0</v>
      </c>
      <c r="BK47" s="62">
        <f t="shared" si="33"/>
        <v>0</v>
      </c>
      <c r="BL47" s="61">
        <f t="shared" si="34"/>
        <v>0</v>
      </c>
      <c r="BM47" s="43">
        <f t="shared" si="35"/>
        <v>0</v>
      </c>
      <c r="BN47" s="35">
        <f t="shared" si="36"/>
        <v>0</v>
      </c>
      <c r="BO47" s="36">
        <f t="shared" si="37"/>
        <v>0</v>
      </c>
      <c r="BP47" s="35">
        <f t="shared" si="38"/>
        <v>0</v>
      </c>
      <c r="BQ47" s="62">
        <f t="shared" si="39"/>
        <v>0</v>
      </c>
      <c r="BR47" s="61">
        <f t="shared" si="40"/>
        <v>0</v>
      </c>
      <c r="BS47" s="43">
        <f t="shared" si="41"/>
        <v>0</v>
      </c>
      <c r="BT47" s="35">
        <f t="shared" si="42"/>
        <v>0</v>
      </c>
      <c r="BU47" s="36">
        <f t="shared" si="43"/>
        <v>0</v>
      </c>
      <c r="BV47" s="35">
        <f t="shared" si="44"/>
        <v>0</v>
      </c>
      <c r="BW47" s="62">
        <f t="shared" si="45"/>
        <v>0</v>
      </c>
      <c r="BX47" s="61">
        <f t="shared" si="46"/>
        <v>0</v>
      </c>
      <c r="BY47" s="43">
        <f t="shared" si="47"/>
        <v>0</v>
      </c>
      <c r="BZ47" s="35">
        <f t="shared" si="48"/>
        <v>0</v>
      </c>
      <c r="CA47" s="36">
        <f t="shared" si="49"/>
        <v>0</v>
      </c>
      <c r="CB47" s="35">
        <f t="shared" si="50"/>
        <v>0</v>
      </c>
      <c r="CC47" s="62">
        <f t="shared" si="51"/>
        <v>0</v>
      </c>
      <c r="CD47" s="61">
        <f t="shared" si="52"/>
        <v>0</v>
      </c>
      <c r="CE47" s="43">
        <f t="shared" si="53"/>
        <v>0</v>
      </c>
      <c r="CF47" s="35">
        <f t="shared" si="54"/>
        <v>0</v>
      </c>
      <c r="CG47" s="36">
        <f t="shared" si="55"/>
        <v>0</v>
      </c>
      <c r="CH47" s="35">
        <f t="shared" si="56"/>
        <v>0</v>
      </c>
      <c r="CI47" s="62">
        <f t="shared" si="74"/>
        <v>0</v>
      </c>
      <c r="CJ47" s="61">
        <f t="shared" si="57"/>
        <v>0</v>
      </c>
      <c r="CK47" s="43">
        <f t="shared" si="58"/>
        <v>0</v>
      </c>
      <c r="CL47" s="35">
        <f t="shared" si="59"/>
        <v>0</v>
      </c>
      <c r="CM47" s="36">
        <f t="shared" si="60"/>
        <v>0</v>
      </c>
      <c r="CN47" s="35">
        <f t="shared" si="61"/>
        <v>0</v>
      </c>
      <c r="CO47" s="62">
        <f t="shared" si="62"/>
        <v>0</v>
      </c>
      <c r="CP47" s="61">
        <f t="shared" si="63"/>
        <v>0</v>
      </c>
      <c r="CQ47" s="43">
        <f t="shared" si="64"/>
        <v>0</v>
      </c>
      <c r="CR47" s="35">
        <f t="shared" si="65"/>
        <v>0</v>
      </c>
      <c r="CS47" s="36">
        <f t="shared" si="66"/>
        <v>0</v>
      </c>
      <c r="CT47" s="35">
        <f t="shared" si="1"/>
        <v>0</v>
      </c>
      <c r="CU47" s="62">
        <f t="shared" si="67"/>
        <v>0</v>
      </c>
      <c r="CV47" s="61">
        <f t="shared" si="68"/>
        <v>0</v>
      </c>
      <c r="CW47" s="43">
        <f t="shared" si="69"/>
        <v>0</v>
      </c>
      <c r="CX47" s="35">
        <f t="shared" si="70"/>
        <v>0</v>
      </c>
      <c r="CY47" s="36">
        <f t="shared" si="71"/>
        <v>0</v>
      </c>
      <c r="CZ47" s="35">
        <f t="shared" si="72"/>
        <v>0</v>
      </c>
      <c r="DA47" s="62">
        <f t="shared" si="73"/>
        <v>0</v>
      </c>
    </row>
    <row r="48" spans="2:105" x14ac:dyDescent="0.3">
      <c r="B48" s="1">
        <v>0.66390899999999997</v>
      </c>
      <c r="C48" s="1">
        <v>0.84736</v>
      </c>
      <c r="D48">
        <f t="shared" si="10"/>
        <v>85.091025450593278</v>
      </c>
      <c r="F48" s="1">
        <v>0.65402199999999999</v>
      </c>
      <c r="G48" s="1">
        <v>0.84224100000000002</v>
      </c>
      <c r="H48">
        <f t="shared" si="11"/>
        <v>83.648016833349104</v>
      </c>
      <c r="J48" s="1">
        <v>0.65027999999999997</v>
      </c>
      <c r="K48" s="1">
        <v>0.835893</v>
      </c>
      <c r="L48">
        <f t="shared" si="12"/>
        <v>82.230944943071492</v>
      </c>
      <c r="N48" s="1">
        <v>0.64715900000000004</v>
      </c>
      <c r="O48" s="1">
        <v>0.85719999999999996</v>
      </c>
      <c r="P48">
        <f t="shared" si="13"/>
        <v>84.327020330593598</v>
      </c>
      <c r="R48" s="1">
        <v>0.65102899999999997</v>
      </c>
      <c r="S48" s="1">
        <v>0.85766399999999998</v>
      </c>
      <c r="T48">
        <f t="shared" si="14"/>
        <v>82.551888201536627</v>
      </c>
      <c r="V48" s="1">
        <v>0.67175600000000002</v>
      </c>
      <c r="W48" s="1">
        <v>0.864622</v>
      </c>
      <c r="X48">
        <f t="shared" si="15"/>
        <v>81.437054087078096</v>
      </c>
      <c r="Z48" s="1">
        <v>0.69601100000000005</v>
      </c>
      <c r="AA48" s="1">
        <v>0.87137399999999998</v>
      </c>
      <c r="AB48">
        <f t="shared" si="16"/>
        <v>80.12198879017906</v>
      </c>
      <c r="AD48" s="1">
        <v>0.71914999999999996</v>
      </c>
      <c r="AE48" s="1">
        <v>0.87705999999999995</v>
      </c>
      <c r="AF48">
        <f t="shared" si="17"/>
        <v>78.852956360000007</v>
      </c>
      <c r="AH48" s="1">
        <v>0.74304700000000001</v>
      </c>
      <c r="AI48" s="1">
        <v>0.88273800000000002</v>
      </c>
      <c r="AJ48">
        <f t="shared" si="18"/>
        <v>77.58387615395236</v>
      </c>
      <c r="AL48" s="1">
        <v>0.777007</v>
      </c>
      <c r="AM48" s="1">
        <v>0.89552100000000001</v>
      </c>
      <c r="AN48">
        <f t="shared" si="19"/>
        <v>76.318964934077712</v>
      </c>
      <c r="AT48" s="61">
        <f t="shared" si="76"/>
        <v>0</v>
      </c>
      <c r="AU48" s="43">
        <f t="shared" si="20"/>
        <v>0</v>
      </c>
      <c r="AV48" s="35">
        <f t="shared" si="21"/>
        <v>0</v>
      </c>
      <c r="AW48" s="36">
        <f t="shared" si="22"/>
        <v>0</v>
      </c>
      <c r="AX48" s="35">
        <f t="shared" si="77"/>
        <v>0</v>
      </c>
      <c r="AY48" s="62">
        <f t="shared" si="78"/>
        <v>0</v>
      </c>
      <c r="AZ48" s="61">
        <f t="shared" si="79"/>
        <v>0</v>
      </c>
      <c r="BA48" s="43">
        <f t="shared" si="23"/>
        <v>0</v>
      </c>
      <c r="BB48" s="35">
        <f t="shared" si="75"/>
        <v>0</v>
      </c>
      <c r="BC48" s="36">
        <f t="shared" si="25"/>
        <v>0</v>
      </c>
      <c r="BD48" s="35">
        <f t="shared" si="26"/>
        <v>0</v>
      </c>
      <c r="BE48" s="62">
        <f t="shared" si="27"/>
        <v>0</v>
      </c>
      <c r="BF48" s="61">
        <f t="shared" si="28"/>
        <v>0</v>
      </c>
      <c r="BG48" s="43">
        <f t="shared" si="29"/>
        <v>0</v>
      </c>
      <c r="BH48" s="35">
        <f t="shared" si="30"/>
        <v>0</v>
      </c>
      <c r="BI48" s="36">
        <f t="shared" si="31"/>
        <v>0</v>
      </c>
      <c r="BJ48" s="35">
        <f t="shared" si="32"/>
        <v>0</v>
      </c>
      <c r="BK48" s="62">
        <f t="shared" si="33"/>
        <v>0</v>
      </c>
      <c r="BL48" s="61">
        <f t="shared" si="34"/>
        <v>0</v>
      </c>
      <c r="BM48" s="43">
        <f t="shared" si="35"/>
        <v>0</v>
      </c>
      <c r="BN48" s="35">
        <f t="shared" si="36"/>
        <v>0</v>
      </c>
      <c r="BO48" s="36">
        <f t="shared" si="37"/>
        <v>0</v>
      </c>
      <c r="BP48" s="35">
        <f t="shared" si="38"/>
        <v>0</v>
      </c>
      <c r="BQ48" s="62">
        <f t="shared" si="39"/>
        <v>0</v>
      </c>
      <c r="BR48" s="61">
        <f t="shared" si="40"/>
        <v>0</v>
      </c>
      <c r="BS48" s="43">
        <f t="shared" si="41"/>
        <v>0</v>
      </c>
      <c r="BT48" s="35">
        <f t="shared" si="42"/>
        <v>0</v>
      </c>
      <c r="BU48" s="36">
        <f t="shared" si="43"/>
        <v>0</v>
      </c>
      <c r="BV48" s="35">
        <f t="shared" si="44"/>
        <v>0</v>
      </c>
      <c r="BW48" s="62">
        <f t="shared" si="45"/>
        <v>0</v>
      </c>
      <c r="BX48" s="61">
        <f t="shared" si="46"/>
        <v>0</v>
      </c>
      <c r="BY48" s="43">
        <f t="shared" si="47"/>
        <v>0</v>
      </c>
      <c r="BZ48" s="35">
        <f t="shared" si="48"/>
        <v>0</v>
      </c>
      <c r="CA48" s="36">
        <f t="shared" si="49"/>
        <v>0</v>
      </c>
      <c r="CB48" s="35">
        <f t="shared" si="50"/>
        <v>0</v>
      </c>
      <c r="CC48" s="62">
        <f t="shared" si="51"/>
        <v>0</v>
      </c>
      <c r="CD48" s="61">
        <f t="shared" si="52"/>
        <v>0</v>
      </c>
      <c r="CE48" s="43">
        <f t="shared" si="53"/>
        <v>0</v>
      </c>
      <c r="CF48" s="35">
        <f t="shared" si="54"/>
        <v>0</v>
      </c>
      <c r="CG48" s="36">
        <f t="shared" si="55"/>
        <v>0</v>
      </c>
      <c r="CH48" s="35">
        <f t="shared" si="56"/>
        <v>0</v>
      </c>
      <c r="CI48" s="62">
        <f t="shared" si="74"/>
        <v>0</v>
      </c>
      <c r="CJ48" s="61">
        <f t="shared" si="57"/>
        <v>0</v>
      </c>
      <c r="CK48" s="43">
        <f t="shared" si="58"/>
        <v>0</v>
      </c>
      <c r="CL48" s="35">
        <f t="shared" si="59"/>
        <v>0</v>
      </c>
      <c r="CM48" s="36">
        <f t="shared" si="60"/>
        <v>0</v>
      </c>
      <c r="CN48" s="35">
        <f t="shared" si="61"/>
        <v>0</v>
      </c>
      <c r="CO48" s="62">
        <f t="shared" si="62"/>
        <v>0</v>
      </c>
      <c r="CP48" s="61">
        <f t="shared" si="63"/>
        <v>0</v>
      </c>
      <c r="CQ48" s="43">
        <f t="shared" si="64"/>
        <v>0</v>
      </c>
      <c r="CR48" s="35">
        <f t="shared" si="65"/>
        <v>0</v>
      </c>
      <c r="CS48" s="36">
        <f t="shared" si="66"/>
        <v>0</v>
      </c>
      <c r="CT48" s="35">
        <f t="shared" si="1"/>
        <v>0</v>
      </c>
      <c r="CU48" s="62">
        <f t="shared" si="67"/>
        <v>0</v>
      </c>
      <c r="CV48" s="61">
        <f t="shared" si="68"/>
        <v>0</v>
      </c>
      <c r="CW48" s="43">
        <f t="shared" si="69"/>
        <v>0</v>
      </c>
      <c r="CX48" s="35">
        <f t="shared" si="70"/>
        <v>0</v>
      </c>
      <c r="CY48" s="36">
        <f t="shared" si="71"/>
        <v>0</v>
      </c>
      <c r="CZ48" s="35">
        <f t="shared" si="72"/>
        <v>0</v>
      </c>
      <c r="DA48" s="62">
        <f t="shared" si="73"/>
        <v>0</v>
      </c>
    </row>
    <row r="49" spans="2:105" x14ac:dyDescent="0.3">
      <c r="B49" s="1">
        <v>0.67805199999999999</v>
      </c>
      <c r="C49" s="1">
        <v>0.85416099999999995</v>
      </c>
      <c r="D49">
        <f t="shared" si="10"/>
        <v>85.773974921997976</v>
      </c>
      <c r="F49" s="1">
        <v>0.66795499999999997</v>
      </c>
      <c r="G49" s="1">
        <v>0.84896700000000003</v>
      </c>
      <c r="H49">
        <f t="shared" si="11"/>
        <v>84.316016326630844</v>
      </c>
      <c r="J49" s="1">
        <v>0.66413299999999997</v>
      </c>
      <c r="K49" s="1">
        <v>0.84248000000000001</v>
      </c>
      <c r="L49">
        <f t="shared" si="12"/>
        <v>82.878940840082251</v>
      </c>
      <c r="N49" s="1">
        <v>0.66094600000000003</v>
      </c>
      <c r="O49" s="1">
        <v>0.86527600000000005</v>
      </c>
      <c r="P49">
        <f t="shared" si="13"/>
        <v>85.121496551067096</v>
      </c>
      <c r="R49" s="1">
        <v>0.66489799999999999</v>
      </c>
      <c r="S49" s="1">
        <v>0.865757</v>
      </c>
      <c r="T49">
        <f t="shared" si="14"/>
        <v>83.330855759012564</v>
      </c>
      <c r="V49" s="1">
        <v>0.68606599999999995</v>
      </c>
      <c r="W49" s="1">
        <v>0.87146999999999997</v>
      </c>
      <c r="X49">
        <f t="shared" si="15"/>
        <v>82.082053805322957</v>
      </c>
      <c r="Z49" s="1">
        <v>0.71083799999999997</v>
      </c>
      <c r="AA49" s="1">
        <v>0.87829100000000004</v>
      </c>
      <c r="AB49">
        <f t="shared" si="16"/>
        <v>80.758000188799713</v>
      </c>
      <c r="AD49" s="1">
        <v>0.73446999999999996</v>
      </c>
      <c r="AE49" s="1">
        <v>0.88397899999999996</v>
      </c>
      <c r="AF49">
        <f t="shared" si="17"/>
        <v>79.475015974000002</v>
      </c>
      <c r="AH49" s="1">
        <v>0.758876</v>
      </c>
      <c r="AI49" s="1">
        <v>0.88962200000000002</v>
      </c>
      <c r="AJ49">
        <f t="shared" si="18"/>
        <v>78.188911173905964</v>
      </c>
      <c r="AL49" s="1">
        <v>0.79356000000000004</v>
      </c>
      <c r="AM49" s="1">
        <v>0.90245600000000004</v>
      </c>
      <c r="AN49">
        <f t="shared" si="19"/>
        <v>76.90998627452403</v>
      </c>
      <c r="AT49" s="61">
        <f t="shared" si="76"/>
        <v>0</v>
      </c>
      <c r="AU49" s="43">
        <f t="shared" si="20"/>
        <v>0</v>
      </c>
      <c r="AV49" s="35">
        <f t="shared" si="21"/>
        <v>0</v>
      </c>
      <c r="AW49" s="36">
        <f t="shared" si="22"/>
        <v>0</v>
      </c>
      <c r="AX49" s="35">
        <f t="shared" si="77"/>
        <v>0</v>
      </c>
      <c r="AY49" s="62">
        <f t="shared" si="78"/>
        <v>0</v>
      </c>
      <c r="AZ49" s="61">
        <f t="shared" si="79"/>
        <v>0</v>
      </c>
      <c r="BA49" s="43">
        <f t="shared" si="23"/>
        <v>0</v>
      </c>
      <c r="BB49" s="35">
        <f t="shared" si="75"/>
        <v>0</v>
      </c>
      <c r="BC49" s="36">
        <f t="shared" si="25"/>
        <v>0</v>
      </c>
      <c r="BD49" s="35">
        <f t="shared" si="26"/>
        <v>0</v>
      </c>
      <c r="BE49" s="62">
        <f t="shared" si="27"/>
        <v>0</v>
      </c>
      <c r="BF49" s="61">
        <f t="shared" si="28"/>
        <v>0</v>
      </c>
      <c r="BG49" s="43">
        <f t="shared" si="29"/>
        <v>0</v>
      </c>
      <c r="BH49" s="35">
        <f t="shared" si="30"/>
        <v>0</v>
      </c>
      <c r="BI49" s="36">
        <f t="shared" si="31"/>
        <v>0</v>
      </c>
      <c r="BJ49" s="35">
        <f t="shared" si="32"/>
        <v>0</v>
      </c>
      <c r="BK49" s="62">
        <f t="shared" si="33"/>
        <v>0</v>
      </c>
      <c r="BL49" s="61">
        <f t="shared" si="34"/>
        <v>0</v>
      </c>
      <c r="BM49" s="43">
        <f t="shared" si="35"/>
        <v>0</v>
      </c>
      <c r="BN49" s="35">
        <f t="shared" si="36"/>
        <v>0</v>
      </c>
      <c r="BO49" s="36">
        <f t="shared" si="37"/>
        <v>0</v>
      </c>
      <c r="BP49" s="35">
        <f t="shared" si="38"/>
        <v>0</v>
      </c>
      <c r="BQ49" s="62">
        <f t="shared" si="39"/>
        <v>0</v>
      </c>
      <c r="BR49" s="61">
        <f t="shared" si="40"/>
        <v>0</v>
      </c>
      <c r="BS49" s="43">
        <f t="shared" si="41"/>
        <v>0</v>
      </c>
      <c r="BT49" s="35">
        <f t="shared" si="42"/>
        <v>0</v>
      </c>
      <c r="BU49" s="36">
        <f t="shared" si="43"/>
        <v>0</v>
      </c>
      <c r="BV49" s="35">
        <f t="shared" si="44"/>
        <v>0</v>
      </c>
      <c r="BW49" s="62">
        <f t="shared" si="45"/>
        <v>0</v>
      </c>
      <c r="BX49" s="61">
        <f t="shared" si="46"/>
        <v>0</v>
      </c>
      <c r="BY49" s="43">
        <f t="shared" si="47"/>
        <v>0</v>
      </c>
      <c r="BZ49" s="35">
        <f t="shared" si="48"/>
        <v>0</v>
      </c>
      <c r="CA49" s="36">
        <f t="shared" si="49"/>
        <v>0</v>
      </c>
      <c r="CB49" s="35">
        <f t="shared" si="50"/>
        <v>0</v>
      </c>
      <c r="CC49" s="62">
        <f t="shared" si="51"/>
        <v>0</v>
      </c>
      <c r="CD49" s="61">
        <f t="shared" si="52"/>
        <v>0</v>
      </c>
      <c r="CE49" s="43">
        <f t="shared" si="53"/>
        <v>0</v>
      </c>
      <c r="CF49" s="35">
        <f t="shared" si="54"/>
        <v>0</v>
      </c>
      <c r="CG49" s="36">
        <f t="shared" si="55"/>
        <v>0</v>
      </c>
      <c r="CH49" s="35">
        <f t="shared" si="56"/>
        <v>0</v>
      </c>
      <c r="CI49" s="62">
        <f t="shared" si="74"/>
        <v>0</v>
      </c>
      <c r="CJ49" s="61">
        <f t="shared" si="57"/>
        <v>0</v>
      </c>
      <c r="CK49" s="43">
        <f t="shared" si="58"/>
        <v>0</v>
      </c>
      <c r="CL49" s="35">
        <f t="shared" si="59"/>
        <v>0</v>
      </c>
      <c r="CM49" s="36">
        <f t="shared" si="60"/>
        <v>0</v>
      </c>
      <c r="CN49" s="35">
        <f t="shared" si="61"/>
        <v>0</v>
      </c>
      <c r="CO49" s="62">
        <f t="shared" si="62"/>
        <v>0</v>
      </c>
      <c r="CP49" s="61">
        <f t="shared" si="63"/>
        <v>0</v>
      </c>
      <c r="CQ49" s="43">
        <f t="shared" si="64"/>
        <v>0</v>
      </c>
      <c r="CR49" s="35">
        <f t="shared" si="65"/>
        <v>0</v>
      </c>
      <c r="CS49" s="36">
        <f t="shared" si="66"/>
        <v>0</v>
      </c>
      <c r="CT49" s="35">
        <f t="shared" si="1"/>
        <v>0</v>
      </c>
      <c r="CU49" s="62">
        <f t="shared" si="67"/>
        <v>0</v>
      </c>
      <c r="CV49" s="61">
        <f t="shared" si="68"/>
        <v>0</v>
      </c>
      <c r="CW49" s="43">
        <f t="shared" si="69"/>
        <v>0</v>
      </c>
      <c r="CX49" s="35">
        <f t="shared" si="70"/>
        <v>0</v>
      </c>
      <c r="CY49" s="36">
        <f t="shared" si="71"/>
        <v>0</v>
      </c>
      <c r="CZ49" s="35">
        <f t="shared" si="72"/>
        <v>0</v>
      </c>
      <c r="DA49" s="62">
        <f t="shared" si="73"/>
        <v>0</v>
      </c>
    </row>
    <row r="50" spans="2:105" x14ac:dyDescent="0.3">
      <c r="B50" s="1">
        <v>0.69216699999999998</v>
      </c>
      <c r="C50" s="1">
        <v>0.86092299999999999</v>
      </c>
      <c r="D50">
        <f t="shared" si="10"/>
        <v>86.45300805324905</v>
      </c>
      <c r="F50" s="1">
        <v>0.68185899999999999</v>
      </c>
      <c r="G50" s="1">
        <v>0.85562199999999999</v>
      </c>
      <c r="H50">
        <f t="shared" si="11"/>
        <v>84.976964383096785</v>
      </c>
      <c r="J50" s="1">
        <v>0.67795799999999995</v>
      </c>
      <c r="K50" s="1">
        <v>0.87559799999999999</v>
      </c>
      <c r="L50">
        <f t="shared" si="12"/>
        <v>86.136922943802034</v>
      </c>
      <c r="N50" s="1">
        <v>0.67470399999999997</v>
      </c>
      <c r="O50" s="1">
        <v>0.87344500000000003</v>
      </c>
      <c r="P50">
        <f t="shared" si="13"/>
        <v>85.925121643321674</v>
      </c>
      <c r="R50" s="1">
        <v>0.67873899999999998</v>
      </c>
      <c r="S50" s="1">
        <v>0.87377800000000005</v>
      </c>
      <c r="T50">
        <f t="shared" si="14"/>
        <v>84.102893171407786</v>
      </c>
      <c r="V50" s="1">
        <v>0.70034799999999997</v>
      </c>
      <c r="W50" s="1">
        <v>0.87823300000000004</v>
      </c>
      <c r="X50">
        <f t="shared" si="15"/>
        <v>82.71904753991555</v>
      </c>
      <c r="Z50" s="1">
        <v>0.72563599999999995</v>
      </c>
      <c r="AA50" s="1">
        <v>0.88519700000000001</v>
      </c>
      <c r="AB50">
        <f t="shared" si="16"/>
        <v>81.393000148156972</v>
      </c>
      <c r="AD50" s="1">
        <v>0.74975999999999998</v>
      </c>
      <c r="AE50" s="1">
        <v>0.89081900000000003</v>
      </c>
      <c r="AF50">
        <f t="shared" si="17"/>
        <v>80.089973014000009</v>
      </c>
      <c r="AH50" s="1">
        <v>0.77467299999999994</v>
      </c>
      <c r="AI50" s="1">
        <v>0.89641499999999996</v>
      </c>
      <c r="AJ50">
        <f t="shared" si="18"/>
        <v>78.785948200423235</v>
      </c>
      <c r="AL50" s="1">
        <v>0.81007899999999999</v>
      </c>
      <c r="AM50" s="1">
        <v>0.90933200000000003</v>
      </c>
      <c r="AN50">
        <f t="shared" si="19"/>
        <v>77.495979459370304</v>
      </c>
      <c r="AT50" s="61">
        <f t="shared" si="76"/>
        <v>0</v>
      </c>
      <c r="AU50" s="43">
        <f t="shared" si="20"/>
        <v>0</v>
      </c>
      <c r="AV50" s="35">
        <f t="shared" si="21"/>
        <v>0</v>
      </c>
      <c r="AW50" s="36">
        <f t="shared" si="22"/>
        <v>0</v>
      </c>
      <c r="AX50" s="35">
        <f t="shared" si="77"/>
        <v>0</v>
      </c>
      <c r="AY50" s="62">
        <f t="shared" si="78"/>
        <v>0</v>
      </c>
      <c r="AZ50" s="61">
        <f t="shared" si="79"/>
        <v>0</v>
      </c>
      <c r="BA50" s="43">
        <f t="shared" si="23"/>
        <v>0</v>
      </c>
      <c r="BB50" s="35">
        <f t="shared" si="75"/>
        <v>0</v>
      </c>
      <c r="BC50" s="36">
        <f t="shared" si="25"/>
        <v>0</v>
      </c>
      <c r="BD50" s="35">
        <f t="shared" si="26"/>
        <v>0</v>
      </c>
      <c r="BE50" s="62">
        <f t="shared" si="27"/>
        <v>0</v>
      </c>
      <c r="BF50" s="61">
        <f t="shared" si="28"/>
        <v>0</v>
      </c>
      <c r="BG50" s="43">
        <f t="shared" si="29"/>
        <v>0</v>
      </c>
      <c r="BH50" s="35">
        <f t="shared" si="30"/>
        <v>0</v>
      </c>
      <c r="BI50" s="36">
        <f t="shared" si="31"/>
        <v>0</v>
      </c>
      <c r="BJ50" s="35">
        <f t="shared" si="32"/>
        <v>0</v>
      </c>
      <c r="BK50" s="62">
        <f t="shared" si="33"/>
        <v>0</v>
      </c>
      <c r="BL50" s="61">
        <f t="shared" si="34"/>
        <v>0</v>
      </c>
      <c r="BM50" s="43">
        <f t="shared" si="35"/>
        <v>0</v>
      </c>
      <c r="BN50" s="35">
        <f t="shared" si="36"/>
        <v>0</v>
      </c>
      <c r="BO50" s="36">
        <f t="shared" si="37"/>
        <v>0</v>
      </c>
      <c r="BP50" s="35">
        <f t="shared" si="38"/>
        <v>0</v>
      </c>
      <c r="BQ50" s="62">
        <f t="shared" si="39"/>
        <v>0</v>
      </c>
      <c r="BR50" s="61">
        <f t="shared" si="40"/>
        <v>0</v>
      </c>
      <c r="BS50" s="43">
        <f t="shared" si="41"/>
        <v>0</v>
      </c>
      <c r="BT50" s="35">
        <f t="shared" si="42"/>
        <v>0</v>
      </c>
      <c r="BU50" s="36">
        <f t="shared" si="43"/>
        <v>0</v>
      </c>
      <c r="BV50" s="35">
        <f t="shared" si="44"/>
        <v>0</v>
      </c>
      <c r="BW50" s="62">
        <f t="shared" si="45"/>
        <v>0</v>
      </c>
      <c r="BX50" s="61">
        <f t="shared" si="46"/>
        <v>0</v>
      </c>
      <c r="BY50" s="43">
        <f t="shared" si="47"/>
        <v>0</v>
      </c>
      <c r="BZ50" s="35">
        <f t="shared" si="48"/>
        <v>0</v>
      </c>
      <c r="CA50" s="36">
        <f t="shared" si="49"/>
        <v>0</v>
      </c>
      <c r="CB50" s="35">
        <f t="shared" si="50"/>
        <v>0</v>
      </c>
      <c r="CC50" s="62">
        <f t="shared" si="51"/>
        <v>0</v>
      </c>
      <c r="CD50" s="61">
        <f t="shared" si="52"/>
        <v>0</v>
      </c>
      <c r="CE50" s="43">
        <f t="shared" si="53"/>
        <v>0</v>
      </c>
      <c r="CF50" s="35">
        <f t="shared" si="54"/>
        <v>0</v>
      </c>
      <c r="CG50" s="36">
        <f t="shared" si="55"/>
        <v>0</v>
      </c>
      <c r="CH50" s="35">
        <f t="shared" si="56"/>
        <v>0</v>
      </c>
      <c r="CI50" s="62">
        <f t="shared" si="74"/>
        <v>0</v>
      </c>
      <c r="CJ50" s="61">
        <f t="shared" si="57"/>
        <v>0</v>
      </c>
      <c r="CK50" s="43">
        <f t="shared" si="58"/>
        <v>0</v>
      </c>
      <c r="CL50" s="35">
        <f t="shared" si="59"/>
        <v>0</v>
      </c>
      <c r="CM50" s="36">
        <f t="shared" si="60"/>
        <v>0</v>
      </c>
      <c r="CN50" s="35">
        <f t="shared" si="61"/>
        <v>0</v>
      </c>
      <c r="CO50" s="62">
        <f t="shared" si="62"/>
        <v>0</v>
      </c>
      <c r="CP50" s="61">
        <f t="shared" si="63"/>
        <v>0</v>
      </c>
      <c r="CQ50" s="43">
        <f t="shared" si="64"/>
        <v>0</v>
      </c>
      <c r="CR50" s="35">
        <f t="shared" si="65"/>
        <v>0</v>
      </c>
      <c r="CS50" s="36">
        <f t="shared" si="66"/>
        <v>0</v>
      </c>
      <c r="CT50" s="35">
        <f t="shared" si="1"/>
        <v>0</v>
      </c>
      <c r="CU50" s="62">
        <f t="shared" si="67"/>
        <v>0</v>
      </c>
      <c r="CV50" s="61">
        <f t="shared" si="68"/>
        <v>0</v>
      </c>
      <c r="CW50" s="43">
        <f t="shared" si="69"/>
        <v>0</v>
      </c>
      <c r="CX50" s="35">
        <f t="shared" si="70"/>
        <v>0</v>
      </c>
      <c r="CY50" s="36">
        <f t="shared" si="71"/>
        <v>0</v>
      </c>
      <c r="CZ50" s="35">
        <f t="shared" si="72"/>
        <v>0</v>
      </c>
      <c r="DA50" s="62">
        <f t="shared" si="73"/>
        <v>0</v>
      </c>
    </row>
    <row r="51" spans="2:105" x14ac:dyDescent="0.3">
      <c r="B51" s="1">
        <v>0.70630999999999999</v>
      </c>
      <c r="C51" s="1">
        <v>0.86784399999999995</v>
      </c>
      <c r="D51">
        <f t="shared" si="10"/>
        <v>87.148007802049506</v>
      </c>
      <c r="F51" s="1">
        <v>0.69579199999999997</v>
      </c>
      <c r="G51" s="1">
        <v>0.86221800000000004</v>
      </c>
      <c r="H51">
        <f t="shared" si="11"/>
        <v>85.632052794884828</v>
      </c>
      <c r="J51" s="1">
        <v>0.69181199999999998</v>
      </c>
      <c r="K51" s="1">
        <v>0.88341599999999998</v>
      </c>
      <c r="L51">
        <f t="shared" si="12"/>
        <v>86.90601842320541</v>
      </c>
      <c r="N51" s="1">
        <v>0.68849099999999996</v>
      </c>
      <c r="O51" s="1">
        <v>0.88128600000000001</v>
      </c>
      <c r="P51">
        <f t="shared" si="13"/>
        <v>86.696479746928972</v>
      </c>
      <c r="R51" s="1">
        <v>0.692608</v>
      </c>
      <c r="S51" s="1">
        <v>0.88041700000000001</v>
      </c>
      <c r="T51">
        <f t="shared" si="14"/>
        <v>84.741910299059171</v>
      </c>
      <c r="V51" s="1">
        <v>0.71465800000000002</v>
      </c>
      <c r="W51" s="1">
        <v>0.88518699999999995</v>
      </c>
      <c r="X51">
        <f t="shared" si="15"/>
        <v>83.374031190715016</v>
      </c>
      <c r="Z51" s="1">
        <v>0.74046299999999998</v>
      </c>
      <c r="AA51" s="1">
        <v>0.89199399999999995</v>
      </c>
      <c r="AB51">
        <f t="shared" si="16"/>
        <v>82.017977663904333</v>
      </c>
      <c r="AD51" s="1">
        <v>0.76507999999999998</v>
      </c>
      <c r="AE51" s="1">
        <v>0.89759299999999997</v>
      </c>
      <c r="AF51">
        <f t="shared" si="17"/>
        <v>80.698996258000008</v>
      </c>
      <c r="AH51" s="1">
        <v>0.79050200000000004</v>
      </c>
      <c r="AI51" s="1">
        <v>0.903173</v>
      </c>
      <c r="AJ51">
        <f t="shared" si="18"/>
        <v>79.379909075618826</v>
      </c>
      <c r="AL51" s="1">
        <v>0.82663200000000003</v>
      </c>
      <c r="AM51" s="1">
        <v>0.91614899999999999</v>
      </c>
      <c r="AN51">
        <f t="shared" si="19"/>
        <v>78.076944488616519</v>
      </c>
      <c r="AP51" s="15"/>
      <c r="AQ51" s="15"/>
      <c r="AT51" s="61">
        <f t="shared" si="76"/>
        <v>0</v>
      </c>
      <c r="AU51" s="43">
        <f t="shared" si="20"/>
        <v>0</v>
      </c>
      <c r="AV51" s="35">
        <f t="shared" si="21"/>
        <v>0</v>
      </c>
      <c r="AW51" s="36">
        <f t="shared" si="22"/>
        <v>0</v>
      </c>
      <c r="AX51" s="35">
        <f t="shared" si="77"/>
        <v>0</v>
      </c>
      <c r="AY51" s="62">
        <f t="shared" si="78"/>
        <v>0</v>
      </c>
      <c r="AZ51" s="61">
        <f t="shared" si="79"/>
        <v>0</v>
      </c>
      <c r="BA51" s="43">
        <f t="shared" si="23"/>
        <v>0</v>
      </c>
      <c r="BB51" s="35">
        <f t="shared" si="75"/>
        <v>0</v>
      </c>
      <c r="BC51" s="36">
        <f t="shared" si="25"/>
        <v>0</v>
      </c>
      <c r="BD51" s="35">
        <f t="shared" si="26"/>
        <v>0</v>
      </c>
      <c r="BE51" s="62">
        <f t="shared" si="27"/>
        <v>0</v>
      </c>
      <c r="BF51" s="61">
        <f t="shared" si="28"/>
        <v>0</v>
      </c>
      <c r="BG51" s="43">
        <f t="shared" si="29"/>
        <v>0</v>
      </c>
      <c r="BH51" s="35">
        <f t="shared" si="30"/>
        <v>0</v>
      </c>
      <c r="BI51" s="36">
        <f t="shared" si="31"/>
        <v>0</v>
      </c>
      <c r="BJ51" s="35">
        <f t="shared" si="32"/>
        <v>0</v>
      </c>
      <c r="BK51" s="62">
        <f t="shared" si="33"/>
        <v>0</v>
      </c>
      <c r="BL51" s="61">
        <f t="shared" si="34"/>
        <v>0</v>
      </c>
      <c r="BM51" s="43">
        <f t="shared" si="35"/>
        <v>0</v>
      </c>
      <c r="BN51" s="35">
        <f t="shared" si="36"/>
        <v>0</v>
      </c>
      <c r="BO51" s="36">
        <f t="shared" si="37"/>
        <v>0</v>
      </c>
      <c r="BP51" s="35">
        <f t="shared" si="38"/>
        <v>0</v>
      </c>
      <c r="BQ51" s="62">
        <f t="shared" si="39"/>
        <v>0</v>
      </c>
      <c r="BR51" s="61">
        <f t="shared" si="40"/>
        <v>0</v>
      </c>
      <c r="BS51" s="43">
        <f t="shared" si="41"/>
        <v>0</v>
      </c>
      <c r="BT51" s="35">
        <f t="shared" si="42"/>
        <v>0</v>
      </c>
      <c r="BU51" s="36">
        <f t="shared" si="43"/>
        <v>0</v>
      </c>
      <c r="BV51" s="35">
        <f t="shared" si="44"/>
        <v>0</v>
      </c>
      <c r="BW51" s="62">
        <f t="shared" si="45"/>
        <v>0</v>
      </c>
      <c r="BX51" s="61">
        <f t="shared" si="46"/>
        <v>0</v>
      </c>
      <c r="BY51" s="43">
        <f t="shared" si="47"/>
        <v>0</v>
      </c>
      <c r="BZ51" s="35">
        <f t="shared" si="48"/>
        <v>0</v>
      </c>
      <c r="CA51" s="36">
        <f t="shared" si="49"/>
        <v>0</v>
      </c>
      <c r="CB51" s="35">
        <f t="shared" si="50"/>
        <v>0</v>
      </c>
      <c r="CC51" s="62">
        <f t="shared" si="51"/>
        <v>0</v>
      </c>
      <c r="CD51" s="61">
        <f t="shared" si="52"/>
        <v>0</v>
      </c>
      <c r="CE51" s="43">
        <f t="shared" si="53"/>
        <v>0</v>
      </c>
      <c r="CF51" s="35">
        <f t="shared" si="54"/>
        <v>0</v>
      </c>
      <c r="CG51" s="36">
        <f t="shared" si="55"/>
        <v>0</v>
      </c>
      <c r="CH51" s="35">
        <f t="shared" si="56"/>
        <v>0</v>
      </c>
      <c r="CI51" s="62">
        <f t="shared" si="74"/>
        <v>0</v>
      </c>
      <c r="CJ51" s="61">
        <f t="shared" si="57"/>
        <v>0</v>
      </c>
      <c r="CK51" s="43">
        <f t="shared" si="58"/>
        <v>0</v>
      </c>
      <c r="CL51" s="35">
        <f t="shared" si="59"/>
        <v>0</v>
      </c>
      <c r="CM51" s="36">
        <f t="shared" si="60"/>
        <v>0</v>
      </c>
      <c r="CN51" s="35">
        <f t="shared" si="61"/>
        <v>0</v>
      </c>
      <c r="CO51" s="62">
        <f t="shared" si="62"/>
        <v>0</v>
      </c>
      <c r="CP51" s="61">
        <f t="shared" si="63"/>
        <v>0</v>
      </c>
      <c r="CQ51" s="43">
        <f t="shared" si="64"/>
        <v>0</v>
      </c>
      <c r="CR51" s="35">
        <f t="shared" si="65"/>
        <v>0</v>
      </c>
      <c r="CS51" s="36">
        <f t="shared" si="66"/>
        <v>0</v>
      </c>
      <c r="CT51" s="35">
        <f t="shared" si="1"/>
        <v>0</v>
      </c>
      <c r="CU51" s="62">
        <f t="shared" si="67"/>
        <v>0</v>
      </c>
      <c r="CV51" s="61">
        <f t="shared" si="68"/>
        <v>0</v>
      </c>
      <c r="CW51" s="43">
        <f t="shared" si="69"/>
        <v>0</v>
      </c>
      <c r="CX51" s="35">
        <f t="shared" si="70"/>
        <v>0</v>
      </c>
      <c r="CY51" s="36">
        <f t="shared" si="71"/>
        <v>0</v>
      </c>
      <c r="CZ51" s="35">
        <f t="shared" si="72"/>
        <v>0</v>
      </c>
      <c r="DA51" s="62">
        <f t="shared" si="73"/>
        <v>0</v>
      </c>
    </row>
    <row r="52" spans="2:105" x14ac:dyDescent="0.3">
      <c r="B52" s="1">
        <v>0.72042499999999998</v>
      </c>
      <c r="C52" s="1">
        <v>0.874386</v>
      </c>
      <c r="D52">
        <f t="shared" si="10"/>
        <v>87.804948758075028</v>
      </c>
      <c r="F52" s="1">
        <v>0.70969700000000002</v>
      </c>
      <c r="G52" s="1">
        <v>0.86901399999999995</v>
      </c>
      <c r="H52">
        <f t="shared" si="11"/>
        <v>86.307004408970869</v>
      </c>
      <c r="J52" s="1">
        <v>0.70563699999999996</v>
      </c>
      <c r="K52" s="1">
        <v>0.89123300000000005</v>
      </c>
      <c r="L52">
        <f t="shared" si="12"/>
        <v>87.67501552764341</v>
      </c>
      <c r="N52" s="1">
        <v>0.70224900000000001</v>
      </c>
      <c r="O52" s="1">
        <v>0.88910599999999995</v>
      </c>
      <c r="P52">
        <f t="shared" si="13"/>
        <v>87.465771976263127</v>
      </c>
      <c r="R52" s="1">
        <v>0.70644899999999999</v>
      </c>
      <c r="S52" s="1">
        <v>0.88698299999999997</v>
      </c>
      <c r="T52">
        <f t="shared" si="14"/>
        <v>85.373901029614828</v>
      </c>
      <c r="V52" s="1">
        <v>0.72894000000000003</v>
      </c>
      <c r="W52" s="1">
        <v>0.891706</v>
      </c>
      <c r="X52">
        <f t="shared" si="15"/>
        <v>83.988043042823406</v>
      </c>
      <c r="Z52" s="1">
        <v>0.75526000000000004</v>
      </c>
      <c r="AA52" s="1">
        <v>0.89888999999999997</v>
      </c>
      <c r="AB52">
        <f t="shared" si="16"/>
        <v>82.652058133022166</v>
      </c>
      <c r="AD52" s="1">
        <v>0.78036899999999998</v>
      </c>
      <c r="AE52" s="1">
        <v>0.90434499999999995</v>
      </c>
      <c r="AF52">
        <f t="shared" si="17"/>
        <v>81.306041570000005</v>
      </c>
      <c r="AH52" s="1">
        <v>0.80630000000000002</v>
      </c>
      <c r="AI52" s="1">
        <v>0.90988599999999997</v>
      </c>
      <c r="AJ52">
        <f t="shared" si="18"/>
        <v>79.969914899115139</v>
      </c>
      <c r="AL52" s="1">
        <v>0.84315099999999998</v>
      </c>
      <c r="AM52" s="1">
        <v>0.92356499999999997</v>
      </c>
      <c r="AN52">
        <f t="shared" si="19"/>
        <v>78.70895808064968</v>
      </c>
      <c r="AP52" s="15"/>
      <c r="AQ52" s="15"/>
      <c r="AT52" s="61">
        <f t="shared" si="76"/>
        <v>0</v>
      </c>
      <c r="AU52" s="43">
        <f t="shared" si="20"/>
        <v>0</v>
      </c>
      <c r="AV52" s="35">
        <f t="shared" si="21"/>
        <v>0</v>
      </c>
      <c r="AW52" s="36">
        <f t="shared" si="22"/>
        <v>0</v>
      </c>
      <c r="AX52" s="35">
        <f t="shared" si="77"/>
        <v>0</v>
      </c>
      <c r="AY52" s="62">
        <f t="shared" si="78"/>
        <v>0</v>
      </c>
      <c r="AZ52" s="61">
        <f t="shared" si="79"/>
        <v>0</v>
      </c>
      <c r="BA52" s="43">
        <f t="shared" si="23"/>
        <v>0</v>
      </c>
      <c r="BB52" s="35">
        <f t="shared" si="75"/>
        <v>0</v>
      </c>
      <c r="BC52" s="36">
        <f t="shared" si="25"/>
        <v>0</v>
      </c>
      <c r="BD52" s="35">
        <f t="shared" si="26"/>
        <v>0</v>
      </c>
      <c r="BE52" s="62">
        <f t="shared" si="27"/>
        <v>0</v>
      </c>
      <c r="BF52" s="61">
        <f t="shared" si="28"/>
        <v>0</v>
      </c>
      <c r="BG52" s="43">
        <f t="shared" si="29"/>
        <v>0</v>
      </c>
      <c r="BH52" s="35">
        <f t="shared" si="30"/>
        <v>0</v>
      </c>
      <c r="BI52" s="36">
        <f t="shared" si="31"/>
        <v>0</v>
      </c>
      <c r="BJ52" s="35">
        <f t="shared" si="32"/>
        <v>0</v>
      </c>
      <c r="BK52" s="62">
        <f t="shared" si="33"/>
        <v>0</v>
      </c>
      <c r="BL52" s="61">
        <f t="shared" si="34"/>
        <v>0</v>
      </c>
      <c r="BM52" s="43">
        <f t="shared" si="35"/>
        <v>0</v>
      </c>
      <c r="BN52" s="35">
        <f t="shared" si="36"/>
        <v>0</v>
      </c>
      <c r="BO52" s="36">
        <f t="shared" si="37"/>
        <v>0</v>
      </c>
      <c r="BP52" s="35">
        <f t="shared" si="38"/>
        <v>0</v>
      </c>
      <c r="BQ52" s="62">
        <f t="shared" si="39"/>
        <v>0</v>
      </c>
      <c r="BR52" s="61">
        <f t="shared" si="40"/>
        <v>0</v>
      </c>
      <c r="BS52" s="43">
        <f t="shared" si="41"/>
        <v>0</v>
      </c>
      <c r="BT52" s="35">
        <f t="shared" si="42"/>
        <v>0</v>
      </c>
      <c r="BU52" s="36">
        <f t="shared" si="43"/>
        <v>0</v>
      </c>
      <c r="BV52" s="35">
        <f t="shared" si="44"/>
        <v>0</v>
      </c>
      <c r="BW52" s="62">
        <f t="shared" si="45"/>
        <v>0</v>
      </c>
      <c r="BX52" s="61">
        <f t="shared" si="46"/>
        <v>0</v>
      </c>
      <c r="BY52" s="43">
        <f t="shared" si="47"/>
        <v>0</v>
      </c>
      <c r="BZ52" s="35">
        <f t="shared" si="48"/>
        <v>0</v>
      </c>
      <c r="CA52" s="36">
        <f t="shared" si="49"/>
        <v>0</v>
      </c>
      <c r="CB52" s="35">
        <f t="shared" si="50"/>
        <v>0</v>
      </c>
      <c r="CC52" s="62">
        <f t="shared" si="51"/>
        <v>0</v>
      </c>
      <c r="CD52" s="61">
        <f t="shared" si="52"/>
        <v>0</v>
      </c>
      <c r="CE52" s="43">
        <f t="shared" si="53"/>
        <v>0</v>
      </c>
      <c r="CF52" s="35">
        <f t="shared" si="54"/>
        <v>0</v>
      </c>
      <c r="CG52" s="36">
        <f t="shared" si="55"/>
        <v>0</v>
      </c>
      <c r="CH52" s="35">
        <f t="shared" si="56"/>
        <v>0</v>
      </c>
      <c r="CI52" s="62">
        <f t="shared" si="74"/>
        <v>0</v>
      </c>
      <c r="CJ52" s="61">
        <f t="shared" si="57"/>
        <v>0</v>
      </c>
      <c r="CK52" s="43">
        <f t="shared" si="58"/>
        <v>0</v>
      </c>
      <c r="CL52" s="35">
        <f t="shared" si="59"/>
        <v>0</v>
      </c>
      <c r="CM52" s="36">
        <f t="shared" si="60"/>
        <v>0</v>
      </c>
      <c r="CN52" s="35">
        <f t="shared" si="61"/>
        <v>0</v>
      </c>
      <c r="CO52" s="62">
        <f t="shared" si="62"/>
        <v>0</v>
      </c>
      <c r="CP52" s="61">
        <f t="shared" si="63"/>
        <v>0</v>
      </c>
      <c r="CQ52" s="43">
        <f t="shared" si="64"/>
        <v>0</v>
      </c>
      <c r="CR52" s="35">
        <f t="shared" si="65"/>
        <v>0</v>
      </c>
      <c r="CS52" s="36">
        <f t="shared" si="66"/>
        <v>0</v>
      </c>
      <c r="CT52" s="35">
        <f t="shared" si="1"/>
        <v>0</v>
      </c>
      <c r="CU52" s="62">
        <f t="shared" si="67"/>
        <v>0</v>
      </c>
      <c r="CV52" s="61">
        <f t="shared" si="68"/>
        <v>0</v>
      </c>
      <c r="CW52" s="43">
        <f t="shared" si="69"/>
        <v>0</v>
      </c>
      <c r="CX52" s="35">
        <f t="shared" si="70"/>
        <v>0</v>
      </c>
      <c r="CY52" s="36">
        <f t="shared" si="71"/>
        <v>0</v>
      </c>
      <c r="CZ52" s="35">
        <f t="shared" si="72"/>
        <v>0</v>
      </c>
      <c r="DA52" s="62">
        <f t="shared" si="73"/>
        <v>0</v>
      </c>
    </row>
    <row r="53" spans="2:105" x14ac:dyDescent="0.3">
      <c r="B53" s="1">
        <v>0.734568</v>
      </c>
      <c r="C53" s="1">
        <v>0.88087899999999997</v>
      </c>
      <c r="D53">
        <f t="shared" si="10"/>
        <v>88.456969184163938</v>
      </c>
      <c r="F53" s="1">
        <v>0.72362899999999997</v>
      </c>
      <c r="G53" s="1">
        <v>0.90139599999999998</v>
      </c>
      <c r="H53">
        <f t="shared" si="11"/>
        <v>89.523055493040047</v>
      </c>
      <c r="J53" s="1">
        <v>0.71948999999999996</v>
      </c>
      <c r="K53" s="1">
        <v>0.89899899999999999</v>
      </c>
      <c r="L53">
        <f t="shared" si="12"/>
        <v>88.438995508846617</v>
      </c>
      <c r="N53" s="1">
        <v>0.71603600000000001</v>
      </c>
      <c r="O53" s="1">
        <v>0.89686399999999999</v>
      </c>
      <c r="P53">
        <f t="shared" si="13"/>
        <v>88.228964957743244</v>
      </c>
      <c r="R53" s="1">
        <v>0.72031800000000001</v>
      </c>
      <c r="S53" s="1">
        <v>0.89347600000000005</v>
      </c>
      <c r="T53">
        <f t="shared" si="14"/>
        <v>85.998865363074756</v>
      </c>
      <c r="V53" s="1">
        <v>0.74324999999999997</v>
      </c>
      <c r="W53" s="1">
        <v>0.898289</v>
      </c>
      <c r="X53">
        <f t="shared" si="15"/>
        <v>84.608082929681757</v>
      </c>
      <c r="Z53" s="1">
        <v>0.77008699999999997</v>
      </c>
      <c r="AA53" s="1">
        <v>0.90544800000000003</v>
      </c>
      <c r="AB53">
        <f t="shared" si="16"/>
        <v>83.255059832046925</v>
      </c>
      <c r="AD53" s="1">
        <v>0.79568899999999998</v>
      </c>
      <c r="AE53" s="1">
        <v>0.91114099999999998</v>
      </c>
      <c r="AF53">
        <f t="shared" si="17"/>
        <v>81.917042746000007</v>
      </c>
      <c r="AH53" s="1">
        <v>0.822129</v>
      </c>
      <c r="AI53" s="1">
        <v>0.91670200000000002</v>
      </c>
      <c r="AJ53">
        <f t="shared" si="18"/>
        <v>80.568973396500937</v>
      </c>
      <c r="AL53" s="1">
        <v>0.85970400000000002</v>
      </c>
      <c r="AM53" s="1">
        <v>0.93191999999999997</v>
      </c>
      <c r="AN53">
        <f t="shared" si="19"/>
        <v>79.420996047402241</v>
      </c>
      <c r="AP53" s="15"/>
      <c r="AQ53" s="15"/>
      <c r="AT53" s="61">
        <f t="shared" si="76"/>
        <v>0</v>
      </c>
      <c r="AU53" s="43">
        <f t="shared" si="20"/>
        <v>0</v>
      </c>
      <c r="AV53" s="35">
        <f t="shared" si="21"/>
        <v>0</v>
      </c>
      <c r="AW53" s="36">
        <f t="shared" si="22"/>
        <v>0</v>
      </c>
      <c r="AX53" s="35">
        <f t="shared" si="77"/>
        <v>0</v>
      </c>
      <c r="AY53" s="62">
        <f t="shared" si="78"/>
        <v>0</v>
      </c>
      <c r="AZ53" s="61">
        <f t="shared" si="79"/>
        <v>0</v>
      </c>
      <c r="BA53" s="43">
        <f t="shared" si="23"/>
        <v>0</v>
      </c>
      <c r="BB53" s="35">
        <f t="shared" si="75"/>
        <v>0</v>
      </c>
      <c r="BC53" s="36">
        <f t="shared" si="25"/>
        <v>0</v>
      </c>
      <c r="BD53" s="35">
        <f t="shared" si="26"/>
        <v>0</v>
      </c>
      <c r="BE53" s="62">
        <f t="shared" si="27"/>
        <v>0</v>
      </c>
      <c r="BF53" s="61">
        <f t="shared" si="28"/>
        <v>0</v>
      </c>
      <c r="BG53" s="43">
        <f t="shared" si="29"/>
        <v>0</v>
      </c>
      <c r="BH53" s="35">
        <f t="shared" si="30"/>
        <v>0</v>
      </c>
      <c r="BI53" s="36">
        <f t="shared" si="31"/>
        <v>0</v>
      </c>
      <c r="BJ53" s="35">
        <f t="shared" si="32"/>
        <v>0</v>
      </c>
      <c r="BK53" s="62">
        <f t="shared" si="33"/>
        <v>0</v>
      </c>
      <c r="BL53" s="61">
        <f t="shared" si="34"/>
        <v>0</v>
      </c>
      <c r="BM53" s="43">
        <f t="shared" si="35"/>
        <v>0</v>
      </c>
      <c r="BN53" s="35">
        <f t="shared" si="36"/>
        <v>0</v>
      </c>
      <c r="BO53" s="36">
        <f t="shared" si="37"/>
        <v>0</v>
      </c>
      <c r="BP53" s="35">
        <f t="shared" si="38"/>
        <v>0</v>
      </c>
      <c r="BQ53" s="62">
        <f t="shared" si="39"/>
        <v>0</v>
      </c>
      <c r="BR53" s="61">
        <f t="shared" si="40"/>
        <v>0</v>
      </c>
      <c r="BS53" s="43">
        <f t="shared" si="41"/>
        <v>0</v>
      </c>
      <c r="BT53" s="35">
        <f t="shared" si="42"/>
        <v>0</v>
      </c>
      <c r="BU53" s="36">
        <f t="shared" si="43"/>
        <v>0</v>
      </c>
      <c r="BV53" s="35">
        <f t="shared" si="44"/>
        <v>0</v>
      </c>
      <c r="BW53" s="62">
        <f t="shared" si="45"/>
        <v>0</v>
      </c>
      <c r="BX53" s="61">
        <f t="shared" si="46"/>
        <v>0</v>
      </c>
      <c r="BY53" s="43">
        <f t="shared" si="47"/>
        <v>0</v>
      </c>
      <c r="BZ53" s="35">
        <f t="shared" si="48"/>
        <v>0</v>
      </c>
      <c r="CA53" s="36">
        <f t="shared" si="49"/>
        <v>0</v>
      </c>
      <c r="CB53" s="35">
        <f t="shared" si="50"/>
        <v>0</v>
      </c>
      <c r="CC53" s="62">
        <f t="shared" si="51"/>
        <v>0</v>
      </c>
      <c r="CD53" s="61">
        <f t="shared" si="52"/>
        <v>0</v>
      </c>
      <c r="CE53" s="43">
        <f t="shared" si="53"/>
        <v>0</v>
      </c>
      <c r="CF53" s="35">
        <f t="shared" si="54"/>
        <v>0</v>
      </c>
      <c r="CG53" s="36">
        <f t="shared" si="55"/>
        <v>0</v>
      </c>
      <c r="CH53" s="35">
        <f t="shared" si="56"/>
        <v>0</v>
      </c>
      <c r="CI53" s="62">
        <f t="shared" si="74"/>
        <v>0</v>
      </c>
      <c r="CJ53" s="61">
        <f t="shared" si="57"/>
        <v>0</v>
      </c>
      <c r="CK53" s="43">
        <f t="shared" si="58"/>
        <v>0</v>
      </c>
      <c r="CL53" s="35">
        <f t="shared" si="59"/>
        <v>0</v>
      </c>
      <c r="CM53" s="36">
        <f t="shared" si="60"/>
        <v>0</v>
      </c>
      <c r="CN53" s="35">
        <f t="shared" si="61"/>
        <v>0</v>
      </c>
      <c r="CO53" s="62">
        <f t="shared" si="62"/>
        <v>0</v>
      </c>
      <c r="CP53" s="61">
        <f t="shared" si="63"/>
        <v>0</v>
      </c>
      <c r="CQ53" s="43">
        <f t="shared" si="64"/>
        <v>0</v>
      </c>
      <c r="CR53" s="35">
        <f t="shared" si="65"/>
        <v>0</v>
      </c>
      <c r="CS53" s="36">
        <f t="shared" si="66"/>
        <v>0</v>
      </c>
      <c r="CT53" s="35">
        <f t="shared" si="1"/>
        <v>0</v>
      </c>
      <c r="CU53" s="62">
        <f t="shared" si="67"/>
        <v>0</v>
      </c>
      <c r="CV53" s="61">
        <f t="shared" si="68"/>
        <v>0</v>
      </c>
      <c r="CW53" s="43">
        <f t="shared" si="69"/>
        <v>0</v>
      </c>
      <c r="CX53" s="35">
        <f t="shared" si="70"/>
        <v>0</v>
      </c>
      <c r="CY53" s="36">
        <f t="shared" si="71"/>
        <v>0</v>
      </c>
      <c r="CZ53" s="35">
        <f t="shared" si="72"/>
        <v>0</v>
      </c>
      <c r="DA53" s="62">
        <f t="shared" si="73"/>
        <v>0</v>
      </c>
    </row>
    <row r="54" spans="2:105" x14ac:dyDescent="0.3">
      <c r="B54" s="1">
        <v>0.74868299999999999</v>
      </c>
      <c r="C54" s="1">
        <v>0.88731199999999999</v>
      </c>
      <c r="D54">
        <f t="shared" si="10"/>
        <v>89.102964471554969</v>
      </c>
      <c r="F54" s="1">
        <v>0.73753400000000002</v>
      </c>
      <c r="G54" s="1">
        <v>0.90900800000000004</v>
      </c>
      <c r="H54">
        <f t="shared" si="11"/>
        <v>90.279048972501926</v>
      </c>
      <c r="J54" s="1">
        <v>0.73331500000000005</v>
      </c>
      <c r="K54" s="1">
        <v>0.90667299999999995</v>
      </c>
      <c r="L54">
        <f t="shared" si="12"/>
        <v>89.19392499323412</v>
      </c>
      <c r="N54" s="1">
        <v>0.72979499999999997</v>
      </c>
      <c r="O54" s="1">
        <v>0.90354500000000004</v>
      </c>
      <c r="P54">
        <f t="shared" si="13"/>
        <v>88.886208101500472</v>
      </c>
      <c r="R54" s="1">
        <v>0.73415900000000001</v>
      </c>
      <c r="S54" s="1">
        <v>0.899949</v>
      </c>
      <c r="T54">
        <f t="shared" si="14"/>
        <v>86.621904656234491</v>
      </c>
      <c r="V54" s="1">
        <v>0.75753199999999998</v>
      </c>
      <c r="W54" s="1">
        <v>0.90483899999999995</v>
      </c>
      <c r="X54">
        <f t="shared" si="15"/>
        <v>85.225014611122148</v>
      </c>
      <c r="Z54" s="1">
        <v>0.78488500000000005</v>
      </c>
      <c r="AA54" s="1">
        <v>0.91198400000000002</v>
      </c>
      <c r="AB54">
        <f t="shared" si="16"/>
        <v>83.856038652544896</v>
      </c>
      <c r="AD54" s="1">
        <v>0.81097799999999998</v>
      </c>
      <c r="AE54" s="1">
        <v>0.91761400000000004</v>
      </c>
      <c r="AF54">
        <f t="shared" si="17"/>
        <v>82.499004284000009</v>
      </c>
      <c r="AH54" s="1">
        <v>0.83792599999999995</v>
      </c>
      <c r="AI54" s="1">
        <v>0.92338100000000001</v>
      </c>
      <c r="AJ54">
        <f t="shared" si="18"/>
        <v>81.155990958713332</v>
      </c>
      <c r="AL54" s="1">
        <v>0.87622299999999997</v>
      </c>
      <c r="AM54" s="1">
        <v>0.94035599999999997</v>
      </c>
      <c r="AN54">
        <f t="shared" si="19"/>
        <v>80.139937075232822</v>
      </c>
      <c r="AP54" s="15"/>
      <c r="AQ54" s="15"/>
      <c r="AT54" s="61">
        <f t="shared" si="76"/>
        <v>0</v>
      </c>
      <c r="AU54" s="43">
        <f t="shared" si="20"/>
        <v>0</v>
      </c>
      <c r="AV54" s="35">
        <f t="shared" si="21"/>
        <v>0</v>
      </c>
      <c r="AW54" s="36">
        <f t="shared" si="22"/>
        <v>0</v>
      </c>
      <c r="AX54" s="35">
        <f t="shared" si="77"/>
        <v>0</v>
      </c>
      <c r="AY54" s="62">
        <f t="shared" si="78"/>
        <v>0</v>
      </c>
      <c r="AZ54" s="61">
        <f t="shared" si="79"/>
        <v>0</v>
      </c>
      <c r="BA54" s="43">
        <f t="shared" si="23"/>
        <v>0</v>
      </c>
      <c r="BB54" s="35">
        <f t="shared" si="75"/>
        <v>0</v>
      </c>
      <c r="BC54" s="36">
        <f t="shared" si="25"/>
        <v>0</v>
      </c>
      <c r="BD54" s="35">
        <f t="shared" si="26"/>
        <v>0</v>
      </c>
      <c r="BE54" s="62">
        <f t="shared" si="27"/>
        <v>0</v>
      </c>
      <c r="BF54" s="61">
        <f t="shared" si="28"/>
        <v>0</v>
      </c>
      <c r="BG54" s="43">
        <f t="shared" si="29"/>
        <v>0</v>
      </c>
      <c r="BH54" s="35">
        <f t="shared" si="30"/>
        <v>0</v>
      </c>
      <c r="BI54" s="36">
        <f t="shared" si="31"/>
        <v>0</v>
      </c>
      <c r="BJ54" s="35">
        <f t="shared" si="32"/>
        <v>0</v>
      </c>
      <c r="BK54" s="62">
        <f t="shared" si="33"/>
        <v>0</v>
      </c>
      <c r="BL54" s="61">
        <f t="shared" si="34"/>
        <v>0</v>
      </c>
      <c r="BM54" s="43">
        <f t="shared" si="35"/>
        <v>0</v>
      </c>
      <c r="BN54" s="35">
        <f t="shared" si="36"/>
        <v>0</v>
      </c>
      <c r="BO54" s="36">
        <f t="shared" si="37"/>
        <v>0</v>
      </c>
      <c r="BP54" s="35">
        <f t="shared" si="38"/>
        <v>0</v>
      </c>
      <c r="BQ54" s="62">
        <f t="shared" si="39"/>
        <v>0</v>
      </c>
      <c r="BR54" s="61">
        <f t="shared" si="40"/>
        <v>0</v>
      </c>
      <c r="BS54" s="43">
        <f t="shared" si="41"/>
        <v>0</v>
      </c>
      <c r="BT54" s="35">
        <f t="shared" si="42"/>
        <v>0</v>
      </c>
      <c r="BU54" s="36">
        <f t="shared" si="43"/>
        <v>0</v>
      </c>
      <c r="BV54" s="35">
        <f t="shared" si="44"/>
        <v>0</v>
      </c>
      <c r="BW54" s="62">
        <f t="shared" si="45"/>
        <v>0</v>
      </c>
      <c r="BX54" s="61">
        <f t="shared" si="46"/>
        <v>0</v>
      </c>
      <c r="BY54" s="43">
        <f t="shared" si="47"/>
        <v>0</v>
      </c>
      <c r="BZ54" s="35">
        <f t="shared" si="48"/>
        <v>0</v>
      </c>
      <c r="CA54" s="36">
        <f t="shared" si="49"/>
        <v>0</v>
      </c>
      <c r="CB54" s="35">
        <f t="shared" si="50"/>
        <v>0</v>
      </c>
      <c r="CC54" s="62">
        <f t="shared" si="51"/>
        <v>0</v>
      </c>
      <c r="CD54" s="61">
        <f t="shared" si="52"/>
        <v>0</v>
      </c>
      <c r="CE54" s="43">
        <f t="shared" si="53"/>
        <v>0</v>
      </c>
      <c r="CF54" s="35">
        <f t="shared" si="54"/>
        <v>0</v>
      </c>
      <c r="CG54" s="36">
        <f t="shared" si="55"/>
        <v>0</v>
      </c>
      <c r="CH54" s="35">
        <f t="shared" si="56"/>
        <v>0</v>
      </c>
      <c r="CI54" s="62">
        <f t="shared" si="74"/>
        <v>0</v>
      </c>
      <c r="CJ54" s="61">
        <f t="shared" si="57"/>
        <v>0</v>
      </c>
      <c r="CK54" s="43">
        <f t="shared" si="58"/>
        <v>0</v>
      </c>
      <c r="CL54" s="35">
        <f t="shared" si="59"/>
        <v>0</v>
      </c>
      <c r="CM54" s="36">
        <f t="shared" si="60"/>
        <v>0</v>
      </c>
      <c r="CN54" s="35">
        <f t="shared" si="61"/>
        <v>0</v>
      </c>
      <c r="CO54" s="62">
        <f t="shared" si="62"/>
        <v>0</v>
      </c>
      <c r="CP54" s="61">
        <f t="shared" si="63"/>
        <v>0</v>
      </c>
      <c r="CQ54" s="43">
        <f t="shared" si="64"/>
        <v>0</v>
      </c>
      <c r="CR54" s="35">
        <f t="shared" si="65"/>
        <v>0</v>
      </c>
      <c r="CS54" s="36">
        <f t="shared" si="66"/>
        <v>0</v>
      </c>
      <c r="CT54" s="35">
        <f t="shared" si="1"/>
        <v>0</v>
      </c>
      <c r="CU54" s="62">
        <f t="shared" si="67"/>
        <v>0</v>
      </c>
      <c r="CV54" s="61">
        <f t="shared" si="68"/>
        <v>0</v>
      </c>
      <c r="CW54" s="43">
        <f t="shared" si="69"/>
        <v>0</v>
      </c>
      <c r="CX54" s="35">
        <f t="shared" si="70"/>
        <v>0</v>
      </c>
      <c r="CY54" s="36">
        <f t="shared" si="71"/>
        <v>0</v>
      </c>
      <c r="CZ54" s="35">
        <f t="shared" si="72"/>
        <v>0</v>
      </c>
      <c r="DA54" s="62">
        <f t="shared" si="73"/>
        <v>0</v>
      </c>
    </row>
    <row r="55" spans="2:105" x14ac:dyDescent="0.3">
      <c r="B55" s="1">
        <v>0.76279799999999998</v>
      </c>
      <c r="C55" s="1">
        <v>0.89370499999999997</v>
      </c>
      <c r="D55">
        <f t="shared" si="10"/>
        <v>89.744942999814086</v>
      </c>
      <c r="F55" s="1">
        <v>0.75143800000000005</v>
      </c>
      <c r="G55" s="1">
        <v>0.91666999999999998</v>
      </c>
      <c r="H55">
        <f t="shared" si="11"/>
        <v>91.0400082525383</v>
      </c>
      <c r="J55" s="1">
        <v>0.74714000000000003</v>
      </c>
      <c r="K55" s="1">
        <v>0.91431799999999996</v>
      </c>
      <c r="L55">
        <f t="shared" si="12"/>
        <v>89.94600160362539</v>
      </c>
      <c r="N55" s="1">
        <v>0.74355300000000002</v>
      </c>
      <c r="O55" s="1">
        <v>0.90997899999999998</v>
      </c>
      <c r="P55">
        <f t="shared" si="13"/>
        <v>89.51915262880685</v>
      </c>
      <c r="R55" s="1">
        <v>0.748</v>
      </c>
      <c r="S55" s="1">
        <v>0.90623500000000001</v>
      </c>
      <c r="T55">
        <f t="shared" si="14"/>
        <v>87.226944822587342</v>
      </c>
      <c r="V55" s="1">
        <v>0.77181299999999997</v>
      </c>
      <c r="W55" s="1">
        <v>0.91130500000000003</v>
      </c>
      <c r="X55">
        <f t="shared" si="15"/>
        <v>85.834034496953251</v>
      </c>
      <c r="Z55" s="1">
        <v>0.799682</v>
      </c>
      <c r="AA55" s="1">
        <v>0.91847699999999999</v>
      </c>
      <c r="AB55">
        <f t="shared" si="16"/>
        <v>84.453063665013289</v>
      </c>
      <c r="AD55" s="1">
        <v>0.826268</v>
      </c>
      <c r="AE55" s="1">
        <v>0.92408699999999999</v>
      </c>
      <c r="AF55">
        <f t="shared" si="17"/>
        <v>83.08096582200001</v>
      </c>
      <c r="AH55" s="1">
        <v>0.85372300000000001</v>
      </c>
      <c r="AI55" s="1">
        <v>0.93037800000000004</v>
      </c>
      <c r="AJ55">
        <f t="shared" si="18"/>
        <v>81.77095755293405</v>
      </c>
      <c r="AL55" s="1">
        <v>0.89274200000000004</v>
      </c>
      <c r="AM55" s="1">
        <v>0.94850000000000001</v>
      </c>
      <c r="AN55">
        <f t="shared" si="19"/>
        <v>80.833992993991998</v>
      </c>
      <c r="AP55" s="15"/>
      <c r="AQ55" s="15"/>
      <c r="AT55" s="61">
        <f t="shared" si="76"/>
        <v>0</v>
      </c>
      <c r="AU55" s="43">
        <f t="shared" si="20"/>
        <v>0</v>
      </c>
      <c r="AV55" s="35">
        <f t="shared" si="21"/>
        <v>0</v>
      </c>
      <c r="AW55" s="36">
        <f t="shared" si="22"/>
        <v>0</v>
      </c>
      <c r="AX55" s="35">
        <f t="shared" si="77"/>
        <v>0</v>
      </c>
      <c r="AY55" s="62">
        <f t="shared" si="78"/>
        <v>0</v>
      </c>
      <c r="AZ55" s="61">
        <f t="shared" si="79"/>
        <v>0</v>
      </c>
      <c r="BA55" s="43">
        <f t="shared" si="23"/>
        <v>0</v>
      </c>
      <c r="BB55" s="35">
        <f t="shared" si="75"/>
        <v>0</v>
      </c>
      <c r="BC55" s="36">
        <f t="shared" si="25"/>
        <v>0</v>
      </c>
      <c r="BD55" s="35">
        <f t="shared" si="26"/>
        <v>0</v>
      </c>
      <c r="BE55" s="62">
        <f t="shared" si="27"/>
        <v>0</v>
      </c>
      <c r="BF55" s="61">
        <f t="shared" si="28"/>
        <v>0</v>
      </c>
      <c r="BG55" s="43">
        <f t="shared" si="29"/>
        <v>0</v>
      </c>
      <c r="BH55" s="35">
        <f t="shared" si="30"/>
        <v>0</v>
      </c>
      <c r="BI55" s="36">
        <f t="shared" si="31"/>
        <v>0</v>
      </c>
      <c r="BJ55" s="35">
        <f t="shared" si="32"/>
        <v>0</v>
      </c>
      <c r="BK55" s="62">
        <f t="shared" si="33"/>
        <v>0</v>
      </c>
      <c r="BL55" s="61">
        <f t="shared" si="34"/>
        <v>0</v>
      </c>
      <c r="BM55" s="43">
        <f t="shared" si="35"/>
        <v>0</v>
      </c>
      <c r="BN55" s="35">
        <f t="shared" si="36"/>
        <v>0</v>
      </c>
      <c r="BO55" s="36">
        <f t="shared" si="37"/>
        <v>0</v>
      </c>
      <c r="BP55" s="35">
        <f t="shared" si="38"/>
        <v>0</v>
      </c>
      <c r="BQ55" s="62">
        <f t="shared" si="39"/>
        <v>0</v>
      </c>
      <c r="BR55" s="61">
        <f t="shared" si="40"/>
        <v>0</v>
      </c>
      <c r="BS55" s="43">
        <f t="shared" si="41"/>
        <v>0</v>
      </c>
      <c r="BT55" s="35">
        <f t="shared" si="42"/>
        <v>0</v>
      </c>
      <c r="BU55" s="36">
        <f t="shared" si="43"/>
        <v>0</v>
      </c>
      <c r="BV55" s="35">
        <f t="shared" si="44"/>
        <v>0</v>
      </c>
      <c r="BW55" s="62">
        <f t="shared" si="45"/>
        <v>0</v>
      </c>
      <c r="BX55" s="61">
        <f t="shared" si="46"/>
        <v>0</v>
      </c>
      <c r="BY55" s="43">
        <f t="shared" si="47"/>
        <v>0</v>
      </c>
      <c r="BZ55" s="35">
        <f t="shared" si="48"/>
        <v>0</v>
      </c>
      <c r="CA55" s="36">
        <f t="shared" si="49"/>
        <v>0</v>
      </c>
      <c r="CB55" s="35">
        <f t="shared" si="50"/>
        <v>0</v>
      </c>
      <c r="CC55" s="62">
        <f t="shared" si="51"/>
        <v>0</v>
      </c>
      <c r="CD55" s="61">
        <f t="shared" si="52"/>
        <v>0</v>
      </c>
      <c r="CE55" s="43">
        <f t="shared" si="53"/>
        <v>0</v>
      </c>
      <c r="CF55" s="35">
        <f t="shared" si="54"/>
        <v>0</v>
      </c>
      <c r="CG55" s="36">
        <f t="shared" si="55"/>
        <v>0</v>
      </c>
      <c r="CH55" s="35">
        <f t="shared" si="56"/>
        <v>0</v>
      </c>
      <c r="CI55" s="62">
        <f t="shared" si="74"/>
        <v>0</v>
      </c>
      <c r="CJ55" s="61">
        <f t="shared" si="57"/>
        <v>0</v>
      </c>
      <c r="CK55" s="43">
        <f t="shared" si="58"/>
        <v>0</v>
      </c>
      <c r="CL55" s="35">
        <f t="shared" si="59"/>
        <v>0</v>
      </c>
      <c r="CM55" s="36">
        <f t="shared" si="60"/>
        <v>0</v>
      </c>
      <c r="CN55" s="35">
        <f t="shared" si="61"/>
        <v>0</v>
      </c>
      <c r="CO55" s="62">
        <f t="shared" si="62"/>
        <v>0</v>
      </c>
      <c r="CP55" s="61">
        <f t="shared" si="63"/>
        <v>0</v>
      </c>
      <c r="CQ55" s="43">
        <f t="shared" si="64"/>
        <v>0</v>
      </c>
      <c r="CR55" s="35">
        <f t="shared" si="65"/>
        <v>0</v>
      </c>
      <c r="CS55" s="36">
        <f t="shared" si="66"/>
        <v>0</v>
      </c>
      <c r="CT55" s="35">
        <f t="shared" si="1"/>
        <v>0</v>
      </c>
      <c r="CU55" s="62">
        <f t="shared" si="67"/>
        <v>0</v>
      </c>
      <c r="CV55" s="61">
        <f t="shared" si="68"/>
        <v>0</v>
      </c>
      <c r="CW55" s="43" t="str">
        <f t="shared" si="69"/>
        <v>min</v>
      </c>
      <c r="CX55" s="35">
        <f t="shared" si="70"/>
        <v>0.89274200000000004</v>
      </c>
      <c r="CY55" s="36">
        <f t="shared" si="71"/>
        <v>0.94850000000000001</v>
      </c>
      <c r="CZ55" s="35">
        <f t="shared" si="72"/>
        <v>0</v>
      </c>
      <c r="DA55" s="62">
        <f t="shared" si="73"/>
        <v>0</v>
      </c>
    </row>
    <row r="56" spans="2:105" x14ac:dyDescent="0.3">
      <c r="B56" s="1">
        <v>0.77691299999999996</v>
      </c>
      <c r="C56" s="1">
        <v>0.89995899999999995</v>
      </c>
      <c r="D56">
        <f t="shared" si="10"/>
        <v>90.372963290089771</v>
      </c>
      <c r="F56" s="1">
        <v>0.765343</v>
      </c>
      <c r="G56" s="1">
        <v>0.92423200000000005</v>
      </c>
      <c r="H56">
        <f t="shared" si="11"/>
        <v>91.791035931425697</v>
      </c>
      <c r="J56" s="1">
        <v>0.760965</v>
      </c>
      <c r="K56" s="1">
        <v>0.92195199999999999</v>
      </c>
      <c r="L56">
        <f t="shared" si="12"/>
        <v>90.696996089397388</v>
      </c>
      <c r="N56" s="1">
        <v>0.75731199999999999</v>
      </c>
      <c r="O56" s="1">
        <v>0.91636200000000001</v>
      </c>
      <c r="P56">
        <f t="shared" si="13"/>
        <v>90.147080032878463</v>
      </c>
      <c r="R56" s="1">
        <v>0.76184099999999999</v>
      </c>
      <c r="S56" s="1">
        <v>0.91255200000000003</v>
      </c>
      <c r="T56">
        <f t="shared" si="14"/>
        <v>87.834968801405523</v>
      </c>
      <c r="V56" s="1">
        <v>0.78609499999999999</v>
      </c>
      <c r="W56" s="1">
        <v>0.91767500000000002</v>
      </c>
      <c r="X56">
        <f t="shared" si="15"/>
        <v>86.434012330659399</v>
      </c>
      <c r="Z56" s="1">
        <v>0.81447899999999995</v>
      </c>
      <c r="AA56" s="1">
        <v>0.924871</v>
      </c>
      <c r="AB56">
        <f t="shared" si="16"/>
        <v>85.040985724111223</v>
      </c>
      <c r="AD56" s="1">
        <v>0.841557</v>
      </c>
      <c r="AE56" s="1">
        <v>0.93057199999999995</v>
      </c>
      <c r="AF56">
        <f t="shared" si="17"/>
        <v>83.664006232000006</v>
      </c>
      <c r="AH56" s="1">
        <v>0.86952099999999999</v>
      </c>
      <c r="AI56" s="1">
        <v>0.93843399999999999</v>
      </c>
      <c r="AJ56">
        <f t="shared" si="18"/>
        <v>82.478999697144715</v>
      </c>
      <c r="AL56" s="1">
        <v>0.90926099999999999</v>
      </c>
      <c r="AM56" s="1">
        <v>0.95662000000000003</v>
      </c>
      <c r="AN56">
        <f t="shared" si="19"/>
        <v>81.526003561320636</v>
      </c>
      <c r="AP56" s="15"/>
      <c r="AQ56" s="15"/>
      <c r="AT56" s="61">
        <f t="shared" si="76"/>
        <v>0</v>
      </c>
      <c r="AU56" s="43">
        <f t="shared" si="20"/>
        <v>0</v>
      </c>
      <c r="AV56" s="35">
        <f t="shared" si="21"/>
        <v>0</v>
      </c>
      <c r="AW56" s="36">
        <f t="shared" si="22"/>
        <v>0</v>
      </c>
      <c r="AX56" s="35">
        <f t="shared" si="77"/>
        <v>0</v>
      </c>
      <c r="AY56" s="62">
        <f t="shared" si="78"/>
        <v>0</v>
      </c>
      <c r="AZ56" s="61">
        <f t="shared" si="79"/>
        <v>0</v>
      </c>
      <c r="BA56" s="43">
        <f t="shared" si="23"/>
        <v>0</v>
      </c>
      <c r="BB56" s="35">
        <f t="shared" si="75"/>
        <v>0</v>
      </c>
      <c r="BC56" s="36">
        <f t="shared" si="25"/>
        <v>0</v>
      </c>
      <c r="BD56" s="35">
        <f t="shared" si="26"/>
        <v>0</v>
      </c>
      <c r="BE56" s="62">
        <f t="shared" si="27"/>
        <v>0</v>
      </c>
      <c r="BF56" s="61">
        <f t="shared" si="28"/>
        <v>0</v>
      </c>
      <c r="BG56" s="43">
        <f t="shared" si="29"/>
        <v>0</v>
      </c>
      <c r="BH56" s="35">
        <f t="shared" si="30"/>
        <v>0</v>
      </c>
      <c r="BI56" s="36">
        <f t="shared" si="31"/>
        <v>0</v>
      </c>
      <c r="BJ56" s="35">
        <f t="shared" si="32"/>
        <v>0</v>
      </c>
      <c r="BK56" s="62">
        <f t="shared" si="33"/>
        <v>0</v>
      </c>
      <c r="BL56" s="61">
        <f t="shared" si="34"/>
        <v>0</v>
      </c>
      <c r="BM56" s="43">
        <f t="shared" si="35"/>
        <v>0</v>
      </c>
      <c r="BN56" s="35">
        <f t="shared" si="36"/>
        <v>0</v>
      </c>
      <c r="BO56" s="36">
        <f t="shared" si="37"/>
        <v>0</v>
      </c>
      <c r="BP56" s="35">
        <f t="shared" si="38"/>
        <v>0</v>
      </c>
      <c r="BQ56" s="62">
        <f t="shared" si="39"/>
        <v>0</v>
      </c>
      <c r="BR56" s="61">
        <f t="shared" si="40"/>
        <v>0</v>
      </c>
      <c r="BS56" s="43">
        <f t="shared" si="41"/>
        <v>0</v>
      </c>
      <c r="BT56" s="35">
        <f t="shared" si="42"/>
        <v>0</v>
      </c>
      <c r="BU56" s="36">
        <f t="shared" si="43"/>
        <v>0</v>
      </c>
      <c r="BV56" s="35">
        <f t="shared" si="44"/>
        <v>0</v>
      </c>
      <c r="BW56" s="62">
        <f t="shared" si="45"/>
        <v>0</v>
      </c>
      <c r="BX56" s="61">
        <f t="shared" si="46"/>
        <v>0</v>
      </c>
      <c r="BY56" s="43">
        <f t="shared" si="47"/>
        <v>0</v>
      </c>
      <c r="BZ56" s="35">
        <f t="shared" si="48"/>
        <v>0</v>
      </c>
      <c r="CA56" s="36">
        <f t="shared" si="49"/>
        <v>0</v>
      </c>
      <c r="CB56" s="35">
        <f t="shared" si="50"/>
        <v>0</v>
      </c>
      <c r="CC56" s="62">
        <f t="shared" si="51"/>
        <v>0</v>
      </c>
      <c r="CD56" s="61">
        <f t="shared" si="52"/>
        <v>0</v>
      </c>
      <c r="CE56" s="43">
        <f t="shared" si="53"/>
        <v>0</v>
      </c>
      <c r="CF56" s="35">
        <f t="shared" si="54"/>
        <v>0</v>
      </c>
      <c r="CG56" s="36">
        <f t="shared" si="55"/>
        <v>0</v>
      </c>
      <c r="CH56" s="35">
        <f t="shared" si="56"/>
        <v>0</v>
      </c>
      <c r="CI56" s="62">
        <f t="shared" si="74"/>
        <v>0</v>
      </c>
      <c r="CJ56" s="61">
        <f t="shared" si="57"/>
        <v>0</v>
      </c>
      <c r="CK56" s="43">
        <f t="shared" si="58"/>
        <v>0</v>
      </c>
      <c r="CL56" s="35">
        <f t="shared" si="59"/>
        <v>0</v>
      </c>
      <c r="CM56" s="36">
        <f t="shared" si="60"/>
        <v>0</v>
      </c>
      <c r="CN56" s="35">
        <f t="shared" si="61"/>
        <v>0</v>
      </c>
      <c r="CO56" s="62">
        <f t="shared" si="62"/>
        <v>0</v>
      </c>
      <c r="CP56" s="61">
        <f t="shared" si="63"/>
        <v>0</v>
      </c>
      <c r="CQ56" s="43">
        <f t="shared" si="64"/>
        <v>0</v>
      </c>
      <c r="CR56" s="35">
        <f t="shared" si="65"/>
        <v>0</v>
      </c>
      <c r="CS56" s="36">
        <f t="shared" si="66"/>
        <v>0</v>
      </c>
      <c r="CT56" s="35">
        <f t="shared" si="1"/>
        <v>0</v>
      </c>
      <c r="CU56" s="62">
        <f t="shared" si="67"/>
        <v>0</v>
      </c>
      <c r="CV56" s="61">
        <f t="shared" si="68"/>
        <v>1</v>
      </c>
      <c r="CW56" s="43" t="str">
        <f t="shared" si="69"/>
        <v>min</v>
      </c>
      <c r="CX56" s="35">
        <f t="shared" si="70"/>
        <v>0</v>
      </c>
      <c r="CY56" s="36">
        <f t="shared" si="71"/>
        <v>0</v>
      </c>
      <c r="CZ56" s="35">
        <f t="shared" si="72"/>
        <v>0.90926099999999999</v>
      </c>
      <c r="DA56" s="62">
        <f t="shared" si="73"/>
        <v>0.95662000000000003</v>
      </c>
    </row>
    <row r="57" spans="2:105" x14ac:dyDescent="0.3">
      <c r="B57" s="1">
        <v>0.79102700000000004</v>
      </c>
      <c r="C57" s="1">
        <v>0.932473</v>
      </c>
      <c r="D57">
        <f t="shared" si="10"/>
        <v>93.637985950470949</v>
      </c>
      <c r="F57" s="1">
        <v>0.77924800000000005</v>
      </c>
      <c r="G57" s="1">
        <v>0.93141099999999999</v>
      </c>
      <c r="H57">
        <f t="shared" si="11"/>
        <v>92.504025577912401</v>
      </c>
      <c r="J57" s="1">
        <v>0.77478999999999998</v>
      </c>
      <c r="K57" s="1">
        <v>0.92862</v>
      </c>
      <c r="L57">
        <f t="shared" si="12"/>
        <v>91.352960358604562</v>
      </c>
      <c r="N57" s="1">
        <v>0.77107099999999995</v>
      </c>
      <c r="O57" s="1">
        <v>0.92267399999999999</v>
      </c>
      <c r="P57">
        <f t="shared" si="13"/>
        <v>90.768022814407516</v>
      </c>
      <c r="R57" s="1">
        <v>0.77568199999999998</v>
      </c>
      <c r="S57" s="1">
        <v>0.91890000000000005</v>
      </c>
      <c r="T57">
        <f t="shared" si="14"/>
        <v>88.445976592688993</v>
      </c>
      <c r="V57" s="1">
        <v>0.80037700000000001</v>
      </c>
      <c r="W57" s="1">
        <v>0.92400300000000002</v>
      </c>
      <c r="X57">
        <f t="shared" si="15"/>
        <v>87.030034266560904</v>
      </c>
      <c r="Z57" s="1">
        <v>0.82927600000000001</v>
      </c>
      <c r="AA57" s="1">
        <v>0.93123400000000001</v>
      </c>
      <c r="AB57">
        <f t="shared" si="16"/>
        <v>85.626057363466899</v>
      </c>
      <c r="AD57" s="1">
        <v>0.856846</v>
      </c>
      <c r="AE57" s="1">
        <v>0.93693400000000004</v>
      </c>
      <c r="AF57">
        <f t="shared" si="17"/>
        <v>84.235988204000009</v>
      </c>
      <c r="AH57" s="1">
        <v>0.88531800000000005</v>
      </c>
      <c r="AI57" s="1">
        <v>0.94661399999999996</v>
      </c>
      <c r="AJ57">
        <f t="shared" si="18"/>
        <v>83.19794020603787</v>
      </c>
      <c r="AL57" s="1">
        <v>0.92578099999999997</v>
      </c>
      <c r="AM57" s="1">
        <v>0.96486899999999998</v>
      </c>
      <c r="AN57">
        <f t="shared" si="19"/>
        <v>82.229007892588356</v>
      </c>
      <c r="AP57" s="15"/>
      <c r="AQ57" s="15"/>
      <c r="AT57" s="61">
        <f t="shared" si="76"/>
        <v>0</v>
      </c>
      <c r="AU57" s="43">
        <f t="shared" si="20"/>
        <v>0</v>
      </c>
      <c r="AV57" s="35">
        <f t="shared" si="21"/>
        <v>0</v>
      </c>
      <c r="AW57" s="36">
        <f t="shared" si="22"/>
        <v>0</v>
      </c>
      <c r="AX57" s="35">
        <f t="shared" si="77"/>
        <v>0</v>
      </c>
      <c r="AY57" s="62">
        <f t="shared" si="78"/>
        <v>0</v>
      </c>
      <c r="AZ57" s="61">
        <f t="shared" si="79"/>
        <v>0</v>
      </c>
      <c r="BA57" s="43">
        <f t="shared" si="23"/>
        <v>0</v>
      </c>
      <c r="BB57" s="35">
        <f t="shared" si="75"/>
        <v>0</v>
      </c>
      <c r="BC57" s="36">
        <f t="shared" si="25"/>
        <v>0</v>
      </c>
      <c r="BD57" s="35">
        <f t="shared" si="26"/>
        <v>0</v>
      </c>
      <c r="BE57" s="62">
        <f t="shared" si="27"/>
        <v>0</v>
      </c>
      <c r="BF57" s="61">
        <f t="shared" si="28"/>
        <v>0</v>
      </c>
      <c r="BG57" s="43">
        <f t="shared" si="29"/>
        <v>0</v>
      </c>
      <c r="BH57" s="35">
        <f t="shared" si="30"/>
        <v>0</v>
      </c>
      <c r="BI57" s="36">
        <f t="shared" si="31"/>
        <v>0</v>
      </c>
      <c r="BJ57" s="35">
        <f t="shared" si="32"/>
        <v>0</v>
      </c>
      <c r="BK57" s="62">
        <f t="shared" si="33"/>
        <v>0</v>
      </c>
      <c r="BL57" s="61">
        <f t="shared" si="34"/>
        <v>0</v>
      </c>
      <c r="BM57" s="43">
        <f t="shared" si="35"/>
        <v>0</v>
      </c>
      <c r="BN57" s="35">
        <f t="shared" si="36"/>
        <v>0</v>
      </c>
      <c r="BO57" s="36">
        <f t="shared" si="37"/>
        <v>0</v>
      </c>
      <c r="BP57" s="35">
        <f t="shared" si="38"/>
        <v>0</v>
      </c>
      <c r="BQ57" s="62">
        <f t="shared" si="39"/>
        <v>0</v>
      </c>
      <c r="BR57" s="61">
        <f t="shared" si="40"/>
        <v>0</v>
      </c>
      <c r="BS57" s="43">
        <f t="shared" si="41"/>
        <v>0</v>
      </c>
      <c r="BT57" s="35">
        <f t="shared" si="42"/>
        <v>0</v>
      </c>
      <c r="BU57" s="36">
        <f t="shared" si="43"/>
        <v>0</v>
      </c>
      <c r="BV57" s="35">
        <f t="shared" si="44"/>
        <v>0</v>
      </c>
      <c r="BW57" s="62">
        <f t="shared" si="45"/>
        <v>0</v>
      </c>
      <c r="BX57" s="61">
        <f t="shared" si="46"/>
        <v>0</v>
      </c>
      <c r="BY57" s="43">
        <f t="shared" si="47"/>
        <v>0</v>
      </c>
      <c r="BZ57" s="35">
        <f t="shared" si="48"/>
        <v>0</v>
      </c>
      <c r="CA57" s="36">
        <f t="shared" si="49"/>
        <v>0</v>
      </c>
      <c r="CB57" s="35">
        <f t="shared" si="50"/>
        <v>0</v>
      </c>
      <c r="CC57" s="62">
        <f t="shared" si="51"/>
        <v>0</v>
      </c>
      <c r="CD57" s="61">
        <f t="shared" si="52"/>
        <v>0</v>
      </c>
      <c r="CE57" s="43">
        <f t="shared" si="53"/>
        <v>0</v>
      </c>
      <c r="CF57" s="35">
        <f t="shared" si="54"/>
        <v>0</v>
      </c>
      <c r="CG57" s="36">
        <f t="shared" si="55"/>
        <v>0</v>
      </c>
      <c r="CH57" s="35">
        <f t="shared" si="56"/>
        <v>0</v>
      </c>
      <c r="CI57" s="62">
        <f t="shared" si="74"/>
        <v>0</v>
      </c>
      <c r="CJ57" s="61">
        <f t="shared" si="57"/>
        <v>0</v>
      </c>
      <c r="CK57" s="43">
        <f t="shared" si="58"/>
        <v>0</v>
      </c>
      <c r="CL57" s="35">
        <f t="shared" si="59"/>
        <v>0</v>
      </c>
      <c r="CM57" s="36">
        <f t="shared" si="60"/>
        <v>0</v>
      </c>
      <c r="CN57" s="35">
        <f t="shared" si="61"/>
        <v>0</v>
      </c>
      <c r="CO57" s="62">
        <f t="shared" si="62"/>
        <v>0</v>
      </c>
      <c r="CP57" s="61">
        <f t="shared" si="63"/>
        <v>0</v>
      </c>
      <c r="CQ57" s="43" t="str">
        <f t="shared" si="64"/>
        <v>min</v>
      </c>
      <c r="CR57" s="35">
        <f t="shared" si="65"/>
        <v>0.88531800000000005</v>
      </c>
      <c r="CS57" s="36">
        <f t="shared" si="66"/>
        <v>0.94661399999999996</v>
      </c>
      <c r="CT57" s="35">
        <f t="shared" si="1"/>
        <v>0</v>
      </c>
      <c r="CU57" s="62">
        <f t="shared" si="67"/>
        <v>0</v>
      </c>
      <c r="CV57" s="61">
        <f t="shared" si="68"/>
        <v>1</v>
      </c>
      <c r="CW57" s="43" t="str">
        <f t="shared" si="69"/>
        <v>min</v>
      </c>
      <c r="CX57" s="35">
        <f t="shared" si="70"/>
        <v>0</v>
      </c>
      <c r="CY57" s="36">
        <f t="shared" si="71"/>
        <v>0</v>
      </c>
      <c r="CZ57" s="35">
        <f t="shared" si="72"/>
        <v>0</v>
      </c>
      <c r="DA57" s="62">
        <f t="shared" si="73"/>
        <v>0</v>
      </c>
    </row>
    <row r="58" spans="2:105" x14ac:dyDescent="0.3">
      <c r="B58" s="1">
        <v>0.80511299999999997</v>
      </c>
      <c r="C58" s="1">
        <v>0.93949400000000005</v>
      </c>
      <c r="D58">
        <f t="shared" si="10"/>
        <v>94.343027597101212</v>
      </c>
      <c r="F58" s="1">
        <v>0.79312400000000005</v>
      </c>
      <c r="G58" s="1">
        <v>0.93848900000000002</v>
      </c>
      <c r="H58">
        <f t="shared" si="11"/>
        <v>93.206984307238613</v>
      </c>
      <c r="J58" s="1">
        <v>0.78858700000000004</v>
      </c>
      <c r="K58" s="1">
        <v>0.93452599999999997</v>
      </c>
      <c r="L58">
        <f t="shared" si="12"/>
        <v>91.933962904186089</v>
      </c>
      <c r="N58" s="1">
        <v>0.78480099999999997</v>
      </c>
      <c r="O58" s="1">
        <v>0.92843100000000001</v>
      </c>
      <c r="P58">
        <f t="shared" si="13"/>
        <v>91.334367490146235</v>
      </c>
      <c r="R58" s="1">
        <v>0.78949400000000003</v>
      </c>
      <c r="S58" s="1">
        <v>0.92501900000000004</v>
      </c>
      <c r="T58">
        <f t="shared" si="14"/>
        <v>89.034942672535195</v>
      </c>
      <c r="V58" s="1">
        <v>0.81462900000000005</v>
      </c>
      <c r="W58" s="1">
        <v>0.93023500000000003</v>
      </c>
      <c r="X58">
        <f t="shared" si="15"/>
        <v>87.617014150337482</v>
      </c>
      <c r="Z58" s="1">
        <v>0.84404400000000002</v>
      </c>
      <c r="AA58" s="1">
        <v>0.93745400000000001</v>
      </c>
      <c r="AB58">
        <f t="shared" si="16"/>
        <v>86.197980292398583</v>
      </c>
      <c r="AD58" s="1">
        <v>0.87210399999999999</v>
      </c>
      <c r="AE58" s="1">
        <v>0.94372999999999996</v>
      </c>
      <c r="AF58">
        <f t="shared" si="17"/>
        <v>84.846989379999997</v>
      </c>
      <c r="AH58" s="1">
        <v>0.90108299999999997</v>
      </c>
      <c r="AI58" s="1">
        <v>0.95440800000000003</v>
      </c>
      <c r="AJ58">
        <f t="shared" si="18"/>
        <v>83.882955160354911</v>
      </c>
      <c r="AL58" s="1">
        <v>0.94226600000000005</v>
      </c>
      <c r="AM58" s="1">
        <v>0.97290600000000005</v>
      </c>
      <c r="AN58">
        <f t="shared" si="19"/>
        <v>82.913944952886439</v>
      </c>
      <c r="AP58" s="15"/>
      <c r="AQ58" s="15"/>
      <c r="AT58" s="61">
        <f t="shared" si="76"/>
        <v>0</v>
      </c>
      <c r="AU58" s="43">
        <f t="shared" si="20"/>
        <v>0</v>
      </c>
      <c r="AV58" s="35">
        <f t="shared" si="21"/>
        <v>0</v>
      </c>
      <c r="AW58" s="36">
        <f t="shared" si="22"/>
        <v>0</v>
      </c>
      <c r="AX58" s="35">
        <f t="shared" si="77"/>
        <v>0</v>
      </c>
      <c r="AY58" s="62">
        <f t="shared" si="78"/>
        <v>0</v>
      </c>
      <c r="AZ58" s="61">
        <f t="shared" si="79"/>
        <v>0</v>
      </c>
      <c r="BA58" s="43">
        <f t="shared" si="23"/>
        <v>0</v>
      </c>
      <c r="BB58" s="35">
        <f t="shared" si="75"/>
        <v>0</v>
      </c>
      <c r="BC58" s="36">
        <f t="shared" si="25"/>
        <v>0</v>
      </c>
      <c r="BD58" s="35">
        <f t="shared" si="26"/>
        <v>0</v>
      </c>
      <c r="BE58" s="62">
        <f t="shared" si="27"/>
        <v>0</v>
      </c>
      <c r="BF58" s="61">
        <f t="shared" si="28"/>
        <v>0</v>
      </c>
      <c r="BG58" s="43">
        <f t="shared" si="29"/>
        <v>0</v>
      </c>
      <c r="BH58" s="35">
        <f t="shared" si="30"/>
        <v>0</v>
      </c>
      <c r="BI58" s="36">
        <f t="shared" si="31"/>
        <v>0</v>
      </c>
      <c r="BJ58" s="35">
        <f t="shared" si="32"/>
        <v>0</v>
      </c>
      <c r="BK58" s="62">
        <f t="shared" si="33"/>
        <v>0</v>
      </c>
      <c r="BL58" s="61">
        <f t="shared" si="34"/>
        <v>0</v>
      </c>
      <c r="BM58" s="43">
        <f t="shared" si="35"/>
        <v>0</v>
      </c>
      <c r="BN58" s="35">
        <f t="shared" si="36"/>
        <v>0</v>
      </c>
      <c r="BO58" s="36">
        <f t="shared" si="37"/>
        <v>0</v>
      </c>
      <c r="BP58" s="35">
        <f t="shared" si="38"/>
        <v>0</v>
      </c>
      <c r="BQ58" s="62">
        <f t="shared" si="39"/>
        <v>0</v>
      </c>
      <c r="BR58" s="61">
        <f t="shared" si="40"/>
        <v>0</v>
      </c>
      <c r="BS58" s="43">
        <f t="shared" si="41"/>
        <v>0</v>
      </c>
      <c r="BT58" s="35">
        <f t="shared" si="42"/>
        <v>0</v>
      </c>
      <c r="BU58" s="36">
        <f t="shared" si="43"/>
        <v>0</v>
      </c>
      <c r="BV58" s="35">
        <f t="shared" si="44"/>
        <v>0</v>
      </c>
      <c r="BW58" s="62">
        <f t="shared" si="45"/>
        <v>0</v>
      </c>
      <c r="BX58" s="61">
        <f t="shared" si="46"/>
        <v>0</v>
      </c>
      <c r="BY58" s="43">
        <f t="shared" si="47"/>
        <v>0</v>
      </c>
      <c r="BZ58" s="35">
        <f t="shared" si="48"/>
        <v>0</v>
      </c>
      <c r="CA58" s="36">
        <f t="shared" si="49"/>
        <v>0</v>
      </c>
      <c r="CB58" s="35">
        <f t="shared" si="50"/>
        <v>0</v>
      </c>
      <c r="CC58" s="62">
        <f t="shared" si="51"/>
        <v>0</v>
      </c>
      <c r="CD58" s="61">
        <f t="shared" si="52"/>
        <v>0</v>
      </c>
      <c r="CE58" s="43">
        <f t="shared" si="53"/>
        <v>0</v>
      </c>
      <c r="CF58" s="35">
        <f t="shared" si="54"/>
        <v>0</v>
      </c>
      <c r="CG58" s="36">
        <f t="shared" si="55"/>
        <v>0</v>
      </c>
      <c r="CH58" s="35">
        <f t="shared" si="56"/>
        <v>0</v>
      </c>
      <c r="CI58" s="62">
        <f t="shared" si="74"/>
        <v>0</v>
      </c>
      <c r="CJ58" s="61">
        <f t="shared" si="57"/>
        <v>0</v>
      </c>
      <c r="CK58" s="43">
        <f t="shared" si="58"/>
        <v>0</v>
      </c>
      <c r="CL58" s="35">
        <f t="shared" si="59"/>
        <v>0</v>
      </c>
      <c r="CM58" s="36">
        <f t="shared" si="60"/>
        <v>0</v>
      </c>
      <c r="CN58" s="35">
        <f t="shared" si="61"/>
        <v>0</v>
      </c>
      <c r="CO58" s="62">
        <f t="shared" si="62"/>
        <v>0</v>
      </c>
      <c r="CP58" s="61">
        <f t="shared" si="63"/>
        <v>1</v>
      </c>
      <c r="CQ58" s="43" t="str">
        <f t="shared" si="64"/>
        <v>min</v>
      </c>
      <c r="CR58" s="35">
        <f t="shared" si="65"/>
        <v>0</v>
      </c>
      <c r="CS58" s="36">
        <f t="shared" si="66"/>
        <v>0</v>
      </c>
      <c r="CT58" s="35">
        <f>IF(CR57=0,0,AH58)</f>
        <v>0.90108299999999997</v>
      </c>
      <c r="CU58" s="62">
        <f t="shared" si="67"/>
        <v>0.95440800000000003</v>
      </c>
      <c r="CV58" s="61">
        <f t="shared" si="68"/>
        <v>1</v>
      </c>
      <c r="CW58" s="43" t="str">
        <f t="shared" si="69"/>
        <v>min</v>
      </c>
      <c r="CX58" s="35">
        <f t="shared" si="70"/>
        <v>0</v>
      </c>
      <c r="CY58" s="36">
        <f t="shared" si="71"/>
        <v>0</v>
      </c>
      <c r="CZ58" s="35">
        <f t="shared" si="72"/>
        <v>0</v>
      </c>
      <c r="DA58" s="62">
        <f t="shared" si="73"/>
        <v>0</v>
      </c>
    </row>
    <row r="59" spans="2:105" x14ac:dyDescent="0.3">
      <c r="B59" s="1">
        <v>0.81922799999999996</v>
      </c>
      <c r="C59" s="1">
        <v>0.94632499999999997</v>
      </c>
      <c r="D59">
        <f t="shared" si="10"/>
        <v>95.028989637854849</v>
      </c>
      <c r="F59" s="1">
        <v>0.80702799999999997</v>
      </c>
      <c r="G59" s="1">
        <v>0.94546699999999995</v>
      </c>
      <c r="H59">
        <f t="shared" si="11"/>
        <v>93.900011435415834</v>
      </c>
      <c r="J59" s="1">
        <v>0.80241200000000001</v>
      </c>
      <c r="K59" s="1">
        <v>0.94025899999999996</v>
      </c>
      <c r="L59">
        <f t="shared" si="12"/>
        <v>92.497946580755496</v>
      </c>
      <c r="N59" s="1">
        <v>0.79856000000000005</v>
      </c>
      <c r="O59" s="1">
        <v>0.93405400000000005</v>
      </c>
      <c r="P59">
        <f t="shared" si="13"/>
        <v>91.887529920522965</v>
      </c>
      <c r="R59" s="1">
        <v>0.80333500000000002</v>
      </c>
      <c r="S59" s="1">
        <v>0.93070200000000003</v>
      </c>
      <c r="T59">
        <f t="shared" si="14"/>
        <v>89.581942873837022</v>
      </c>
      <c r="V59" s="1">
        <v>0.82891099999999995</v>
      </c>
      <c r="W59" s="1">
        <v>0.93620199999999998</v>
      </c>
      <c r="X59">
        <f t="shared" si="15"/>
        <v>88.179034202727536</v>
      </c>
      <c r="Z59" s="1">
        <v>0.85884099999999997</v>
      </c>
      <c r="AA59" s="1">
        <v>0.943577</v>
      </c>
      <c r="AB59">
        <f t="shared" si="16"/>
        <v>86.760984166007688</v>
      </c>
      <c r="AD59" s="1">
        <v>0.88739299999999999</v>
      </c>
      <c r="AE59" s="1">
        <v>0.95135999999999998</v>
      </c>
      <c r="AF59">
        <f t="shared" si="17"/>
        <v>85.53297216</v>
      </c>
      <c r="AH59" s="1">
        <v>0.91688000000000003</v>
      </c>
      <c r="AI59" s="1">
        <v>0.96214500000000003</v>
      </c>
      <c r="AJ59">
        <f t="shared" si="18"/>
        <v>84.562960382519492</v>
      </c>
      <c r="AL59" s="1">
        <v>0.95878600000000003</v>
      </c>
      <c r="AM59" s="1">
        <v>0.98086200000000001</v>
      </c>
      <c r="AN59">
        <f t="shared" si="19"/>
        <v>83.591978952106459</v>
      </c>
      <c r="AP59" s="15"/>
      <c r="AQ59" s="15"/>
      <c r="AT59" s="61">
        <f t="shared" si="76"/>
        <v>0</v>
      </c>
      <c r="AU59" s="43">
        <f t="shared" si="20"/>
        <v>0</v>
      </c>
      <c r="AV59" s="35">
        <f t="shared" si="21"/>
        <v>0</v>
      </c>
      <c r="AW59" s="36">
        <f t="shared" si="22"/>
        <v>0</v>
      </c>
      <c r="AX59" s="35">
        <f t="shared" si="77"/>
        <v>0</v>
      </c>
      <c r="AY59" s="62">
        <f t="shared" si="78"/>
        <v>0</v>
      </c>
      <c r="AZ59" s="61">
        <f t="shared" si="79"/>
        <v>0</v>
      </c>
      <c r="BA59" s="43">
        <f t="shared" si="23"/>
        <v>0</v>
      </c>
      <c r="BB59" s="35">
        <f t="shared" si="75"/>
        <v>0</v>
      </c>
      <c r="BC59" s="36">
        <f t="shared" si="25"/>
        <v>0</v>
      </c>
      <c r="BD59" s="35">
        <f t="shared" si="26"/>
        <v>0</v>
      </c>
      <c r="BE59" s="62">
        <f t="shared" si="27"/>
        <v>0</v>
      </c>
      <c r="BF59" s="61">
        <f t="shared" si="28"/>
        <v>0</v>
      </c>
      <c r="BG59" s="43">
        <f t="shared" si="29"/>
        <v>0</v>
      </c>
      <c r="BH59" s="35">
        <f t="shared" si="30"/>
        <v>0</v>
      </c>
      <c r="BI59" s="36">
        <f t="shared" si="31"/>
        <v>0</v>
      </c>
      <c r="BJ59" s="35">
        <f t="shared" si="32"/>
        <v>0</v>
      </c>
      <c r="BK59" s="62">
        <f t="shared" si="33"/>
        <v>0</v>
      </c>
      <c r="BL59" s="61">
        <f t="shared" si="34"/>
        <v>0</v>
      </c>
      <c r="BM59" s="43">
        <f t="shared" si="35"/>
        <v>0</v>
      </c>
      <c r="BN59" s="35">
        <f t="shared" si="36"/>
        <v>0</v>
      </c>
      <c r="BO59" s="36">
        <f t="shared" si="37"/>
        <v>0</v>
      </c>
      <c r="BP59" s="35">
        <f t="shared" si="38"/>
        <v>0</v>
      </c>
      <c r="BQ59" s="62">
        <f t="shared" si="39"/>
        <v>0</v>
      </c>
      <c r="BR59" s="61">
        <f t="shared" si="40"/>
        <v>0</v>
      </c>
      <c r="BS59" s="43">
        <f t="shared" si="41"/>
        <v>0</v>
      </c>
      <c r="BT59" s="35">
        <f t="shared" si="42"/>
        <v>0</v>
      </c>
      <c r="BU59" s="36">
        <f t="shared" si="43"/>
        <v>0</v>
      </c>
      <c r="BV59" s="35">
        <f t="shared" si="44"/>
        <v>0</v>
      </c>
      <c r="BW59" s="62">
        <f t="shared" si="45"/>
        <v>0</v>
      </c>
      <c r="BX59" s="61">
        <f t="shared" si="46"/>
        <v>0</v>
      </c>
      <c r="BY59" s="43">
        <f t="shared" si="47"/>
        <v>0</v>
      </c>
      <c r="BZ59" s="35">
        <f t="shared" si="48"/>
        <v>0</v>
      </c>
      <c r="CA59" s="36">
        <f t="shared" si="49"/>
        <v>0</v>
      </c>
      <c r="CB59" s="35">
        <f t="shared" si="50"/>
        <v>0</v>
      </c>
      <c r="CC59" s="62">
        <f t="shared" si="51"/>
        <v>0</v>
      </c>
      <c r="CD59" s="61">
        <f t="shared" si="52"/>
        <v>0</v>
      </c>
      <c r="CE59" s="43">
        <f t="shared" si="53"/>
        <v>0</v>
      </c>
      <c r="CF59" s="35">
        <f t="shared" si="54"/>
        <v>0</v>
      </c>
      <c r="CG59" s="36">
        <f t="shared" si="55"/>
        <v>0</v>
      </c>
      <c r="CH59" s="35">
        <f t="shared" si="56"/>
        <v>0</v>
      </c>
      <c r="CI59" s="62">
        <f t="shared" si="74"/>
        <v>0</v>
      </c>
      <c r="CJ59" s="61">
        <f t="shared" si="57"/>
        <v>0</v>
      </c>
      <c r="CK59" s="43" t="str">
        <f t="shared" si="58"/>
        <v>min</v>
      </c>
      <c r="CL59" s="35">
        <f t="shared" si="59"/>
        <v>0.88739299999999999</v>
      </c>
      <c r="CM59" s="36">
        <f t="shared" si="60"/>
        <v>0.95135999999999998</v>
      </c>
      <c r="CN59" s="35">
        <f t="shared" si="61"/>
        <v>0</v>
      </c>
      <c r="CO59" s="62">
        <f t="shared" si="62"/>
        <v>0</v>
      </c>
      <c r="CP59" s="61">
        <f t="shared" si="63"/>
        <v>1</v>
      </c>
      <c r="CQ59" s="43" t="str">
        <f t="shared" si="64"/>
        <v>min</v>
      </c>
      <c r="CR59" s="35">
        <f t="shared" si="65"/>
        <v>0</v>
      </c>
      <c r="CS59" s="36">
        <f t="shared" si="66"/>
        <v>0</v>
      </c>
      <c r="CT59" s="35">
        <f t="shared" ref="CT59:CT74" si="80">IF(CR58=0,0,AH59)</f>
        <v>0</v>
      </c>
      <c r="CU59" s="62">
        <f t="shared" si="67"/>
        <v>0</v>
      </c>
      <c r="CV59" s="61">
        <f t="shared" si="68"/>
        <v>1</v>
      </c>
      <c r="CW59" s="43" t="str">
        <f t="shared" si="69"/>
        <v>min</v>
      </c>
      <c r="CX59" s="35">
        <f t="shared" si="70"/>
        <v>0</v>
      </c>
      <c r="CY59" s="36">
        <f t="shared" si="71"/>
        <v>0</v>
      </c>
      <c r="CZ59" s="35">
        <f t="shared" si="72"/>
        <v>0</v>
      </c>
      <c r="DA59" s="62">
        <f t="shared" si="73"/>
        <v>0</v>
      </c>
    </row>
    <row r="60" spans="2:105" x14ac:dyDescent="0.3">
      <c r="B60" s="1">
        <v>0.833314</v>
      </c>
      <c r="C60" s="1">
        <v>0.95192100000000002</v>
      </c>
      <c r="D60">
        <f t="shared" si="10"/>
        <v>95.590934240410462</v>
      </c>
      <c r="F60" s="1">
        <v>0.820905</v>
      </c>
      <c r="G60" s="1">
        <v>0.95093399999999995</v>
      </c>
      <c r="H60">
        <f t="shared" si="11"/>
        <v>94.442972070231662</v>
      </c>
      <c r="J60" s="1">
        <v>0.81620899999999996</v>
      </c>
      <c r="K60" s="1">
        <v>0.94594199999999995</v>
      </c>
      <c r="L60">
        <f t="shared" si="12"/>
        <v>93.057011509055499</v>
      </c>
      <c r="N60" s="1">
        <v>0.81229099999999999</v>
      </c>
      <c r="O60" s="1">
        <v>0.93965799999999999</v>
      </c>
      <c r="P60">
        <f t="shared" si="13"/>
        <v>92.438823226557304</v>
      </c>
      <c r="R60" s="1">
        <v>0.81714799999999999</v>
      </c>
      <c r="S60" s="1">
        <v>0.93632300000000002</v>
      </c>
      <c r="T60">
        <f t="shared" si="14"/>
        <v>90.12297545020823</v>
      </c>
      <c r="V60" s="1">
        <v>0.843163</v>
      </c>
      <c r="W60" s="1">
        <v>0.94177599999999995</v>
      </c>
      <c r="X60">
        <f t="shared" si="15"/>
        <v>88.704038354231173</v>
      </c>
      <c r="Z60" s="1">
        <v>0.87360800000000005</v>
      </c>
      <c r="AA60" s="1">
        <v>0.94945000000000002</v>
      </c>
      <c r="AB60">
        <f t="shared" si="16"/>
        <v>87.301000783630812</v>
      </c>
      <c r="AD60" s="1">
        <v>0.90265200000000001</v>
      </c>
      <c r="AE60" s="1">
        <v>0.95900200000000002</v>
      </c>
      <c r="AF60">
        <f t="shared" si="17"/>
        <v>86.220033812000011</v>
      </c>
      <c r="AH60" s="1">
        <v>0.93264499999999995</v>
      </c>
      <c r="AI60" s="1">
        <v>0.96979099999999996</v>
      </c>
      <c r="AJ60">
        <f t="shared" si="18"/>
        <v>85.23496761124774</v>
      </c>
      <c r="AL60" s="1">
        <v>0.975271</v>
      </c>
      <c r="AM60" s="1">
        <v>0.98868800000000001</v>
      </c>
      <c r="AN60">
        <f t="shared" si="19"/>
        <v>84.258933964411128</v>
      </c>
      <c r="AP60" s="15"/>
      <c r="AQ60" s="15"/>
      <c r="AT60" s="61">
        <f t="shared" si="76"/>
        <v>0</v>
      </c>
      <c r="AU60" s="43">
        <f t="shared" si="20"/>
        <v>0</v>
      </c>
      <c r="AV60" s="35">
        <f t="shared" si="21"/>
        <v>0</v>
      </c>
      <c r="AW60" s="36">
        <f t="shared" si="22"/>
        <v>0</v>
      </c>
      <c r="AX60" s="35">
        <f t="shared" si="77"/>
        <v>0</v>
      </c>
      <c r="AY60" s="62">
        <f t="shared" si="78"/>
        <v>0</v>
      </c>
      <c r="AZ60" s="61">
        <f t="shared" si="79"/>
        <v>0</v>
      </c>
      <c r="BA60" s="43">
        <f t="shared" si="23"/>
        <v>0</v>
      </c>
      <c r="BB60" s="35">
        <f t="shared" si="75"/>
        <v>0</v>
      </c>
      <c r="BC60" s="36">
        <f t="shared" si="25"/>
        <v>0</v>
      </c>
      <c r="BD60" s="35">
        <f t="shared" si="26"/>
        <v>0</v>
      </c>
      <c r="BE60" s="62">
        <f t="shared" si="27"/>
        <v>0</v>
      </c>
      <c r="BF60" s="61">
        <f t="shared" si="28"/>
        <v>0</v>
      </c>
      <c r="BG60" s="43">
        <f t="shared" si="29"/>
        <v>0</v>
      </c>
      <c r="BH60" s="35">
        <f t="shared" si="30"/>
        <v>0</v>
      </c>
      <c r="BI60" s="36">
        <f t="shared" si="31"/>
        <v>0</v>
      </c>
      <c r="BJ60" s="35">
        <f t="shared" si="32"/>
        <v>0</v>
      </c>
      <c r="BK60" s="62">
        <f t="shared" si="33"/>
        <v>0</v>
      </c>
      <c r="BL60" s="61">
        <f t="shared" si="34"/>
        <v>0</v>
      </c>
      <c r="BM60" s="43">
        <f t="shared" si="35"/>
        <v>0</v>
      </c>
      <c r="BN60" s="35">
        <f t="shared" si="36"/>
        <v>0</v>
      </c>
      <c r="BO60" s="36">
        <f t="shared" si="37"/>
        <v>0</v>
      </c>
      <c r="BP60" s="35">
        <f t="shared" si="38"/>
        <v>0</v>
      </c>
      <c r="BQ60" s="62">
        <f t="shared" si="39"/>
        <v>0</v>
      </c>
      <c r="BR60" s="61">
        <f t="shared" si="40"/>
        <v>0</v>
      </c>
      <c r="BS60" s="43">
        <f t="shared" si="41"/>
        <v>0</v>
      </c>
      <c r="BT60" s="35">
        <f t="shared" si="42"/>
        <v>0</v>
      </c>
      <c r="BU60" s="36">
        <f t="shared" si="43"/>
        <v>0</v>
      </c>
      <c r="BV60" s="35">
        <f t="shared" si="44"/>
        <v>0</v>
      </c>
      <c r="BW60" s="62">
        <f t="shared" si="45"/>
        <v>0</v>
      </c>
      <c r="BX60" s="61">
        <f t="shared" si="46"/>
        <v>0</v>
      </c>
      <c r="BY60" s="43">
        <f t="shared" si="47"/>
        <v>0</v>
      </c>
      <c r="BZ60" s="35">
        <f t="shared" si="48"/>
        <v>0</v>
      </c>
      <c r="CA60" s="36">
        <f t="shared" si="49"/>
        <v>0</v>
      </c>
      <c r="CB60" s="35">
        <f t="shared" si="50"/>
        <v>0</v>
      </c>
      <c r="CC60" s="62">
        <f t="shared" si="51"/>
        <v>0</v>
      </c>
      <c r="CD60" s="61">
        <f t="shared" si="52"/>
        <v>0</v>
      </c>
      <c r="CE60" s="43">
        <f t="shared" si="53"/>
        <v>0</v>
      </c>
      <c r="CF60" s="35">
        <f t="shared" si="54"/>
        <v>0</v>
      </c>
      <c r="CG60" s="36">
        <f t="shared" si="55"/>
        <v>0</v>
      </c>
      <c r="CH60" s="35">
        <f t="shared" si="56"/>
        <v>0</v>
      </c>
      <c r="CI60" s="62">
        <f t="shared" si="74"/>
        <v>0</v>
      </c>
      <c r="CJ60" s="61">
        <f t="shared" si="57"/>
        <v>1</v>
      </c>
      <c r="CK60" s="43" t="str">
        <f t="shared" si="58"/>
        <v>min</v>
      </c>
      <c r="CL60" s="35">
        <f t="shared" si="59"/>
        <v>0</v>
      </c>
      <c r="CM60" s="36">
        <f t="shared" si="60"/>
        <v>0</v>
      </c>
      <c r="CN60" s="35">
        <f t="shared" si="61"/>
        <v>0.90265200000000001</v>
      </c>
      <c r="CO60" s="62">
        <f t="shared" si="62"/>
        <v>0.95900200000000002</v>
      </c>
      <c r="CP60" s="61">
        <f t="shared" si="63"/>
        <v>1</v>
      </c>
      <c r="CQ60" s="43" t="str">
        <f t="shared" si="64"/>
        <v>min</v>
      </c>
      <c r="CR60" s="35">
        <f t="shared" si="65"/>
        <v>0</v>
      </c>
      <c r="CS60" s="36">
        <f t="shared" si="66"/>
        <v>0</v>
      </c>
      <c r="CT60" s="35">
        <f t="shared" si="80"/>
        <v>0</v>
      </c>
      <c r="CU60" s="62">
        <f t="shared" si="67"/>
        <v>0</v>
      </c>
      <c r="CV60" s="61">
        <f t="shared" si="68"/>
        <v>1</v>
      </c>
      <c r="CW60" s="43" t="str">
        <f t="shared" si="69"/>
        <v>min</v>
      </c>
      <c r="CX60" s="35">
        <f t="shared" si="70"/>
        <v>0</v>
      </c>
      <c r="CY60" s="36">
        <f t="shared" si="71"/>
        <v>0</v>
      </c>
      <c r="CZ60" s="35">
        <f t="shared" si="72"/>
        <v>0</v>
      </c>
      <c r="DA60" s="62">
        <f t="shared" si="73"/>
        <v>0</v>
      </c>
    </row>
    <row r="61" spans="2:105" x14ac:dyDescent="0.3">
      <c r="B61" s="1">
        <v>0.84742899999999999</v>
      </c>
      <c r="C61" s="1">
        <v>0.95746799999999999</v>
      </c>
      <c r="D61">
        <f t="shared" si="10"/>
        <v>96.147958313029463</v>
      </c>
      <c r="F61" s="1">
        <v>0.83480900000000002</v>
      </c>
      <c r="G61" s="1">
        <v>0.95522399999999996</v>
      </c>
      <c r="H61">
        <f t="shared" si="11"/>
        <v>94.869037759523763</v>
      </c>
      <c r="J61" s="1">
        <v>0.83003400000000005</v>
      </c>
      <c r="K61" s="1">
        <v>0.95021100000000003</v>
      </c>
      <c r="L61">
        <f t="shared" si="12"/>
        <v>93.476974236296883</v>
      </c>
      <c r="N61" s="1">
        <v>0.82604900000000003</v>
      </c>
      <c r="O61" s="1">
        <v>0.94520999999999999</v>
      </c>
      <c r="P61">
        <f t="shared" si="13"/>
        <v>92.985001034391487</v>
      </c>
      <c r="R61" s="1">
        <v>0.83098899999999998</v>
      </c>
      <c r="S61" s="1">
        <v>0.94190200000000002</v>
      </c>
      <c r="T61">
        <f t="shared" si="14"/>
        <v>90.659965441949012</v>
      </c>
      <c r="V61" s="1">
        <v>0.85744500000000001</v>
      </c>
      <c r="W61" s="1">
        <v>0.94736100000000001</v>
      </c>
      <c r="X61">
        <f t="shared" si="15"/>
        <v>89.230078574207454</v>
      </c>
      <c r="Z61" s="1">
        <v>0.888405</v>
      </c>
      <c r="AA61" s="1">
        <v>0.95546399999999998</v>
      </c>
      <c r="AB61">
        <f t="shared" si="16"/>
        <v>87.853982213630019</v>
      </c>
      <c r="AD61" s="1">
        <v>0.91794100000000001</v>
      </c>
      <c r="AE61" s="1">
        <v>0.96609800000000001</v>
      </c>
      <c r="AF61">
        <f t="shared" si="17"/>
        <v>86.858006788000012</v>
      </c>
      <c r="AH61" s="1">
        <v>0.94844300000000004</v>
      </c>
      <c r="AI61" s="1">
        <v>0.97717600000000004</v>
      </c>
      <c r="AJ61">
        <f t="shared" si="18"/>
        <v>85.884035540120124</v>
      </c>
      <c r="AL61" s="1">
        <v>0.99179099999999998</v>
      </c>
      <c r="AM61" s="1">
        <v>0.99633899999999997</v>
      </c>
      <c r="AN61">
        <f t="shared" si="19"/>
        <v>84.910974955868198</v>
      </c>
      <c r="AP61" s="15"/>
      <c r="AQ61" s="15"/>
      <c r="AT61" s="61">
        <f t="shared" si="76"/>
        <v>0</v>
      </c>
      <c r="AU61" s="43">
        <f t="shared" si="20"/>
        <v>0</v>
      </c>
      <c r="AV61" s="35">
        <f t="shared" si="21"/>
        <v>0</v>
      </c>
      <c r="AW61" s="36">
        <f t="shared" si="22"/>
        <v>0</v>
      </c>
      <c r="AX61" s="35">
        <f t="shared" si="77"/>
        <v>0</v>
      </c>
      <c r="AY61" s="62">
        <f t="shared" si="78"/>
        <v>0</v>
      </c>
      <c r="AZ61" s="61">
        <f t="shared" si="79"/>
        <v>0</v>
      </c>
      <c r="BA61" s="43">
        <f t="shared" si="23"/>
        <v>0</v>
      </c>
      <c r="BB61" s="35">
        <f t="shared" si="75"/>
        <v>0</v>
      </c>
      <c r="BC61" s="36">
        <f t="shared" si="25"/>
        <v>0</v>
      </c>
      <c r="BD61" s="35">
        <f t="shared" si="26"/>
        <v>0</v>
      </c>
      <c r="BE61" s="62">
        <f t="shared" si="27"/>
        <v>0</v>
      </c>
      <c r="BF61" s="61">
        <f t="shared" si="28"/>
        <v>0</v>
      </c>
      <c r="BG61" s="43">
        <f t="shared" si="29"/>
        <v>0</v>
      </c>
      <c r="BH61" s="35">
        <f t="shared" si="30"/>
        <v>0</v>
      </c>
      <c r="BI61" s="36">
        <f t="shared" si="31"/>
        <v>0</v>
      </c>
      <c r="BJ61" s="35">
        <f t="shared" si="32"/>
        <v>0</v>
      </c>
      <c r="BK61" s="62">
        <f t="shared" si="33"/>
        <v>0</v>
      </c>
      <c r="BL61" s="61">
        <f t="shared" si="34"/>
        <v>0</v>
      </c>
      <c r="BM61" s="43">
        <f t="shared" si="35"/>
        <v>0</v>
      </c>
      <c r="BN61" s="35">
        <f t="shared" si="36"/>
        <v>0</v>
      </c>
      <c r="BO61" s="36">
        <f t="shared" si="37"/>
        <v>0</v>
      </c>
      <c r="BP61" s="35">
        <f t="shared" si="38"/>
        <v>0</v>
      </c>
      <c r="BQ61" s="62">
        <f t="shared" si="39"/>
        <v>0</v>
      </c>
      <c r="BR61" s="61">
        <f t="shared" si="40"/>
        <v>0</v>
      </c>
      <c r="BS61" s="43">
        <f t="shared" si="41"/>
        <v>0</v>
      </c>
      <c r="BT61" s="35">
        <f t="shared" si="42"/>
        <v>0</v>
      </c>
      <c r="BU61" s="36">
        <f t="shared" si="43"/>
        <v>0</v>
      </c>
      <c r="BV61" s="35">
        <f t="shared" si="44"/>
        <v>0</v>
      </c>
      <c r="BW61" s="62">
        <f t="shared" si="45"/>
        <v>0</v>
      </c>
      <c r="BX61" s="61">
        <f t="shared" si="46"/>
        <v>0</v>
      </c>
      <c r="BY61" s="43">
        <f t="shared" si="47"/>
        <v>0</v>
      </c>
      <c r="BZ61" s="35">
        <f t="shared" si="48"/>
        <v>0</v>
      </c>
      <c r="CA61" s="36">
        <f t="shared" si="49"/>
        <v>0</v>
      </c>
      <c r="CB61" s="35">
        <f t="shared" si="50"/>
        <v>0</v>
      </c>
      <c r="CC61" s="62">
        <f t="shared" si="51"/>
        <v>0</v>
      </c>
      <c r="CD61" s="61">
        <f t="shared" si="52"/>
        <v>0</v>
      </c>
      <c r="CE61" s="43" t="str">
        <f t="shared" si="53"/>
        <v>min</v>
      </c>
      <c r="CF61" s="35">
        <f t="shared" si="54"/>
        <v>0.888405</v>
      </c>
      <c r="CG61" s="36">
        <f t="shared" si="55"/>
        <v>0.95546399999999998</v>
      </c>
      <c r="CH61" s="35">
        <f t="shared" si="56"/>
        <v>0</v>
      </c>
      <c r="CI61" s="62">
        <f t="shared" si="74"/>
        <v>0</v>
      </c>
      <c r="CJ61" s="61">
        <f t="shared" si="57"/>
        <v>1</v>
      </c>
      <c r="CK61" s="43" t="str">
        <f t="shared" si="58"/>
        <v>min</v>
      </c>
      <c r="CL61" s="35">
        <f t="shared" si="59"/>
        <v>0</v>
      </c>
      <c r="CM61" s="36">
        <f t="shared" si="60"/>
        <v>0</v>
      </c>
      <c r="CN61" s="35">
        <f t="shared" si="61"/>
        <v>0</v>
      </c>
      <c r="CO61" s="62">
        <f t="shared" si="62"/>
        <v>0</v>
      </c>
      <c r="CP61" s="61">
        <f t="shared" si="63"/>
        <v>1</v>
      </c>
      <c r="CQ61" s="43" t="str">
        <f t="shared" si="64"/>
        <v>min</v>
      </c>
      <c r="CR61" s="35">
        <f t="shared" si="65"/>
        <v>0</v>
      </c>
      <c r="CS61" s="36">
        <f t="shared" si="66"/>
        <v>0</v>
      </c>
      <c r="CT61" s="35">
        <f t="shared" si="80"/>
        <v>0</v>
      </c>
      <c r="CU61" s="62">
        <f t="shared" si="67"/>
        <v>0</v>
      </c>
      <c r="CV61" s="61">
        <f t="shared" si="68"/>
        <v>1</v>
      </c>
      <c r="CW61" s="43" t="str">
        <f t="shared" si="69"/>
        <v>min</v>
      </c>
      <c r="CX61" s="35">
        <f t="shared" si="70"/>
        <v>0</v>
      </c>
      <c r="CY61" s="36">
        <f t="shared" si="71"/>
        <v>0</v>
      </c>
      <c r="CZ61" s="35">
        <f t="shared" si="72"/>
        <v>0</v>
      </c>
      <c r="DA61" s="62">
        <f t="shared" si="73"/>
        <v>0</v>
      </c>
    </row>
    <row r="62" spans="2:105" x14ac:dyDescent="0.3">
      <c r="B62" s="1">
        <v>0.86151500000000003</v>
      </c>
      <c r="C62" s="1">
        <v>0.96290500000000001</v>
      </c>
      <c r="D62">
        <f t="shared" si="10"/>
        <v>96.693936298035695</v>
      </c>
      <c r="F62" s="1">
        <v>0.84868600000000005</v>
      </c>
      <c r="G62" s="1">
        <v>0.95946299999999995</v>
      </c>
      <c r="H62">
        <f t="shared" si="11"/>
        <v>95.290038332229869</v>
      </c>
      <c r="J62" s="1">
        <v>0.843831</v>
      </c>
      <c r="K62" s="1">
        <v>0.95435800000000004</v>
      </c>
      <c r="L62">
        <f t="shared" si="12"/>
        <v>93.884935217760912</v>
      </c>
      <c r="N62" s="1">
        <v>0.83977999999999997</v>
      </c>
      <c r="O62" s="1">
        <v>0.94936600000000004</v>
      </c>
      <c r="P62">
        <f t="shared" si="13"/>
        <v>93.393847390544025</v>
      </c>
      <c r="R62" s="1">
        <v>0.84480200000000005</v>
      </c>
      <c r="S62" s="1">
        <v>0.94733599999999996</v>
      </c>
      <c r="T62">
        <f t="shared" si="14"/>
        <v>91.18299889151335</v>
      </c>
      <c r="V62" s="1">
        <v>0.87169799999999997</v>
      </c>
      <c r="W62" s="1">
        <v>0.95286000000000004</v>
      </c>
      <c r="X62">
        <f t="shared" si="15"/>
        <v>89.748018622488487</v>
      </c>
      <c r="Z62" s="1">
        <v>0.903173</v>
      </c>
      <c r="AA62" s="1">
        <v>0.96247899999999997</v>
      </c>
      <c r="AB62">
        <f t="shared" si="16"/>
        <v>88.499004616597176</v>
      </c>
      <c r="AD62" s="1">
        <v>0.933199</v>
      </c>
      <c r="AE62" s="1">
        <v>0.97318300000000002</v>
      </c>
      <c r="AF62">
        <f t="shared" si="17"/>
        <v>87.494990798000003</v>
      </c>
      <c r="AH62" s="1">
        <v>0.96420799999999995</v>
      </c>
      <c r="AI62" s="1">
        <v>0.98425300000000004</v>
      </c>
      <c r="AJ62">
        <f t="shared" si="18"/>
        <v>86.506033337361799</v>
      </c>
      <c r="AL62" s="1">
        <v>1</v>
      </c>
      <c r="AM62" s="1">
        <v>1</v>
      </c>
      <c r="AN62">
        <f t="shared" si="19"/>
        <v>85.222976271999997</v>
      </c>
      <c r="AP62" s="15"/>
      <c r="AQ62" s="15"/>
      <c r="AT62" s="61">
        <f t="shared" si="76"/>
        <v>0</v>
      </c>
      <c r="AU62" s="43">
        <f t="shared" si="20"/>
        <v>0</v>
      </c>
      <c r="AV62" s="35">
        <f t="shared" si="21"/>
        <v>0</v>
      </c>
      <c r="AW62" s="36">
        <f t="shared" si="22"/>
        <v>0</v>
      </c>
      <c r="AX62" s="35">
        <f t="shared" si="77"/>
        <v>0</v>
      </c>
      <c r="AY62" s="62">
        <f t="shared" si="78"/>
        <v>0</v>
      </c>
      <c r="AZ62" s="61">
        <f t="shared" si="79"/>
        <v>0</v>
      </c>
      <c r="BA62" s="43">
        <f t="shared" si="23"/>
        <v>0</v>
      </c>
      <c r="BB62" s="35">
        <f t="shared" si="75"/>
        <v>0</v>
      </c>
      <c r="BC62" s="36">
        <f t="shared" si="25"/>
        <v>0</v>
      </c>
      <c r="BD62" s="35">
        <f t="shared" si="26"/>
        <v>0</v>
      </c>
      <c r="BE62" s="62">
        <f t="shared" si="27"/>
        <v>0</v>
      </c>
      <c r="BF62" s="61">
        <f t="shared" si="28"/>
        <v>0</v>
      </c>
      <c r="BG62" s="43">
        <f t="shared" si="29"/>
        <v>0</v>
      </c>
      <c r="BH62" s="35">
        <f t="shared" si="30"/>
        <v>0</v>
      </c>
      <c r="BI62" s="36">
        <f t="shared" si="31"/>
        <v>0</v>
      </c>
      <c r="BJ62" s="35">
        <f t="shared" si="32"/>
        <v>0</v>
      </c>
      <c r="BK62" s="62">
        <f t="shared" si="33"/>
        <v>0</v>
      </c>
      <c r="BL62" s="61">
        <f t="shared" si="34"/>
        <v>0</v>
      </c>
      <c r="BM62" s="43">
        <f t="shared" si="35"/>
        <v>0</v>
      </c>
      <c r="BN62" s="35">
        <f t="shared" si="36"/>
        <v>0</v>
      </c>
      <c r="BO62" s="36">
        <f t="shared" si="37"/>
        <v>0</v>
      </c>
      <c r="BP62" s="35">
        <f t="shared" si="38"/>
        <v>0</v>
      </c>
      <c r="BQ62" s="62">
        <f t="shared" si="39"/>
        <v>0</v>
      </c>
      <c r="BR62" s="61">
        <f t="shared" si="40"/>
        <v>0</v>
      </c>
      <c r="BS62" s="43">
        <f t="shared" si="41"/>
        <v>0</v>
      </c>
      <c r="BT62" s="35">
        <f t="shared" si="42"/>
        <v>0</v>
      </c>
      <c r="BU62" s="36">
        <f t="shared" si="43"/>
        <v>0</v>
      </c>
      <c r="BV62" s="35">
        <f t="shared" si="44"/>
        <v>0</v>
      </c>
      <c r="BW62" s="62">
        <f t="shared" si="45"/>
        <v>0</v>
      </c>
      <c r="BX62" s="61">
        <f t="shared" si="46"/>
        <v>0</v>
      </c>
      <c r="BY62" s="43">
        <f t="shared" si="47"/>
        <v>0</v>
      </c>
      <c r="BZ62" s="35">
        <f t="shared" si="48"/>
        <v>0</v>
      </c>
      <c r="CA62" s="36">
        <f t="shared" si="49"/>
        <v>0</v>
      </c>
      <c r="CB62" s="35">
        <f t="shared" si="50"/>
        <v>0</v>
      </c>
      <c r="CC62" s="62">
        <f t="shared" si="51"/>
        <v>0</v>
      </c>
      <c r="CD62" s="61">
        <f t="shared" si="52"/>
        <v>1</v>
      </c>
      <c r="CE62" s="43" t="str">
        <f t="shared" si="53"/>
        <v>min</v>
      </c>
      <c r="CF62" s="35">
        <f t="shared" si="54"/>
        <v>0</v>
      </c>
      <c r="CG62" s="36">
        <f t="shared" si="55"/>
        <v>0</v>
      </c>
      <c r="CH62" s="35">
        <f t="shared" si="56"/>
        <v>0.903173</v>
      </c>
      <c r="CI62" s="62">
        <f t="shared" si="74"/>
        <v>0.96247899999999997</v>
      </c>
      <c r="CJ62" s="61">
        <f t="shared" si="57"/>
        <v>1</v>
      </c>
      <c r="CK62" s="43" t="str">
        <f t="shared" si="58"/>
        <v>min</v>
      </c>
      <c r="CL62" s="35">
        <f t="shared" si="59"/>
        <v>0</v>
      </c>
      <c r="CM62" s="36">
        <f t="shared" si="60"/>
        <v>0</v>
      </c>
      <c r="CN62" s="35">
        <f t="shared" si="61"/>
        <v>0</v>
      </c>
      <c r="CO62" s="62">
        <f t="shared" si="62"/>
        <v>0</v>
      </c>
      <c r="CP62" s="61">
        <f t="shared" si="63"/>
        <v>1</v>
      </c>
      <c r="CQ62" s="43" t="str">
        <f t="shared" si="64"/>
        <v>min</v>
      </c>
      <c r="CR62" s="35">
        <f t="shared" si="65"/>
        <v>0</v>
      </c>
      <c r="CS62" s="36">
        <f t="shared" si="66"/>
        <v>0</v>
      </c>
      <c r="CT62" s="35">
        <f t="shared" si="80"/>
        <v>0</v>
      </c>
      <c r="CU62" s="62">
        <f t="shared" si="67"/>
        <v>0</v>
      </c>
      <c r="CV62" s="61">
        <f t="shared" si="68"/>
        <v>1</v>
      </c>
      <c r="CW62" s="43" t="str">
        <f t="shared" si="69"/>
        <v>min</v>
      </c>
      <c r="CX62" s="35">
        <f t="shared" si="70"/>
        <v>0</v>
      </c>
      <c r="CY62" s="36">
        <f t="shared" si="71"/>
        <v>0</v>
      </c>
      <c r="CZ62" s="35">
        <f t="shared" si="72"/>
        <v>0</v>
      </c>
      <c r="DA62" s="62">
        <f t="shared" si="73"/>
        <v>0</v>
      </c>
    </row>
    <row r="63" spans="2:105" x14ac:dyDescent="0.3">
      <c r="B63" s="1">
        <v>0.87560099999999996</v>
      </c>
      <c r="C63" s="1">
        <v>0.96714800000000001</v>
      </c>
      <c r="D63">
        <f t="shared" si="10"/>
        <v>97.120014022954109</v>
      </c>
      <c r="F63" s="1">
        <v>0.86256200000000005</v>
      </c>
      <c r="G63" s="1">
        <v>0.96357099999999996</v>
      </c>
      <c r="H63">
        <f t="shared" si="11"/>
        <v>95.698028507430791</v>
      </c>
      <c r="J63" s="1">
        <v>0.85762799999999995</v>
      </c>
      <c r="K63" s="1">
        <v>0.95843500000000004</v>
      </c>
      <c r="L63">
        <f t="shared" si="12"/>
        <v>94.286009951647785</v>
      </c>
      <c r="N63" s="1">
        <v>0.85351100000000002</v>
      </c>
      <c r="O63" s="1">
        <v>0.95348100000000002</v>
      </c>
      <c r="P63">
        <f t="shared" si="13"/>
        <v>93.798660373115638</v>
      </c>
      <c r="R63" s="1">
        <v>0.85861500000000002</v>
      </c>
      <c r="S63" s="1">
        <v>0.95133599999999996</v>
      </c>
      <c r="T63">
        <f t="shared" si="14"/>
        <v>91.568006951553343</v>
      </c>
      <c r="V63" s="1">
        <v>0.88595000000000002</v>
      </c>
      <c r="W63" s="1">
        <v>0.958148</v>
      </c>
      <c r="X63">
        <f t="shared" si="15"/>
        <v>90.246084993703263</v>
      </c>
      <c r="Z63" s="1">
        <v>0.91793999999999998</v>
      </c>
      <c r="AA63" s="1">
        <v>0.96943999999999997</v>
      </c>
      <c r="AB63">
        <f t="shared" si="16"/>
        <v>89.139061772271361</v>
      </c>
      <c r="AD63" s="1">
        <v>0.94845699999999999</v>
      </c>
      <c r="AE63" s="1">
        <v>0.98019000000000001</v>
      </c>
      <c r="AF63">
        <f t="shared" si="17"/>
        <v>88.124962140000008</v>
      </c>
      <c r="AH63" s="1">
        <v>0.97997299999999998</v>
      </c>
      <c r="AI63" s="1">
        <v>0.99135300000000004</v>
      </c>
      <c r="AJ63">
        <f t="shared" si="18"/>
        <v>87.130052605471988</v>
      </c>
      <c r="AL63" s="1">
        <v>1.0000340000000001</v>
      </c>
      <c r="AM63" s="1">
        <v>1.0000119999999999</v>
      </c>
      <c r="AN63">
        <f t="shared" si="19"/>
        <v>85.223998947715259</v>
      </c>
      <c r="AP63" s="15"/>
      <c r="AQ63" s="15"/>
      <c r="AT63" s="61">
        <f t="shared" si="76"/>
        <v>0</v>
      </c>
      <c r="AU63" s="43">
        <f t="shared" si="20"/>
        <v>0</v>
      </c>
      <c r="AV63" s="35">
        <f t="shared" si="21"/>
        <v>0</v>
      </c>
      <c r="AW63" s="36">
        <f t="shared" si="22"/>
        <v>0</v>
      </c>
      <c r="AX63" s="35">
        <f t="shared" si="77"/>
        <v>0</v>
      </c>
      <c r="AY63" s="62">
        <f t="shared" si="78"/>
        <v>0</v>
      </c>
      <c r="AZ63" s="61">
        <f t="shared" si="79"/>
        <v>0</v>
      </c>
      <c r="BA63" s="43">
        <f t="shared" si="23"/>
        <v>0</v>
      </c>
      <c r="BB63" s="35">
        <f t="shared" si="75"/>
        <v>0</v>
      </c>
      <c r="BC63" s="36">
        <f t="shared" si="25"/>
        <v>0</v>
      </c>
      <c r="BD63" s="35">
        <f t="shared" si="26"/>
        <v>0</v>
      </c>
      <c r="BE63" s="62">
        <f t="shared" si="27"/>
        <v>0</v>
      </c>
      <c r="BF63" s="61">
        <f t="shared" si="28"/>
        <v>0</v>
      </c>
      <c r="BG63" s="43">
        <f t="shared" si="29"/>
        <v>0</v>
      </c>
      <c r="BH63" s="35">
        <f t="shared" si="30"/>
        <v>0</v>
      </c>
      <c r="BI63" s="36">
        <f t="shared" si="31"/>
        <v>0</v>
      </c>
      <c r="BJ63" s="35">
        <f t="shared" si="32"/>
        <v>0</v>
      </c>
      <c r="BK63" s="62">
        <f t="shared" si="33"/>
        <v>0</v>
      </c>
      <c r="BL63" s="61">
        <f t="shared" si="34"/>
        <v>0</v>
      </c>
      <c r="BM63" s="43">
        <f t="shared" si="35"/>
        <v>0</v>
      </c>
      <c r="BN63" s="35">
        <f t="shared" si="36"/>
        <v>0</v>
      </c>
      <c r="BO63" s="36">
        <f t="shared" si="37"/>
        <v>0</v>
      </c>
      <c r="BP63" s="35">
        <f t="shared" si="38"/>
        <v>0</v>
      </c>
      <c r="BQ63" s="62">
        <f t="shared" si="39"/>
        <v>0</v>
      </c>
      <c r="BR63" s="61">
        <f t="shared" si="40"/>
        <v>0</v>
      </c>
      <c r="BS63" s="43">
        <f t="shared" si="41"/>
        <v>0</v>
      </c>
      <c r="BT63" s="35">
        <f t="shared" si="42"/>
        <v>0</v>
      </c>
      <c r="BU63" s="36">
        <f t="shared" si="43"/>
        <v>0</v>
      </c>
      <c r="BV63" s="35">
        <f t="shared" si="44"/>
        <v>0</v>
      </c>
      <c r="BW63" s="62">
        <f t="shared" si="45"/>
        <v>0</v>
      </c>
      <c r="BX63" s="61">
        <f t="shared" si="46"/>
        <v>0</v>
      </c>
      <c r="BY63" s="43" t="str">
        <f t="shared" si="47"/>
        <v>min</v>
      </c>
      <c r="BZ63" s="35">
        <f t="shared" si="48"/>
        <v>0.88595000000000002</v>
      </c>
      <c r="CA63" s="36">
        <f t="shared" si="49"/>
        <v>0.958148</v>
      </c>
      <c r="CB63" s="35">
        <f t="shared" si="50"/>
        <v>0</v>
      </c>
      <c r="CC63" s="62">
        <f t="shared" si="51"/>
        <v>0</v>
      </c>
      <c r="CD63" s="61">
        <f t="shared" si="52"/>
        <v>1</v>
      </c>
      <c r="CE63" s="43" t="str">
        <f t="shared" si="53"/>
        <v>min</v>
      </c>
      <c r="CF63" s="35">
        <f t="shared" si="54"/>
        <v>0</v>
      </c>
      <c r="CG63" s="36">
        <f t="shared" si="55"/>
        <v>0</v>
      </c>
      <c r="CH63" s="35">
        <f t="shared" si="56"/>
        <v>0</v>
      </c>
      <c r="CI63" s="62">
        <f t="shared" si="74"/>
        <v>0</v>
      </c>
      <c r="CJ63" s="61">
        <f t="shared" si="57"/>
        <v>1</v>
      </c>
      <c r="CK63" s="43" t="str">
        <f t="shared" si="58"/>
        <v>min</v>
      </c>
      <c r="CL63" s="35">
        <f t="shared" si="59"/>
        <v>0</v>
      </c>
      <c r="CM63" s="36">
        <f t="shared" si="60"/>
        <v>0</v>
      </c>
      <c r="CN63" s="35">
        <f t="shared" si="61"/>
        <v>0</v>
      </c>
      <c r="CO63" s="62">
        <f t="shared" si="62"/>
        <v>0</v>
      </c>
      <c r="CP63" s="61">
        <f t="shared" si="63"/>
        <v>1</v>
      </c>
      <c r="CQ63" s="43" t="str">
        <f t="shared" si="64"/>
        <v>min</v>
      </c>
      <c r="CR63" s="35">
        <f t="shared" si="65"/>
        <v>0</v>
      </c>
      <c r="CS63" s="36">
        <f t="shared" si="66"/>
        <v>0</v>
      </c>
      <c r="CT63" s="35">
        <f t="shared" si="80"/>
        <v>0</v>
      </c>
      <c r="CU63" s="62">
        <f t="shared" si="67"/>
        <v>0</v>
      </c>
      <c r="CV63" s="61">
        <f t="shared" si="68"/>
        <v>1</v>
      </c>
      <c r="CW63" s="43" t="str">
        <f t="shared" si="69"/>
        <v>min</v>
      </c>
      <c r="CX63" s="35">
        <f t="shared" si="70"/>
        <v>0</v>
      </c>
      <c r="CY63" s="36">
        <f t="shared" si="71"/>
        <v>0</v>
      </c>
      <c r="CZ63" s="35">
        <f t="shared" si="72"/>
        <v>0</v>
      </c>
      <c r="DA63" s="62">
        <f t="shared" si="73"/>
        <v>0</v>
      </c>
    </row>
    <row r="64" spans="2:105" x14ac:dyDescent="0.3">
      <c r="B64" s="1">
        <v>0.88968700000000001</v>
      </c>
      <c r="C64" s="1">
        <v>0.97123099999999996</v>
      </c>
      <c r="D64">
        <f t="shared" si="10"/>
        <v>97.530024711344836</v>
      </c>
      <c r="F64" s="1">
        <v>0.87643800000000005</v>
      </c>
      <c r="G64" s="1">
        <v>0.96754799999999996</v>
      </c>
      <c r="H64">
        <f t="shared" si="11"/>
        <v>96.09300828512653</v>
      </c>
      <c r="J64" s="1">
        <v>0.87142500000000001</v>
      </c>
      <c r="K64" s="1">
        <v>0.96240899999999996</v>
      </c>
      <c r="L64">
        <f t="shared" si="12"/>
        <v>94.676952064099694</v>
      </c>
      <c r="N64" s="1">
        <v>0.86724199999999996</v>
      </c>
      <c r="O64" s="1">
        <v>0.95753500000000003</v>
      </c>
      <c r="P64">
        <f t="shared" si="13"/>
        <v>94.197472482798588</v>
      </c>
      <c r="R64" s="1">
        <v>0.87242799999999998</v>
      </c>
      <c r="S64" s="1">
        <v>0.95534600000000003</v>
      </c>
      <c r="T64">
        <f t="shared" si="14"/>
        <v>91.953977531743462</v>
      </c>
      <c r="V64" s="1">
        <v>0.90020299999999998</v>
      </c>
      <c r="W64" s="1">
        <v>0.96281899999999998</v>
      </c>
      <c r="X64">
        <f t="shared" si="15"/>
        <v>90.686037342406792</v>
      </c>
      <c r="Z64" s="1">
        <v>0.93270699999999995</v>
      </c>
      <c r="AA64" s="1">
        <v>0.97544299999999995</v>
      </c>
      <c r="AB64">
        <f t="shared" si="16"/>
        <v>89.691031763007189</v>
      </c>
      <c r="AD64" s="1">
        <v>0.96371499999999999</v>
      </c>
      <c r="AE64" s="1">
        <v>0.98676399999999997</v>
      </c>
      <c r="AF64">
        <f t="shared" si="17"/>
        <v>88.716004183999999</v>
      </c>
      <c r="AH64" s="1">
        <v>0.99573800000000001</v>
      </c>
      <c r="AI64" s="1">
        <v>0.99848700000000001</v>
      </c>
      <c r="AJ64">
        <f t="shared" si="18"/>
        <v>87.757060134866094</v>
      </c>
      <c r="AL64" s="1">
        <v>1.000067</v>
      </c>
      <c r="AM64" s="1">
        <v>1.000035</v>
      </c>
      <c r="AN64">
        <f t="shared" si="19"/>
        <v>85.225959076169516</v>
      </c>
      <c r="AP64" s="15"/>
      <c r="AQ64" s="15"/>
      <c r="AT64" s="61">
        <f t="shared" si="76"/>
        <v>0</v>
      </c>
      <c r="AU64" s="43" t="str">
        <f t="shared" si="20"/>
        <v>min</v>
      </c>
      <c r="AV64" s="35">
        <f t="shared" si="21"/>
        <v>0.88968700000000001</v>
      </c>
      <c r="AW64" s="36">
        <f t="shared" si="22"/>
        <v>0.97123099999999996</v>
      </c>
      <c r="AX64" s="35">
        <f t="shared" si="77"/>
        <v>0</v>
      </c>
      <c r="AY64" s="62">
        <f t="shared" si="78"/>
        <v>0</v>
      </c>
      <c r="AZ64" s="61">
        <f t="shared" si="79"/>
        <v>0</v>
      </c>
      <c r="BA64" s="43">
        <f t="shared" si="23"/>
        <v>0</v>
      </c>
      <c r="BB64" s="35">
        <f t="shared" si="75"/>
        <v>0</v>
      </c>
      <c r="BC64" s="36">
        <f t="shared" si="25"/>
        <v>0</v>
      </c>
      <c r="BD64" s="35">
        <f t="shared" si="26"/>
        <v>0</v>
      </c>
      <c r="BE64" s="62">
        <f t="shared" si="27"/>
        <v>0</v>
      </c>
      <c r="BF64" s="61">
        <f t="shared" si="28"/>
        <v>0</v>
      </c>
      <c r="BG64" s="43">
        <f t="shared" si="29"/>
        <v>0</v>
      </c>
      <c r="BH64" s="35">
        <f t="shared" si="30"/>
        <v>0</v>
      </c>
      <c r="BI64" s="36">
        <f t="shared" si="31"/>
        <v>0</v>
      </c>
      <c r="BJ64" s="35">
        <f t="shared" si="32"/>
        <v>0</v>
      </c>
      <c r="BK64" s="62">
        <f t="shared" si="33"/>
        <v>0</v>
      </c>
      <c r="BL64" s="61">
        <f t="shared" si="34"/>
        <v>0</v>
      </c>
      <c r="BM64" s="43">
        <f t="shared" si="35"/>
        <v>0</v>
      </c>
      <c r="BN64" s="35">
        <f t="shared" si="36"/>
        <v>0</v>
      </c>
      <c r="BO64" s="36">
        <f t="shared" si="37"/>
        <v>0</v>
      </c>
      <c r="BP64" s="35">
        <f t="shared" si="38"/>
        <v>0</v>
      </c>
      <c r="BQ64" s="62">
        <f t="shared" si="39"/>
        <v>0</v>
      </c>
      <c r="BR64" s="61">
        <f t="shared" si="40"/>
        <v>0</v>
      </c>
      <c r="BS64" s="43">
        <f t="shared" si="41"/>
        <v>0</v>
      </c>
      <c r="BT64" s="35">
        <f t="shared" si="42"/>
        <v>0</v>
      </c>
      <c r="BU64" s="36">
        <f t="shared" si="43"/>
        <v>0</v>
      </c>
      <c r="BV64" s="35">
        <f t="shared" si="44"/>
        <v>0</v>
      </c>
      <c r="BW64" s="62">
        <f t="shared" si="45"/>
        <v>0</v>
      </c>
      <c r="BX64" s="61">
        <f t="shared" si="46"/>
        <v>1</v>
      </c>
      <c r="BY64" s="43" t="str">
        <f t="shared" si="47"/>
        <v>min</v>
      </c>
      <c r="BZ64" s="35">
        <f t="shared" si="48"/>
        <v>0</v>
      </c>
      <c r="CA64" s="36">
        <f t="shared" si="49"/>
        <v>0</v>
      </c>
      <c r="CB64" s="35">
        <f t="shared" si="50"/>
        <v>0.90020299999999998</v>
      </c>
      <c r="CC64" s="62">
        <f t="shared" si="51"/>
        <v>0.96281899999999998</v>
      </c>
      <c r="CD64" s="61">
        <f t="shared" si="52"/>
        <v>1</v>
      </c>
      <c r="CE64" s="43" t="str">
        <f t="shared" si="53"/>
        <v>min</v>
      </c>
      <c r="CF64" s="35">
        <f t="shared" si="54"/>
        <v>0</v>
      </c>
      <c r="CG64" s="36">
        <f t="shared" si="55"/>
        <v>0</v>
      </c>
      <c r="CH64" s="35">
        <f t="shared" si="56"/>
        <v>0</v>
      </c>
      <c r="CI64" s="62">
        <f t="shared" si="74"/>
        <v>0</v>
      </c>
      <c r="CJ64" s="61">
        <f t="shared" si="57"/>
        <v>1</v>
      </c>
      <c r="CK64" s="43" t="str">
        <f t="shared" si="58"/>
        <v>min</v>
      </c>
      <c r="CL64" s="35">
        <f t="shared" si="59"/>
        <v>0</v>
      </c>
      <c r="CM64" s="36">
        <f t="shared" si="60"/>
        <v>0</v>
      </c>
      <c r="CN64" s="35">
        <f t="shared" si="61"/>
        <v>0</v>
      </c>
      <c r="CO64" s="62">
        <f t="shared" si="62"/>
        <v>0</v>
      </c>
      <c r="CP64" s="61">
        <f t="shared" si="63"/>
        <v>1</v>
      </c>
      <c r="CQ64" s="43" t="str">
        <f t="shared" si="64"/>
        <v>min</v>
      </c>
      <c r="CR64" s="35">
        <f t="shared" si="65"/>
        <v>0</v>
      </c>
      <c r="CS64" s="36">
        <f t="shared" si="66"/>
        <v>0</v>
      </c>
      <c r="CT64" s="35">
        <f t="shared" si="80"/>
        <v>0</v>
      </c>
      <c r="CU64" s="62">
        <f t="shared" si="67"/>
        <v>0</v>
      </c>
      <c r="CV64" s="61">
        <f t="shared" si="68"/>
        <v>1</v>
      </c>
      <c r="CW64" s="43">
        <f t="shared" si="69"/>
        <v>0</v>
      </c>
      <c r="CX64" s="35">
        <f t="shared" si="70"/>
        <v>0</v>
      </c>
      <c r="CY64" s="36">
        <f t="shared" si="71"/>
        <v>0</v>
      </c>
      <c r="CZ64" s="35">
        <f t="shared" si="72"/>
        <v>0</v>
      </c>
      <c r="DA64" s="62">
        <f t="shared" si="73"/>
        <v>0</v>
      </c>
    </row>
    <row r="65" spans="2:105" x14ac:dyDescent="0.3">
      <c r="B65" s="1">
        <v>0.90377300000000005</v>
      </c>
      <c r="C65" s="1">
        <v>0.97529399999999999</v>
      </c>
      <c r="D65">
        <f t="shared" si="10"/>
        <v>97.938027020169613</v>
      </c>
      <c r="F65" s="1">
        <v>0.89031499999999997</v>
      </c>
      <c r="G65" s="1">
        <v>0.97153500000000004</v>
      </c>
      <c r="H65">
        <f t="shared" si="11"/>
        <v>96.488981222937156</v>
      </c>
      <c r="J65" s="1">
        <v>0.88522199999999995</v>
      </c>
      <c r="K65" s="1">
        <v>0.96636299999999997</v>
      </c>
      <c r="L65">
        <f t="shared" si="12"/>
        <v>95.065926677243851</v>
      </c>
      <c r="N65" s="1">
        <v>0.88097199999999998</v>
      </c>
      <c r="O65" s="1">
        <v>0.96145499999999995</v>
      </c>
      <c r="P65">
        <f t="shared" si="13"/>
        <v>94.583102347119535</v>
      </c>
      <c r="R65" s="1">
        <v>0.88624000000000003</v>
      </c>
      <c r="S65" s="1">
        <v>0.95930400000000005</v>
      </c>
      <c r="T65">
        <f t="shared" si="14"/>
        <v>92.334943007153043</v>
      </c>
      <c r="V65" s="1">
        <v>0.91445500000000002</v>
      </c>
      <c r="W65" s="1">
        <v>0.96826599999999996</v>
      </c>
      <c r="X65">
        <f t="shared" si="15"/>
        <v>91.199079612453488</v>
      </c>
      <c r="Z65" s="1">
        <v>0.94747400000000004</v>
      </c>
      <c r="AA65" s="1">
        <v>0.98097900000000005</v>
      </c>
      <c r="AB65">
        <f t="shared" si="16"/>
        <v>90.200061559561178</v>
      </c>
      <c r="AD65" s="1">
        <v>0.97897299999999998</v>
      </c>
      <c r="AE65" s="1">
        <v>0.99231400000000003</v>
      </c>
      <c r="AF65">
        <f t="shared" si="17"/>
        <v>89.214982484000004</v>
      </c>
      <c r="AH65" s="1">
        <v>1</v>
      </c>
      <c r="AI65" s="1">
        <v>1</v>
      </c>
      <c r="AJ65">
        <f t="shared" si="18"/>
        <v>87.890037762000006</v>
      </c>
      <c r="AL65" s="1">
        <v>0</v>
      </c>
      <c r="AM65" s="1">
        <v>0</v>
      </c>
      <c r="AP65" s="15"/>
      <c r="AQ65" s="15"/>
      <c r="AT65" s="61">
        <f t="shared" si="76"/>
        <v>1</v>
      </c>
      <c r="AU65" s="43" t="str">
        <f t="shared" si="20"/>
        <v>min</v>
      </c>
      <c r="AV65" s="35">
        <f t="shared" si="21"/>
        <v>0</v>
      </c>
      <c r="AW65" s="36">
        <f t="shared" si="22"/>
        <v>0</v>
      </c>
      <c r="AX65" s="35">
        <f t="shared" si="77"/>
        <v>0.90377300000000005</v>
      </c>
      <c r="AY65" s="62">
        <f t="shared" si="78"/>
        <v>0.97529399999999999</v>
      </c>
      <c r="AZ65" s="61">
        <f t="shared" si="79"/>
        <v>0</v>
      </c>
      <c r="BA65" s="43" t="str">
        <f t="shared" si="23"/>
        <v>min</v>
      </c>
      <c r="BB65" s="35">
        <f t="shared" si="75"/>
        <v>0.89031499999999997</v>
      </c>
      <c r="BC65" s="36">
        <f t="shared" si="25"/>
        <v>0.97153500000000004</v>
      </c>
      <c r="BD65" s="35">
        <f t="shared" si="26"/>
        <v>0</v>
      </c>
      <c r="BE65" s="62">
        <f t="shared" si="27"/>
        <v>0</v>
      </c>
      <c r="BF65" s="61">
        <f t="shared" si="28"/>
        <v>0</v>
      </c>
      <c r="BG65" s="43">
        <f t="shared" si="29"/>
        <v>0</v>
      </c>
      <c r="BH65" s="35">
        <f t="shared" si="30"/>
        <v>0</v>
      </c>
      <c r="BI65" s="36">
        <f t="shared" si="31"/>
        <v>0</v>
      </c>
      <c r="BJ65" s="35">
        <f t="shared" si="32"/>
        <v>0</v>
      </c>
      <c r="BK65" s="62">
        <f t="shared" si="33"/>
        <v>0</v>
      </c>
      <c r="BL65" s="61">
        <f t="shared" si="34"/>
        <v>0</v>
      </c>
      <c r="BM65" s="43">
        <f t="shared" si="35"/>
        <v>0</v>
      </c>
      <c r="BN65" s="35">
        <f t="shared" si="36"/>
        <v>0</v>
      </c>
      <c r="BO65" s="36">
        <f t="shared" si="37"/>
        <v>0</v>
      </c>
      <c r="BP65" s="35">
        <f t="shared" si="38"/>
        <v>0</v>
      </c>
      <c r="BQ65" s="62">
        <f t="shared" si="39"/>
        <v>0</v>
      </c>
      <c r="BR65" s="61">
        <f t="shared" si="40"/>
        <v>0</v>
      </c>
      <c r="BS65" s="43" t="str">
        <f t="shared" si="41"/>
        <v>min</v>
      </c>
      <c r="BT65" s="35">
        <f t="shared" si="42"/>
        <v>0.88624000000000003</v>
      </c>
      <c r="BU65" s="36">
        <f t="shared" si="43"/>
        <v>0.95930400000000005</v>
      </c>
      <c r="BV65" s="35">
        <f t="shared" si="44"/>
        <v>0</v>
      </c>
      <c r="BW65" s="62">
        <f t="shared" si="45"/>
        <v>0</v>
      </c>
      <c r="BX65" s="61">
        <f t="shared" si="46"/>
        <v>1</v>
      </c>
      <c r="BY65" s="43" t="str">
        <f t="shared" si="47"/>
        <v>min</v>
      </c>
      <c r="BZ65" s="35">
        <f t="shared" si="48"/>
        <v>0</v>
      </c>
      <c r="CA65" s="36">
        <f t="shared" si="49"/>
        <v>0</v>
      </c>
      <c r="CB65" s="35">
        <f t="shared" si="50"/>
        <v>0</v>
      </c>
      <c r="CC65" s="62">
        <f t="shared" si="51"/>
        <v>0</v>
      </c>
      <c r="CD65" s="61">
        <f t="shared" si="52"/>
        <v>1</v>
      </c>
      <c r="CE65" s="43" t="str">
        <f t="shared" si="53"/>
        <v>min</v>
      </c>
      <c r="CF65" s="35">
        <f t="shared" si="54"/>
        <v>0</v>
      </c>
      <c r="CG65" s="36">
        <f t="shared" si="55"/>
        <v>0</v>
      </c>
      <c r="CH65" s="35">
        <f t="shared" si="56"/>
        <v>0</v>
      </c>
      <c r="CI65" s="62">
        <f t="shared" si="74"/>
        <v>0</v>
      </c>
      <c r="CJ65" s="61">
        <f t="shared" si="57"/>
        <v>1</v>
      </c>
      <c r="CK65" s="43" t="str">
        <f t="shared" si="58"/>
        <v>min</v>
      </c>
      <c r="CL65" s="35">
        <f t="shared" si="59"/>
        <v>0</v>
      </c>
      <c r="CM65" s="36">
        <f t="shared" si="60"/>
        <v>0</v>
      </c>
      <c r="CN65" s="35">
        <f t="shared" si="61"/>
        <v>0</v>
      </c>
      <c r="CO65" s="62">
        <f t="shared" si="62"/>
        <v>0</v>
      </c>
      <c r="CP65" s="61">
        <f t="shared" si="63"/>
        <v>1</v>
      </c>
      <c r="CQ65" s="43">
        <f t="shared" si="64"/>
        <v>0</v>
      </c>
      <c r="CR65" s="35">
        <f t="shared" si="65"/>
        <v>0</v>
      </c>
      <c r="CS65" s="36">
        <f t="shared" si="66"/>
        <v>0</v>
      </c>
      <c r="CT65" s="35">
        <f t="shared" si="80"/>
        <v>0</v>
      </c>
      <c r="CU65" s="62">
        <f t="shared" si="67"/>
        <v>0</v>
      </c>
      <c r="CV65" s="61">
        <f t="shared" si="68"/>
        <v>0</v>
      </c>
      <c r="CW65" s="43">
        <f t="shared" si="69"/>
        <v>0</v>
      </c>
      <c r="CX65" s="35">
        <f t="shared" si="70"/>
        <v>0</v>
      </c>
      <c r="CY65" s="36">
        <f t="shared" si="71"/>
        <v>0</v>
      </c>
      <c r="CZ65" s="35">
        <f t="shared" si="72"/>
        <v>0</v>
      </c>
      <c r="DA65" s="62">
        <f t="shared" si="73"/>
        <v>0</v>
      </c>
    </row>
    <row r="66" spans="2:105" x14ac:dyDescent="0.3">
      <c r="B66" s="1">
        <v>0.91783099999999995</v>
      </c>
      <c r="C66" s="1">
        <v>0.97928700000000002</v>
      </c>
      <c r="D66">
        <f t="shared" si="10"/>
        <v>98.339000000513522</v>
      </c>
      <c r="F66" s="1">
        <v>0.90416300000000005</v>
      </c>
      <c r="G66" s="1">
        <v>0.97545199999999999</v>
      </c>
      <c r="H66">
        <f t="shared" si="11"/>
        <v>96.878002039943482</v>
      </c>
      <c r="J66" s="1">
        <v>0.89898999999999996</v>
      </c>
      <c r="K66" s="1">
        <v>0.97029699999999997</v>
      </c>
      <c r="L66">
        <f t="shared" si="12"/>
        <v>95.452933791080241</v>
      </c>
      <c r="N66" s="1">
        <v>0.894675</v>
      </c>
      <c r="O66" s="1">
        <v>0.96533400000000003</v>
      </c>
      <c r="P66">
        <f t="shared" si="13"/>
        <v>94.964698837859601</v>
      </c>
      <c r="R66" s="1">
        <v>0.90002499999999996</v>
      </c>
      <c r="S66" s="1">
        <v>0.96336699999999997</v>
      </c>
      <c r="T66">
        <f t="shared" si="14"/>
        <v>92.726014944138655</v>
      </c>
      <c r="V66" s="1">
        <v>0.92867900000000003</v>
      </c>
      <c r="W66" s="1">
        <v>0.97359499999999999</v>
      </c>
      <c r="X66">
        <f t="shared" si="15"/>
        <v>91.701007693429958</v>
      </c>
      <c r="Z66" s="1">
        <v>0.96221100000000004</v>
      </c>
      <c r="AA66" s="1">
        <v>0.98640600000000001</v>
      </c>
      <c r="AB66">
        <f t="shared" si="16"/>
        <v>90.699068912505268</v>
      </c>
      <c r="AD66" s="1">
        <v>0.994201</v>
      </c>
      <c r="AE66" s="1">
        <v>0.99788699999999997</v>
      </c>
      <c r="AF66">
        <f t="shared" si="17"/>
        <v>89.716028621999996</v>
      </c>
      <c r="AH66" s="1">
        <v>0</v>
      </c>
      <c r="AI66" s="1">
        <v>0</v>
      </c>
      <c r="AP66" s="15"/>
      <c r="AQ66" s="15"/>
      <c r="AT66" s="61">
        <f t="shared" si="76"/>
        <v>1</v>
      </c>
      <c r="AU66" s="43" t="str">
        <f t="shared" si="20"/>
        <v>min</v>
      </c>
      <c r="AV66" s="35">
        <f t="shared" si="21"/>
        <v>0</v>
      </c>
      <c r="AW66" s="36">
        <f t="shared" si="22"/>
        <v>0</v>
      </c>
      <c r="AX66" s="35">
        <f t="shared" si="77"/>
        <v>0</v>
      </c>
      <c r="AY66" s="62">
        <f t="shared" si="78"/>
        <v>0</v>
      </c>
      <c r="AZ66" s="61">
        <f t="shared" si="79"/>
        <v>1</v>
      </c>
      <c r="BA66" s="43" t="str">
        <f t="shared" si="23"/>
        <v>min</v>
      </c>
      <c r="BB66" s="35">
        <f t="shared" si="75"/>
        <v>0</v>
      </c>
      <c r="BC66" s="36">
        <f t="shared" si="25"/>
        <v>0</v>
      </c>
      <c r="BD66" s="35">
        <f t="shared" si="26"/>
        <v>0.90416300000000005</v>
      </c>
      <c r="BE66" s="62">
        <f t="shared" si="27"/>
        <v>0.97545199999999999</v>
      </c>
      <c r="BF66" s="61">
        <f t="shared" si="28"/>
        <v>0</v>
      </c>
      <c r="BG66" s="43" t="str">
        <f t="shared" si="29"/>
        <v>min</v>
      </c>
      <c r="BH66" s="35">
        <f t="shared" si="30"/>
        <v>0.89898999999999996</v>
      </c>
      <c r="BI66" s="36">
        <f t="shared" si="31"/>
        <v>0.97029699999999997</v>
      </c>
      <c r="BJ66" s="35">
        <f t="shared" si="32"/>
        <v>0</v>
      </c>
      <c r="BK66" s="62">
        <f t="shared" si="33"/>
        <v>0</v>
      </c>
      <c r="BL66" s="61">
        <f t="shared" si="34"/>
        <v>0</v>
      </c>
      <c r="BM66" s="43" t="str">
        <f t="shared" si="35"/>
        <v>min</v>
      </c>
      <c r="BN66" s="35">
        <f t="shared" si="36"/>
        <v>0.894675</v>
      </c>
      <c r="BO66" s="36">
        <f t="shared" si="37"/>
        <v>0.96533400000000003</v>
      </c>
      <c r="BP66" s="35">
        <f t="shared" si="38"/>
        <v>0</v>
      </c>
      <c r="BQ66" s="62">
        <f t="shared" si="39"/>
        <v>0</v>
      </c>
      <c r="BR66" s="61">
        <f t="shared" si="40"/>
        <v>1</v>
      </c>
      <c r="BS66" s="43" t="str">
        <f t="shared" si="41"/>
        <v>min</v>
      </c>
      <c r="BT66" s="35">
        <f t="shared" si="42"/>
        <v>0</v>
      </c>
      <c r="BU66" s="36">
        <f t="shared" si="43"/>
        <v>0</v>
      </c>
      <c r="BV66" s="35">
        <f t="shared" si="44"/>
        <v>0.90002499999999996</v>
      </c>
      <c r="BW66" s="62">
        <f t="shared" si="45"/>
        <v>0.96336699999999997</v>
      </c>
      <c r="BX66" s="61">
        <f t="shared" si="46"/>
        <v>1</v>
      </c>
      <c r="BY66" s="43" t="str">
        <f t="shared" si="47"/>
        <v>min</v>
      </c>
      <c r="BZ66" s="35">
        <f t="shared" si="48"/>
        <v>0</v>
      </c>
      <c r="CA66" s="36">
        <f t="shared" si="49"/>
        <v>0</v>
      </c>
      <c r="CB66" s="35">
        <f t="shared" si="50"/>
        <v>0</v>
      </c>
      <c r="CC66" s="62">
        <f t="shared" si="51"/>
        <v>0</v>
      </c>
      <c r="CD66" s="61">
        <f t="shared" si="52"/>
        <v>1</v>
      </c>
      <c r="CE66" s="43" t="str">
        <f t="shared" si="53"/>
        <v>min</v>
      </c>
      <c r="CF66" s="35">
        <f t="shared" si="54"/>
        <v>0</v>
      </c>
      <c r="CG66" s="36">
        <f t="shared" si="55"/>
        <v>0</v>
      </c>
      <c r="CH66" s="35">
        <f t="shared" si="56"/>
        <v>0</v>
      </c>
      <c r="CI66" s="62">
        <f t="shared" si="74"/>
        <v>0</v>
      </c>
      <c r="CJ66" s="61">
        <f t="shared" si="57"/>
        <v>1</v>
      </c>
      <c r="CK66" s="43" t="str">
        <f t="shared" si="58"/>
        <v>min</v>
      </c>
      <c r="CL66" s="35">
        <f t="shared" si="59"/>
        <v>0</v>
      </c>
      <c r="CM66" s="36">
        <f t="shared" si="60"/>
        <v>0</v>
      </c>
      <c r="CN66" s="35">
        <f t="shared" si="61"/>
        <v>0</v>
      </c>
      <c r="CO66" s="62">
        <f t="shared" si="62"/>
        <v>0</v>
      </c>
      <c r="CP66" s="61">
        <f t="shared" si="63"/>
        <v>0</v>
      </c>
      <c r="CQ66" s="43">
        <f t="shared" si="64"/>
        <v>0</v>
      </c>
      <c r="CR66" s="35">
        <f t="shared" si="65"/>
        <v>0</v>
      </c>
      <c r="CS66" s="36">
        <f t="shared" si="66"/>
        <v>0</v>
      </c>
      <c r="CT66" s="35">
        <f t="shared" si="80"/>
        <v>0</v>
      </c>
      <c r="CU66" s="62">
        <f t="shared" si="67"/>
        <v>0</v>
      </c>
      <c r="CV66" s="61">
        <f t="shared" si="68"/>
        <v>0</v>
      </c>
      <c r="CW66" s="43">
        <f t="shared" si="69"/>
        <v>0</v>
      </c>
      <c r="CX66" s="35">
        <f t="shared" si="70"/>
        <v>0</v>
      </c>
      <c r="CY66" s="36">
        <f t="shared" si="71"/>
        <v>0</v>
      </c>
      <c r="CZ66" s="35">
        <f t="shared" si="72"/>
        <v>0</v>
      </c>
      <c r="DA66" s="62">
        <f t="shared" si="73"/>
        <v>0</v>
      </c>
    </row>
    <row r="67" spans="2:105" x14ac:dyDescent="0.3">
      <c r="B67" s="1">
        <v>0.931917</v>
      </c>
      <c r="C67" s="1">
        <v>0.98331000000000002</v>
      </c>
      <c r="D67">
        <f t="shared" si="10"/>
        <v>98.742985550206384</v>
      </c>
      <c r="F67" s="1">
        <v>0.91803900000000005</v>
      </c>
      <c r="G67" s="1">
        <v>0.97936900000000005</v>
      </c>
      <c r="H67">
        <f t="shared" si="11"/>
        <v>97.267022856949822</v>
      </c>
      <c r="J67" s="1">
        <v>0.91278700000000002</v>
      </c>
      <c r="K67" s="1">
        <v>0.97421100000000005</v>
      </c>
      <c r="L67">
        <f t="shared" si="12"/>
        <v>95.837973405608878</v>
      </c>
      <c r="N67" s="1">
        <v>0.90840600000000005</v>
      </c>
      <c r="O67" s="1">
        <v>0.96917200000000003</v>
      </c>
      <c r="P67">
        <f t="shared" si="13"/>
        <v>95.342261955018742</v>
      </c>
      <c r="R67" s="1">
        <v>0.91383800000000004</v>
      </c>
      <c r="S67" s="1">
        <v>0.96859300000000004</v>
      </c>
      <c r="T67">
        <f t="shared" si="14"/>
        <v>93.22902797458093</v>
      </c>
      <c r="V67" s="1">
        <v>0.94293199999999999</v>
      </c>
      <c r="W67" s="1">
        <v>0.97887199999999996</v>
      </c>
      <c r="X67">
        <f t="shared" si="15"/>
        <v>92.198037996172104</v>
      </c>
      <c r="Z67" s="1">
        <v>0.97697900000000004</v>
      </c>
      <c r="AA67" s="1">
        <v>0.99173500000000003</v>
      </c>
      <c r="AB67">
        <f t="shared" si="16"/>
        <v>91.18906526110284</v>
      </c>
      <c r="AD67" s="1">
        <v>0.99987599999999999</v>
      </c>
      <c r="AE67" s="1">
        <v>0.99993299999999996</v>
      </c>
      <c r="AF67">
        <f t="shared" si="17"/>
        <v>89.899976297999999</v>
      </c>
      <c r="AP67" s="15"/>
      <c r="AQ67" s="15"/>
      <c r="AT67" s="61">
        <f t="shared" si="76"/>
        <v>1</v>
      </c>
      <c r="AU67" s="43" t="str">
        <f t="shared" si="20"/>
        <v>min</v>
      </c>
      <c r="AV67" s="35">
        <f t="shared" si="21"/>
        <v>0</v>
      </c>
      <c r="AW67" s="36">
        <f t="shared" si="22"/>
        <v>0</v>
      </c>
      <c r="AX67" s="35">
        <f t="shared" si="77"/>
        <v>0</v>
      </c>
      <c r="AY67" s="62">
        <f t="shared" si="78"/>
        <v>0</v>
      </c>
      <c r="AZ67" s="61">
        <f t="shared" si="79"/>
        <v>1</v>
      </c>
      <c r="BA67" s="43" t="str">
        <f t="shared" si="23"/>
        <v>min</v>
      </c>
      <c r="BB67" s="35">
        <f t="shared" si="75"/>
        <v>0</v>
      </c>
      <c r="BC67" s="36">
        <f t="shared" si="25"/>
        <v>0</v>
      </c>
      <c r="BD67" s="35">
        <f t="shared" si="26"/>
        <v>0</v>
      </c>
      <c r="BE67" s="62">
        <f t="shared" si="27"/>
        <v>0</v>
      </c>
      <c r="BF67" s="61">
        <f t="shared" si="28"/>
        <v>1</v>
      </c>
      <c r="BG67" s="43" t="str">
        <f t="shared" si="29"/>
        <v>min</v>
      </c>
      <c r="BH67" s="35">
        <f t="shared" si="30"/>
        <v>0</v>
      </c>
      <c r="BI67" s="36">
        <f t="shared" si="31"/>
        <v>0</v>
      </c>
      <c r="BJ67" s="35">
        <f t="shared" si="32"/>
        <v>0.91278700000000002</v>
      </c>
      <c r="BK67" s="62">
        <f t="shared" si="33"/>
        <v>0.97421100000000005</v>
      </c>
      <c r="BL67" s="61">
        <f t="shared" si="34"/>
        <v>1</v>
      </c>
      <c r="BM67" s="43" t="str">
        <f t="shared" si="35"/>
        <v>min</v>
      </c>
      <c r="BN67" s="35">
        <f t="shared" si="36"/>
        <v>0</v>
      </c>
      <c r="BO67" s="36">
        <f t="shared" si="37"/>
        <v>0</v>
      </c>
      <c r="BP67" s="35">
        <f t="shared" si="38"/>
        <v>0.90840600000000005</v>
      </c>
      <c r="BQ67" s="62">
        <f t="shared" si="39"/>
        <v>0.96917200000000003</v>
      </c>
      <c r="BR67" s="61">
        <f t="shared" si="40"/>
        <v>1</v>
      </c>
      <c r="BS67" s="43" t="str">
        <f t="shared" si="41"/>
        <v>min</v>
      </c>
      <c r="BT67" s="35">
        <f t="shared" si="42"/>
        <v>0</v>
      </c>
      <c r="BU67" s="36">
        <f t="shared" si="43"/>
        <v>0</v>
      </c>
      <c r="BV67" s="35">
        <f t="shared" si="44"/>
        <v>0</v>
      </c>
      <c r="BW67" s="62">
        <f t="shared" si="45"/>
        <v>0</v>
      </c>
      <c r="BX67" s="61">
        <f t="shared" si="46"/>
        <v>1</v>
      </c>
      <c r="BY67" s="43" t="str">
        <f t="shared" si="47"/>
        <v>min</v>
      </c>
      <c r="BZ67" s="35">
        <f t="shared" si="48"/>
        <v>0</v>
      </c>
      <c r="CA67" s="36">
        <f t="shared" si="49"/>
        <v>0</v>
      </c>
      <c r="CB67" s="35">
        <f t="shared" si="50"/>
        <v>0</v>
      </c>
      <c r="CC67" s="62">
        <f t="shared" si="51"/>
        <v>0</v>
      </c>
      <c r="CD67" s="61">
        <f t="shared" si="52"/>
        <v>1</v>
      </c>
      <c r="CE67" s="43" t="str">
        <f t="shared" si="53"/>
        <v>min</v>
      </c>
      <c r="CF67" s="35">
        <f t="shared" si="54"/>
        <v>0</v>
      </c>
      <c r="CG67" s="36">
        <f t="shared" si="55"/>
        <v>0</v>
      </c>
      <c r="CH67" s="35">
        <f t="shared" si="56"/>
        <v>0</v>
      </c>
      <c r="CI67" s="62">
        <f t="shared" si="74"/>
        <v>0</v>
      </c>
      <c r="CJ67" s="61">
        <f t="shared" si="57"/>
        <v>1</v>
      </c>
      <c r="CK67" s="43" t="str">
        <f t="shared" si="58"/>
        <v>min</v>
      </c>
      <c r="CL67" s="35">
        <f t="shared" si="59"/>
        <v>0</v>
      </c>
      <c r="CM67" s="36">
        <f t="shared" si="60"/>
        <v>0</v>
      </c>
      <c r="CN67" s="35">
        <f t="shared" si="61"/>
        <v>0</v>
      </c>
      <c r="CO67" s="62">
        <f t="shared" si="62"/>
        <v>0</v>
      </c>
      <c r="CP67" s="61">
        <f t="shared" si="63"/>
        <v>0</v>
      </c>
      <c r="CQ67" s="43">
        <f t="shared" si="64"/>
        <v>0</v>
      </c>
      <c r="CR67" s="35">
        <f t="shared" si="65"/>
        <v>0</v>
      </c>
      <c r="CS67" s="36">
        <f t="shared" si="66"/>
        <v>0</v>
      </c>
      <c r="CT67" s="35">
        <f t="shared" si="80"/>
        <v>0</v>
      </c>
      <c r="CU67" s="62">
        <f t="shared" si="67"/>
        <v>0</v>
      </c>
      <c r="CV67" s="61">
        <f t="shared" si="68"/>
        <v>0</v>
      </c>
      <c r="CW67" s="43">
        <f t="shared" si="69"/>
        <v>0</v>
      </c>
      <c r="CX67" s="35">
        <f t="shared" si="70"/>
        <v>0</v>
      </c>
      <c r="CY67" s="36">
        <f t="shared" si="71"/>
        <v>0</v>
      </c>
      <c r="CZ67" s="35">
        <f t="shared" si="72"/>
        <v>0</v>
      </c>
      <c r="DA67" s="62">
        <f t="shared" si="73"/>
        <v>0</v>
      </c>
    </row>
    <row r="68" spans="2:105" x14ac:dyDescent="0.3">
      <c r="B68" s="1">
        <v>0.94597500000000001</v>
      </c>
      <c r="C68" s="1">
        <v>0.98807</v>
      </c>
      <c r="D68">
        <f t="shared" si="10"/>
        <v>99.220979886904857</v>
      </c>
      <c r="F68" s="1">
        <v>0.93188700000000002</v>
      </c>
      <c r="G68" s="1">
        <v>0.98321499999999995</v>
      </c>
      <c r="H68">
        <f t="shared" si="11"/>
        <v>97.648992237140348</v>
      </c>
      <c r="J68" s="1">
        <v>0.92655600000000005</v>
      </c>
      <c r="K68" s="1">
        <v>0.97806400000000004</v>
      </c>
      <c r="L68">
        <f t="shared" si="12"/>
        <v>96.217012147248838</v>
      </c>
      <c r="N68" s="1">
        <v>0.92210899999999996</v>
      </c>
      <c r="O68" s="1">
        <v>0.97299000000000002</v>
      </c>
      <c r="P68">
        <f t="shared" si="13"/>
        <v>95.71785757287013</v>
      </c>
      <c r="R68" s="1">
        <v>0.92762299999999998</v>
      </c>
      <c r="S68" s="1">
        <v>0.97373500000000002</v>
      </c>
      <c r="T68">
        <f t="shared" si="14"/>
        <v>93.723955835762339</v>
      </c>
      <c r="V68" s="1">
        <v>0.95715499999999998</v>
      </c>
      <c r="W68" s="1">
        <v>0.98405299999999996</v>
      </c>
      <c r="X68">
        <f t="shared" si="15"/>
        <v>92.686026246789311</v>
      </c>
      <c r="Z68" s="1">
        <v>0.99171600000000004</v>
      </c>
      <c r="AA68" s="1">
        <v>0.99702000000000002</v>
      </c>
      <c r="AB68">
        <f t="shared" si="16"/>
        <v>91.675015852646879</v>
      </c>
      <c r="AD68" s="1">
        <v>1</v>
      </c>
      <c r="AE68" s="1">
        <v>1</v>
      </c>
      <c r="AF68">
        <f t="shared" si="17"/>
        <v>89.906000000000006</v>
      </c>
      <c r="AP68" s="15"/>
      <c r="AQ68" s="15"/>
      <c r="AT68" s="61">
        <f t="shared" si="76"/>
        <v>1</v>
      </c>
      <c r="AU68" s="43" t="str">
        <f t="shared" si="20"/>
        <v>min</v>
      </c>
      <c r="AV68" s="35">
        <f t="shared" si="21"/>
        <v>0</v>
      </c>
      <c r="AW68" s="36">
        <f t="shared" si="22"/>
        <v>0</v>
      </c>
      <c r="AX68" s="35">
        <f t="shared" si="77"/>
        <v>0</v>
      </c>
      <c r="AY68" s="62">
        <f t="shared" si="78"/>
        <v>0</v>
      </c>
      <c r="AZ68" s="61">
        <f t="shared" si="79"/>
        <v>1</v>
      </c>
      <c r="BA68" s="43" t="str">
        <f t="shared" si="23"/>
        <v>min</v>
      </c>
      <c r="BB68" s="35">
        <f t="shared" si="75"/>
        <v>0</v>
      </c>
      <c r="BC68" s="36">
        <f t="shared" si="25"/>
        <v>0</v>
      </c>
      <c r="BD68" s="35">
        <f t="shared" si="26"/>
        <v>0</v>
      </c>
      <c r="BE68" s="62">
        <f t="shared" si="27"/>
        <v>0</v>
      </c>
      <c r="BF68" s="61">
        <f t="shared" si="28"/>
        <v>1</v>
      </c>
      <c r="BG68" s="43" t="str">
        <f t="shared" si="29"/>
        <v>min</v>
      </c>
      <c r="BH68" s="35">
        <f t="shared" si="30"/>
        <v>0</v>
      </c>
      <c r="BI68" s="36">
        <f t="shared" si="31"/>
        <v>0</v>
      </c>
      <c r="BJ68" s="35">
        <f t="shared" si="32"/>
        <v>0</v>
      </c>
      <c r="BK68" s="62">
        <f t="shared" si="33"/>
        <v>0</v>
      </c>
      <c r="BL68" s="61">
        <f t="shared" si="34"/>
        <v>1</v>
      </c>
      <c r="BM68" s="43" t="str">
        <f t="shared" si="35"/>
        <v>min</v>
      </c>
      <c r="BN68" s="35">
        <f t="shared" si="36"/>
        <v>0</v>
      </c>
      <c r="BO68" s="36">
        <f t="shared" si="37"/>
        <v>0</v>
      </c>
      <c r="BP68" s="35">
        <f t="shared" si="38"/>
        <v>0</v>
      </c>
      <c r="BQ68" s="62">
        <f t="shared" si="39"/>
        <v>0</v>
      </c>
      <c r="BR68" s="61">
        <f t="shared" si="40"/>
        <v>1</v>
      </c>
      <c r="BS68" s="43" t="str">
        <f t="shared" si="41"/>
        <v>min</v>
      </c>
      <c r="BT68" s="35">
        <f t="shared" si="42"/>
        <v>0</v>
      </c>
      <c r="BU68" s="36">
        <f t="shared" si="43"/>
        <v>0</v>
      </c>
      <c r="BV68" s="35">
        <f t="shared" si="44"/>
        <v>0</v>
      </c>
      <c r="BW68" s="62">
        <f t="shared" si="45"/>
        <v>0</v>
      </c>
      <c r="BX68" s="61">
        <f t="shared" si="46"/>
        <v>1</v>
      </c>
      <c r="BY68" s="43" t="str">
        <f t="shared" si="47"/>
        <v>min</v>
      </c>
      <c r="BZ68" s="35">
        <f t="shared" si="48"/>
        <v>0</v>
      </c>
      <c r="CA68" s="36">
        <f t="shared" si="49"/>
        <v>0</v>
      </c>
      <c r="CB68" s="35">
        <f t="shared" si="50"/>
        <v>0</v>
      </c>
      <c r="CC68" s="62">
        <f t="shared" si="51"/>
        <v>0</v>
      </c>
      <c r="CD68" s="61">
        <f t="shared" si="52"/>
        <v>1</v>
      </c>
      <c r="CE68" s="43" t="str">
        <f t="shared" si="53"/>
        <v>min</v>
      </c>
      <c r="CF68" s="35">
        <f t="shared" si="54"/>
        <v>0</v>
      </c>
      <c r="CG68" s="36">
        <f t="shared" si="55"/>
        <v>0</v>
      </c>
      <c r="CH68" s="35">
        <f t="shared" si="56"/>
        <v>0</v>
      </c>
      <c r="CI68" s="62">
        <f t="shared" si="74"/>
        <v>0</v>
      </c>
      <c r="CJ68" s="61">
        <f t="shared" si="57"/>
        <v>1</v>
      </c>
      <c r="CK68" s="43">
        <f t="shared" si="58"/>
        <v>0</v>
      </c>
      <c r="CL68" s="35">
        <f t="shared" si="59"/>
        <v>0</v>
      </c>
      <c r="CM68" s="36">
        <f t="shared" si="60"/>
        <v>0</v>
      </c>
      <c r="CN68" s="35">
        <f t="shared" si="61"/>
        <v>0</v>
      </c>
      <c r="CO68" s="62">
        <f t="shared" si="62"/>
        <v>0</v>
      </c>
      <c r="CP68" s="61">
        <f t="shared" si="63"/>
        <v>0</v>
      </c>
      <c r="CQ68" s="43">
        <f t="shared" si="64"/>
        <v>0</v>
      </c>
      <c r="CR68" s="35">
        <f t="shared" si="65"/>
        <v>0</v>
      </c>
      <c r="CS68" s="36">
        <f t="shared" si="66"/>
        <v>0</v>
      </c>
      <c r="CT68" s="35">
        <f t="shared" si="80"/>
        <v>0</v>
      </c>
      <c r="CU68" s="62">
        <f t="shared" si="67"/>
        <v>0</v>
      </c>
      <c r="CV68" s="61">
        <f t="shared" si="68"/>
        <v>0</v>
      </c>
      <c r="CW68" s="43">
        <f t="shared" si="69"/>
        <v>0</v>
      </c>
      <c r="CX68" s="35">
        <f t="shared" si="70"/>
        <v>0</v>
      </c>
      <c r="CY68" s="36">
        <f t="shared" si="71"/>
        <v>0</v>
      </c>
      <c r="CZ68" s="35">
        <f t="shared" si="72"/>
        <v>0</v>
      </c>
      <c r="DA68" s="62">
        <f t="shared" si="73"/>
        <v>0</v>
      </c>
    </row>
    <row r="69" spans="2:105" x14ac:dyDescent="0.3">
      <c r="B69" s="1">
        <v>0.96006100000000005</v>
      </c>
      <c r="C69" s="1">
        <v>0.99268100000000004</v>
      </c>
      <c r="D69">
        <f t="shared" si="10"/>
        <v>99.684011795836938</v>
      </c>
      <c r="F69" s="1">
        <v>0.94576400000000005</v>
      </c>
      <c r="G69" s="1">
        <v>0.98788699999999996</v>
      </c>
      <c r="H69">
        <f t="shared" si="11"/>
        <v>98.112996642821628</v>
      </c>
      <c r="J69" s="1">
        <v>0.94035299999999999</v>
      </c>
      <c r="K69" s="1">
        <v>0.98193600000000003</v>
      </c>
      <c r="L69">
        <f t="shared" si="12"/>
        <v>96.597920013231175</v>
      </c>
      <c r="N69" s="1">
        <v>0.93583899999999998</v>
      </c>
      <c r="O69" s="1">
        <v>0.97781300000000004</v>
      </c>
      <c r="P69">
        <f t="shared" si="13"/>
        <v>96.192320030936457</v>
      </c>
      <c r="R69" s="1">
        <v>0.94143600000000005</v>
      </c>
      <c r="S69" s="1">
        <v>0.97881600000000002</v>
      </c>
      <c r="T69">
        <f t="shared" si="14"/>
        <v>94.213012324028156</v>
      </c>
      <c r="V69" s="1">
        <v>0.97140800000000005</v>
      </c>
      <c r="W69" s="1">
        <v>0.98918099999999998</v>
      </c>
      <c r="X69">
        <f t="shared" si="15"/>
        <v>93.169022531129215</v>
      </c>
      <c r="Z69" s="1">
        <v>1</v>
      </c>
      <c r="AA69" s="1">
        <v>1</v>
      </c>
      <c r="AB69">
        <f t="shared" si="16"/>
        <v>91.949023944000004</v>
      </c>
      <c r="AD69" s="1">
        <v>0</v>
      </c>
      <c r="AE69" s="1">
        <v>0</v>
      </c>
      <c r="AT69" s="61">
        <f t="shared" si="76"/>
        <v>1</v>
      </c>
      <c r="AU69" s="43" t="str">
        <f t="shared" si="20"/>
        <v>min</v>
      </c>
      <c r="AV69" s="35">
        <f t="shared" si="21"/>
        <v>0</v>
      </c>
      <c r="AW69" s="36">
        <f t="shared" si="22"/>
        <v>0</v>
      </c>
      <c r="AX69" s="35">
        <f t="shared" si="77"/>
        <v>0</v>
      </c>
      <c r="AY69" s="62">
        <f t="shared" si="78"/>
        <v>0</v>
      </c>
      <c r="AZ69" s="61">
        <f t="shared" si="79"/>
        <v>1</v>
      </c>
      <c r="BA69" s="43" t="str">
        <f t="shared" si="23"/>
        <v>min</v>
      </c>
      <c r="BB69" s="35">
        <f t="shared" si="75"/>
        <v>0</v>
      </c>
      <c r="BC69" s="36">
        <f t="shared" si="25"/>
        <v>0</v>
      </c>
      <c r="BD69" s="35">
        <f t="shared" si="26"/>
        <v>0</v>
      </c>
      <c r="BE69" s="62">
        <f t="shared" si="27"/>
        <v>0</v>
      </c>
      <c r="BF69" s="61">
        <f t="shared" si="28"/>
        <v>1</v>
      </c>
      <c r="BG69" s="43" t="str">
        <f t="shared" si="29"/>
        <v>min</v>
      </c>
      <c r="BH69" s="35">
        <f t="shared" si="30"/>
        <v>0</v>
      </c>
      <c r="BI69" s="36">
        <f t="shared" si="31"/>
        <v>0</v>
      </c>
      <c r="BJ69" s="35">
        <f t="shared" si="32"/>
        <v>0</v>
      </c>
      <c r="BK69" s="62">
        <f t="shared" si="33"/>
        <v>0</v>
      </c>
      <c r="BL69" s="61">
        <f t="shared" si="34"/>
        <v>1</v>
      </c>
      <c r="BM69" s="43" t="str">
        <f t="shared" si="35"/>
        <v>min</v>
      </c>
      <c r="BN69" s="35">
        <f t="shared" si="36"/>
        <v>0</v>
      </c>
      <c r="BO69" s="36">
        <f t="shared" si="37"/>
        <v>0</v>
      </c>
      <c r="BP69" s="35">
        <f t="shared" si="38"/>
        <v>0</v>
      </c>
      <c r="BQ69" s="62">
        <f t="shared" si="39"/>
        <v>0</v>
      </c>
      <c r="BR69" s="61">
        <f t="shared" si="40"/>
        <v>1</v>
      </c>
      <c r="BS69" s="43" t="str">
        <f t="shared" si="41"/>
        <v>min</v>
      </c>
      <c r="BT69" s="35">
        <f t="shared" si="42"/>
        <v>0</v>
      </c>
      <c r="BU69" s="36">
        <f t="shared" si="43"/>
        <v>0</v>
      </c>
      <c r="BV69" s="35">
        <f t="shared" si="44"/>
        <v>0</v>
      </c>
      <c r="BW69" s="62">
        <f t="shared" si="45"/>
        <v>0</v>
      </c>
      <c r="BX69" s="61">
        <f t="shared" si="46"/>
        <v>1</v>
      </c>
      <c r="BY69" s="43" t="str">
        <f t="shared" si="47"/>
        <v>min</v>
      </c>
      <c r="BZ69" s="35">
        <f t="shared" si="48"/>
        <v>0</v>
      </c>
      <c r="CA69" s="36">
        <f t="shared" si="49"/>
        <v>0</v>
      </c>
      <c r="CB69" s="35">
        <f t="shared" si="50"/>
        <v>0</v>
      </c>
      <c r="CC69" s="62">
        <f t="shared" si="51"/>
        <v>0</v>
      </c>
      <c r="CD69" s="61">
        <f t="shared" si="52"/>
        <v>1</v>
      </c>
      <c r="CE69" s="43" t="str">
        <f t="shared" si="53"/>
        <v>min</v>
      </c>
      <c r="CF69" s="35">
        <f t="shared" si="54"/>
        <v>0</v>
      </c>
      <c r="CG69" s="36">
        <f t="shared" si="55"/>
        <v>0</v>
      </c>
      <c r="CH69" s="35">
        <f t="shared" si="56"/>
        <v>0</v>
      </c>
      <c r="CI69" s="62">
        <f t="shared" si="74"/>
        <v>0</v>
      </c>
      <c r="CJ69" s="61">
        <f t="shared" si="57"/>
        <v>0</v>
      </c>
      <c r="CK69" s="43">
        <f t="shared" si="58"/>
        <v>0</v>
      </c>
      <c r="CL69" s="35">
        <f t="shared" si="59"/>
        <v>0</v>
      </c>
      <c r="CM69" s="36">
        <f t="shared" si="60"/>
        <v>0</v>
      </c>
      <c r="CN69" s="35">
        <f t="shared" si="61"/>
        <v>0</v>
      </c>
      <c r="CO69" s="62">
        <f t="shared" si="62"/>
        <v>0</v>
      </c>
      <c r="CP69" s="61">
        <f t="shared" si="63"/>
        <v>0</v>
      </c>
      <c r="CQ69" s="43">
        <f t="shared" si="64"/>
        <v>0</v>
      </c>
      <c r="CR69" s="35">
        <f t="shared" si="65"/>
        <v>0</v>
      </c>
      <c r="CS69" s="36">
        <f t="shared" si="66"/>
        <v>0</v>
      </c>
      <c r="CT69" s="35">
        <f t="shared" si="80"/>
        <v>0</v>
      </c>
      <c r="CU69" s="62">
        <f t="shared" si="67"/>
        <v>0</v>
      </c>
      <c r="CV69" s="61">
        <f t="shared" si="68"/>
        <v>0</v>
      </c>
      <c r="CW69" s="43">
        <f t="shared" si="69"/>
        <v>0</v>
      </c>
      <c r="CX69" s="35">
        <f t="shared" si="70"/>
        <v>0</v>
      </c>
      <c r="CY69" s="36">
        <f t="shared" si="71"/>
        <v>0</v>
      </c>
      <c r="CZ69" s="35">
        <f t="shared" si="72"/>
        <v>0</v>
      </c>
      <c r="DA69" s="62">
        <f t="shared" si="73"/>
        <v>0</v>
      </c>
    </row>
    <row r="70" spans="2:105" x14ac:dyDescent="0.3">
      <c r="B70" s="1">
        <v>0.97411800000000004</v>
      </c>
      <c r="C70" s="1">
        <v>0.99526999999999999</v>
      </c>
      <c r="D70">
        <f t="shared" si="10"/>
        <v>99.943996530650452</v>
      </c>
      <c r="F70" s="1">
        <v>0.95961200000000002</v>
      </c>
      <c r="G70" s="1">
        <v>0.99245799999999995</v>
      </c>
      <c r="H70">
        <f t="shared" si="11"/>
        <v>98.56697013134243</v>
      </c>
      <c r="J70" s="1">
        <v>0.95412200000000003</v>
      </c>
      <c r="K70" s="1">
        <v>0.98640899999999998</v>
      </c>
      <c r="L70">
        <f t="shared" si="12"/>
        <v>97.037951233411704</v>
      </c>
      <c r="N70" s="1">
        <v>0.949542</v>
      </c>
      <c r="O70" s="1">
        <v>0.98312900000000003</v>
      </c>
      <c r="P70">
        <f t="shared" si="13"/>
        <v>96.715281346939065</v>
      </c>
      <c r="R70" s="1">
        <v>0.95522099999999999</v>
      </c>
      <c r="S70" s="1">
        <v>0.98386499999999999</v>
      </c>
      <c r="T70">
        <f t="shared" si="14"/>
        <v>94.698988747813644</v>
      </c>
      <c r="V70" s="1">
        <v>0.98563199999999995</v>
      </c>
      <c r="W70" s="1">
        <v>0.99429900000000004</v>
      </c>
      <c r="X70">
        <f t="shared" si="15"/>
        <v>93.651076935039441</v>
      </c>
      <c r="Z70" s="1">
        <v>1.0000599999999999</v>
      </c>
      <c r="AA70" s="1">
        <v>0.99997800000000003</v>
      </c>
      <c r="AB70">
        <f t="shared" si="16"/>
        <v>91.947001065473245</v>
      </c>
      <c r="AT70" s="61">
        <f t="shared" si="76"/>
        <v>1</v>
      </c>
      <c r="AU70" s="43" t="str">
        <f t="shared" si="20"/>
        <v>min</v>
      </c>
      <c r="AV70" s="35">
        <f t="shared" si="21"/>
        <v>0</v>
      </c>
      <c r="AW70" s="36">
        <f t="shared" si="22"/>
        <v>0</v>
      </c>
      <c r="AX70" s="35">
        <f t="shared" si="77"/>
        <v>0</v>
      </c>
      <c r="AY70" s="62">
        <f t="shared" si="78"/>
        <v>0</v>
      </c>
      <c r="AZ70" s="61">
        <f t="shared" si="79"/>
        <v>1</v>
      </c>
      <c r="BA70" s="43" t="str">
        <f t="shared" si="23"/>
        <v>min</v>
      </c>
      <c r="BB70" s="35">
        <f t="shared" si="75"/>
        <v>0</v>
      </c>
      <c r="BC70" s="36">
        <f t="shared" si="25"/>
        <v>0</v>
      </c>
      <c r="BD70" s="35">
        <f t="shared" si="26"/>
        <v>0</v>
      </c>
      <c r="BE70" s="62">
        <f t="shared" si="27"/>
        <v>0</v>
      </c>
      <c r="BF70" s="61">
        <f t="shared" si="28"/>
        <v>1</v>
      </c>
      <c r="BG70" s="43" t="str">
        <f t="shared" si="29"/>
        <v>min</v>
      </c>
      <c r="BH70" s="35">
        <f t="shared" si="30"/>
        <v>0</v>
      </c>
      <c r="BI70" s="36">
        <f t="shared" si="31"/>
        <v>0</v>
      </c>
      <c r="BJ70" s="35">
        <f t="shared" si="32"/>
        <v>0</v>
      </c>
      <c r="BK70" s="62">
        <f t="shared" si="33"/>
        <v>0</v>
      </c>
      <c r="BL70" s="61">
        <f t="shared" si="34"/>
        <v>1</v>
      </c>
      <c r="BM70" s="43" t="str">
        <f t="shared" si="35"/>
        <v>min</v>
      </c>
      <c r="BN70" s="35">
        <f t="shared" si="36"/>
        <v>0</v>
      </c>
      <c r="BO70" s="36">
        <f t="shared" si="37"/>
        <v>0</v>
      </c>
      <c r="BP70" s="35">
        <f t="shared" si="38"/>
        <v>0</v>
      </c>
      <c r="BQ70" s="62">
        <f t="shared" si="39"/>
        <v>0</v>
      </c>
      <c r="BR70" s="61">
        <f t="shared" si="40"/>
        <v>1</v>
      </c>
      <c r="BS70" s="43" t="str">
        <f t="shared" si="41"/>
        <v>min</v>
      </c>
      <c r="BT70" s="35">
        <f t="shared" si="42"/>
        <v>0</v>
      </c>
      <c r="BU70" s="36">
        <f t="shared" si="43"/>
        <v>0</v>
      </c>
      <c r="BV70" s="35">
        <f t="shared" si="44"/>
        <v>0</v>
      </c>
      <c r="BW70" s="62">
        <f t="shared" si="45"/>
        <v>0</v>
      </c>
      <c r="BX70" s="61">
        <f t="shared" si="46"/>
        <v>1</v>
      </c>
      <c r="BY70" s="43" t="str">
        <f t="shared" si="47"/>
        <v>min</v>
      </c>
      <c r="BZ70" s="35">
        <f t="shared" si="48"/>
        <v>0</v>
      </c>
      <c r="CA70" s="36">
        <f t="shared" si="49"/>
        <v>0</v>
      </c>
      <c r="CB70" s="35">
        <f t="shared" si="50"/>
        <v>0</v>
      </c>
      <c r="CC70" s="62">
        <f t="shared" si="51"/>
        <v>0</v>
      </c>
      <c r="CD70" s="61">
        <f t="shared" si="52"/>
        <v>1</v>
      </c>
      <c r="CE70" s="43" t="str">
        <f t="shared" si="53"/>
        <v>min</v>
      </c>
      <c r="CF70" s="35">
        <f t="shared" si="54"/>
        <v>0</v>
      </c>
      <c r="CG70" s="36">
        <f t="shared" si="55"/>
        <v>0</v>
      </c>
      <c r="CH70" s="35">
        <f t="shared" si="56"/>
        <v>0</v>
      </c>
      <c r="CI70" s="62">
        <f t="shared" si="74"/>
        <v>0</v>
      </c>
      <c r="CJ70" s="61">
        <f t="shared" si="57"/>
        <v>0</v>
      </c>
      <c r="CK70" s="43">
        <f t="shared" si="58"/>
        <v>0</v>
      </c>
      <c r="CL70" s="35">
        <f t="shared" si="59"/>
        <v>0</v>
      </c>
      <c r="CM70" s="36">
        <f t="shared" si="60"/>
        <v>0</v>
      </c>
      <c r="CN70" s="35">
        <f t="shared" si="61"/>
        <v>0</v>
      </c>
      <c r="CO70" s="62">
        <f t="shared" si="62"/>
        <v>0</v>
      </c>
      <c r="CP70" s="61">
        <f t="shared" si="63"/>
        <v>0</v>
      </c>
      <c r="CQ70" s="43">
        <f t="shared" si="64"/>
        <v>0</v>
      </c>
      <c r="CR70" s="35">
        <f t="shared" si="65"/>
        <v>0</v>
      </c>
      <c r="CS70" s="36">
        <f t="shared" si="66"/>
        <v>0</v>
      </c>
      <c r="CT70" s="35">
        <f t="shared" si="80"/>
        <v>0</v>
      </c>
      <c r="CU70" s="62">
        <f t="shared" si="67"/>
        <v>0</v>
      </c>
      <c r="CV70" s="61">
        <f t="shared" si="68"/>
        <v>0</v>
      </c>
      <c r="CW70" s="43">
        <f t="shared" si="69"/>
        <v>0</v>
      </c>
      <c r="CX70" s="35">
        <f t="shared" si="70"/>
        <v>0</v>
      </c>
      <c r="CY70" s="36">
        <f t="shared" si="71"/>
        <v>0</v>
      </c>
      <c r="CZ70" s="35">
        <f t="shared" si="72"/>
        <v>0</v>
      </c>
      <c r="DA70" s="62">
        <f t="shared" si="73"/>
        <v>0</v>
      </c>
    </row>
    <row r="71" spans="2:105" x14ac:dyDescent="0.3">
      <c r="B71" s="1">
        <v>0.98817600000000005</v>
      </c>
      <c r="C71" s="1">
        <v>0.99778900000000004</v>
      </c>
      <c r="D71">
        <f t="shared" si="10"/>
        <v>100.19695193698313</v>
      </c>
      <c r="F71" s="1">
        <v>0.97345999999999999</v>
      </c>
      <c r="G71" s="1">
        <v>0.99513700000000005</v>
      </c>
      <c r="H71">
        <f t="shared" si="11"/>
        <v>98.833037726124147</v>
      </c>
      <c r="J71" s="1">
        <v>0.96789099999999995</v>
      </c>
      <c r="K71" s="1">
        <v>0.99101399999999995</v>
      </c>
      <c r="L71">
        <f t="shared" si="12"/>
        <v>97.490967949023428</v>
      </c>
      <c r="N71" s="1">
        <v>0.96324500000000002</v>
      </c>
      <c r="O71" s="1">
        <v>0.98881399999999997</v>
      </c>
      <c r="P71">
        <f t="shared" si="13"/>
        <v>97.274543025169834</v>
      </c>
      <c r="R71" s="1">
        <v>0.96900500000000001</v>
      </c>
      <c r="S71" s="1">
        <v>0.98962099999999997</v>
      </c>
      <c r="T71">
        <f t="shared" si="14"/>
        <v>95.2530153462112</v>
      </c>
      <c r="V71" s="1">
        <v>0.99985500000000005</v>
      </c>
      <c r="W71" s="1">
        <v>0.99995800000000001</v>
      </c>
      <c r="X71">
        <f t="shared" si="15"/>
        <v>94.184087070195346</v>
      </c>
      <c r="Z71" s="1">
        <v>1.0001199999999999</v>
      </c>
      <c r="AA71" s="1">
        <v>1.000011</v>
      </c>
      <c r="AB71">
        <f t="shared" si="16"/>
        <v>91.950035383263383</v>
      </c>
      <c r="AT71" s="61">
        <f t="shared" si="76"/>
        <v>1</v>
      </c>
      <c r="AU71" s="43" t="str">
        <f t="shared" si="20"/>
        <v>min</v>
      </c>
      <c r="AV71" s="35">
        <f t="shared" si="21"/>
        <v>0</v>
      </c>
      <c r="AW71" s="36">
        <f t="shared" si="22"/>
        <v>0</v>
      </c>
      <c r="AX71" s="35">
        <f t="shared" si="77"/>
        <v>0</v>
      </c>
      <c r="AY71" s="62">
        <f t="shared" ref="AY71:AY74" si="81">IF(AX71=0,0,C71)</f>
        <v>0</v>
      </c>
      <c r="AZ71" s="61">
        <f t="shared" si="79"/>
        <v>1</v>
      </c>
      <c r="BA71" s="43" t="str">
        <f t="shared" si="23"/>
        <v>min</v>
      </c>
      <c r="BB71" s="35">
        <f t="shared" si="75"/>
        <v>0</v>
      </c>
      <c r="BC71" s="36">
        <f t="shared" si="25"/>
        <v>0</v>
      </c>
      <c r="BD71" s="35">
        <f t="shared" si="26"/>
        <v>0</v>
      </c>
      <c r="BE71" s="62">
        <f t="shared" si="27"/>
        <v>0</v>
      </c>
      <c r="BF71" s="61">
        <f t="shared" si="28"/>
        <v>1</v>
      </c>
      <c r="BG71" s="43" t="str">
        <f t="shared" si="29"/>
        <v>min</v>
      </c>
      <c r="BH71" s="35">
        <f t="shared" si="30"/>
        <v>0</v>
      </c>
      <c r="BI71" s="36">
        <f t="shared" si="31"/>
        <v>0</v>
      </c>
      <c r="BJ71" s="35">
        <f t="shared" si="32"/>
        <v>0</v>
      </c>
      <c r="BK71" s="62">
        <f t="shared" si="33"/>
        <v>0</v>
      </c>
      <c r="BL71" s="61">
        <f t="shared" si="34"/>
        <v>1</v>
      </c>
      <c r="BM71" s="43" t="str">
        <f t="shared" si="35"/>
        <v>min</v>
      </c>
      <c r="BN71" s="35">
        <f t="shared" si="36"/>
        <v>0</v>
      </c>
      <c r="BO71" s="36">
        <f t="shared" si="37"/>
        <v>0</v>
      </c>
      <c r="BP71" s="35">
        <f t="shared" si="38"/>
        <v>0</v>
      </c>
      <c r="BQ71" s="62">
        <f t="shared" si="39"/>
        <v>0</v>
      </c>
      <c r="BR71" s="61">
        <f t="shared" si="40"/>
        <v>1</v>
      </c>
      <c r="BS71" s="43" t="str">
        <f t="shared" si="41"/>
        <v>min</v>
      </c>
      <c r="BT71" s="35">
        <f t="shared" si="42"/>
        <v>0</v>
      </c>
      <c r="BU71" s="36">
        <f t="shared" si="43"/>
        <v>0</v>
      </c>
      <c r="BV71" s="35">
        <f t="shared" si="44"/>
        <v>0</v>
      </c>
      <c r="BW71" s="62">
        <f t="shared" si="45"/>
        <v>0</v>
      </c>
      <c r="BX71" s="61">
        <f t="shared" si="46"/>
        <v>1</v>
      </c>
      <c r="BY71" s="43" t="str">
        <f t="shared" si="47"/>
        <v>min</v>
      </c>
      <c r="BZ71" s="35">
        <f t="shared" si="48"/>
        <v>0</v>
      </c>
      <c r="CA71" s="36">
        <f t="shared" si="49"/>
        <v>0</v>
      </c>
      <c r="CB71" s="35">
        <f t="shared" si="50"/>
        <v>0</v>
      </c>
      <c r="CC71" s="62">
        <f t="shared" si="51"/>
        <v>0</v>
      </c>
      <c r="CD71" s="61">
        <f t="shared" si="52"/>
        <v>1</v>
      </c>
      <c r="CE71" s="43">
        <f t="shared" si="53"/>
        <v>0</v>
      </c>
      <c r="CF71" s="35">
        <f t="shared" si="54"/>
        <v>0</v>
      </c>
      <c r="CG71" s="36">
        <f t="shared" si="55"/>
        <v>0</v>
      </c>
      <c r="CH71" s="35">
        <f t="shared" si="56"/>
        <v>0</v>
      </c>
      <c r="CI71" s="62">
        <f t="shared" si="74"/>
        <v>0</v>
      </c>
      <c r="CJ71" s="61">
        <f t="shared" si="57"/>
        <v>0</v>
      </c>
      <c r="CK71" s="43">
        <f t="shared" si="58"/>
        <v>0</v>
      </c>
      <c r="CL71" s="35">
        <f t="shared" si="59"/>
        <v>0</v>
      </c>
      <c r="CM71" s="36">
        <f t="shared" si="60"/>
        <v>0</v>
      </c>
      <c r="CN71" s="35">
        <f t="shared" si="61"/>
        <v>0</v>
      </c>
      <c r="CO71" s="62">
        <f t="shared" si="62"/>
        <v>0</v>
      </c>
      <c r="CP71" s="61">
        <f t="shared" si="63"/>
        <v>0</v>
      </c>
      <c r="CQ71" s="43">
        <f t="shared" si="64"/>
        <v>0</v>
      </c>
      <c r="CR71" s="35">
        <f t="shared" si="65"/>
        <v>0</v>
      </c>
      <c r="CS71" s="36">
        <f t="shared" si="66"/>
        <v>0</v>
      </c>
      <c r="CT71" s="35">
        <f t="shared" si="80"/>
        <v>0</v>
      </c>
      <c r="CU71" s="62">
        <f t="shared" si="67"/>
        <v>0</v>
      </c>
      <c r="CV71" s="61">
        <f t="shared" si="68"/>
        <v>0</v>
      </c>
      <c r="CW71" s="43">
        <f t="shared" si="69"/>
        <v>0</v>
      </c>
      <c r="CX71" s="35">
        <f t="shared" si="70"/>
        <v>0</v>
      </c>
      <c r="CY71" s="36">
        <f t="shared" si="71"/>
        <v>0</v>
      </c>
      <c r="CZ71" s="35">
        <f t="shared" si="72"/>
        <v>0</v>
      </c>
      <c r="DA71" s="62">
        <f t="shared" si="73"/>
        <v>0</v>
      </c>
    </row>
    <row r="72" spans="2:105" x14ac:dyDescent="0.3">
      <c r="B72" s="1">
        <v>0.999857</v>
      </c>
      <c r="C72" s="1">
        <v>1.0000100000000001</v>
      </c>
      <c r="D72">
        <f t="shared" ref="D72:D74" si="82">C72*C$2</f>
        <v>100.41998248778299</v>
      </c>
      <c r="F72" s="1">
        <v>0.98730799999999996</v>
      </c>
      <c r="G72" s="1">
        <v>0.99762399999999996</v>
      </c>
      <c r="H72">
        <f t="shared" ref="H72:H74" si="83">G72*G$2</f>
        <v>99.080036646699767</v>
      </c>
      <c r="J72" s="1">
        <v>0.98165999999999998</v>
      </c>
      <c r="K72" s="1">
        <v>0.99494800000000005</v>
      </c>
      <c r="L72">
        <f t="shared" ref="L72:L74" si="84">K72*K$2</f>
        <v>97.877975062859832</v>
      </c>
      <c r="N72" s="1">
        <v>0.97694800000000004</v>
      </c>
      <c r="O72" s="1">
        <v>0.99362700000000004</v>
      </c>
      <c r="P72">
        <f t="shared" ref="P72:P75" si="85">O72*O$2</f>
        <v>97.748021733582291</v>
      </c>
      <c r="R72" s="1">
        <v>0.98279000000000005</v>
      </c>
      <c r="S72" s="1">
        <v>0.99519999999999997</v>
      </c>
      <c r="T72">
        <f t="shared" ref="T72:T74" si="86">S72*S$2</f>
        <v>95.790005337951996</v>
      </c>
      <c r="V72" s="1">
        <v>1</v>
      </c>
      <c r="W72" s="1">
        <v>1</v>
      </c>
      <c r="X72">
        <f t="shared" ref="X72:X73" si="87">W72*W$2</f>
        <v>94.188042968000005</v>
      </c>
      <c r="Z72" s="1">
        <v>0</v>
      </c>
      <c r="AA72" s="1">
        <v>0</v>
      </c>
      <c r="AT72" s="61">
        <f t="shared" si="76"/>
        <v>1</v>
      </c>
      <c r="AU72" s="43" t="str">
        <f t="shared" ref="AU72:AU74" si="88">IF(AT73=1, "min",0)</f>
        <v>min</v>
      </c>
      <c r="AV72" s="35">
        <f t="shared" ref="AV72:AV74" si="89">IF($AT72=0,IF($AU72="min",B72,0),0)</f>
        <v>0</v>
      </c>
      <c r="AW72" s="36">
        <f t="shared" ref="AW72:AW74" si="90">IF(AV72=0,0,$C72)</f>
        <v>0</v>
      </c>
      <c r="AX72" s="35">
        <f t="shared" si="77"/>
        <v>0</v>
      </c>
      <c r="AY72" s="62">
        <f t="shared" si="81"/>
        <v>0</v>
      </c>
      <c r="AZ72" s="61">
        <f t="shared" si="79"/>
        <v>1</v>
      </c>
      <c r="BA72" s="43" t="str">
        <f t="shared" ref="BA72:BA74" si="91">IF(AZ73=1, "min",0)</f>
        <v>min</v>
      </c>
      <c r="BB72" s="35">
        <f t="shared" ref="BB72:BB74" si="92">IF($AZ72=0,IF($BA72="min",F72,0),0)</f>
        <v>0</v>
      </c>
      <c r="BC72" s="36">
        <f t="shared" ref="BC72:BC74" si="93">IF(BB72=0,0,$G72)</f>
        <v>0</v>
      </c>
      <c r="BD72" s="35">
        <f t="shared" ref="BD72:BD74" si="94">IF(BB71=0,0,F72)</f>
        <v>0</v>
      </c>
      <c r="BE72" s="62">
        <f t="shared" ref="BE72:BE74" si="95">IF(BD72=0,0,G72)</f>
        <v>0</v>
      </c>
      <c r="BF72" s="61">
        <f t="shared" ref="BF72:BF74" si="96">IF($AQ$4&gt;J72,0,1)</f>
        <v>1</v>
      </c>
      <c r="BG72" s="43" t="str">
        <f t="shared" ref="BG72:BG74" si="97">IF(BF73=1, "min",0)</f>
        <v>min</v>
      </c>
      <c r="BH72" s="35">
        <f t="shared" ref="BH72:BH74" si="98">IF(BF72=0,IF(BG72="min",J72,0),0)</f>
        <v>0</v>
      </c>
      <c r="BI72" s="36">
        <f t="shared" ref="BI72:BI74" si="99">IF(BH72=0,0,K72)</f>
        <v>0</v>
      </c>
      <c r="BJ72" s="35">
        <f t="shared" ref="BJ72:BJ74" si="100">IF(BH71=0,0,J72)</f>
        <v>0</v>
      </c>
      <c r="BK72" s="62">
        <f t="shared" ref="BK72:BK74" si="101">IF(BJ72=0,0,K72)</f>
        <v>0</v>
      </c>
      <c r="BL72" s="61">
        <f t="shared" ref="BL72:BL74" si="102">IF($AQ$4&gt;N72,0,1)</f>
        <v>1</v>
      </c>
      <c r="BM72" s="43" t="str">
        <f t="shared" ref="BM72:BM74" si="103">IF(BL73=1, "min",0)</f>
        <v>min</v>
      </c>
      <c r="BN72" s="35">
        <f t="shared" ref="BN72:BN74" si="104">IF(BL72=0,IF(BM72="min",N72,0),0)</f>
        <v>0</v>
      </c>
      <c r="BO72" s="36">
        <f t="shared" ref="BO72:BO73" si="105">IF(BN72=0,0,O72)</f>
        <v>0</v>
      </c>
      <c r="BP72" s="35">
        <f t="shared" ref="BP72:BP74" si="106">IF(BN71=0,0,N72)</f>
        <v>0</v>
      </c>
      <c r="BQ72" s="62">
        <f t="shared" ref="BQ72:BQ74" si="107">IF(BP72=0,0,O72)</f>
        <v>0</v>
      </c>
      <c r="BR72" s="61">
        <f t="shared" ref="BR72:BR74" si="108">IF($AQ$4&gt;R72,0,1)</f>
        <v>1</v>
      </c>
      <c r="BS72" s="43" t="str">
        <f t="shared" ref="BS72:BS74" si="109">IF(BR73=1, "min",0)</f>
        <v>min</v>
      </c>
      <c r="BT72" s="35">
        <f t="shared" ref="BT72:BT74" si="110">IF(BR72=0,IF(BS72="min",R72,0),0)</f>
        <v>0</v>
      </c>
      <c r="BU72" s="36">
        <f t="shared" ref="BU72:BU74" si="111">IF(BT72=0,0,$S72)</f>
        <v>0</v>
      </c>
      <c r="BV72" s="35">
        <f t="shared" ref="BV72:BV74" si="112">IF(BT71=0,0,R72)</f>
        <v>0</v>
      </c>
      <c r="BW72" s="62">
        <f t="shared" ref="BW72:BW74" si="113">IF(BV72=0,0,S72)</f>
        <v>0</v>
      </c>
      <c r="BX72" s="61">
        <f t="shared" ref="BX72:BX74" si="114">IF($AQ$4&gt;V72,0,1)</f>
        <v>1</v>
      </c>
      <c r="BY72" s="43" t="str">
        <f t="shared" ref="BY72:BY74" si="115">IF(BX73=1, "min",0)</f>
        <v>min</v>
      </c>
      <c r="BZ72" s="35">
        <f t="shared" ref="BZ72:BZ74" si="116">IF(BX72=0,IF(BY72="min",V72,0),0)</f>
        <v>0</v>
      </c>
      <c r="CA72" s="36">
        <f t="shared" ref="CA72:CA74" si="117">IF(BZ72=0,0,$W72)</f>
        <v>0</v>
      </c>
      <c r="CB72" s="35">
        <f t="shared" ref="CB72:CB74" si="118">IF(BZ71=0,0,V72)</f>
        <v>0</v>
      </c>
      <c r="CC72" s="62">
        <f t="shared" ref="CC72:CC73" si="119">IF(CB72=0,0,W72)</f>
        <v>0</v>
      </c>
      <c r="CD72" s="61">
        <f t="shared" ref="CD72:CD74" si="120">IF($AQ$4&gt;Z72,0,1)</f>
        <v>0</v>
      </c>
      <c r="CE72" s="43">
        <f t="shared" ref="CE72:CE74" si="121">IF(CD73=1, "min",0)</f>
        <v>0</v>
      </c>
      <c r="CF72" s="35">
        <f t="shared" ref="CF72:CF74" si="122">IF(CD72=0,IF(CE72="min",Z72,0),0)</f>
        <v>0</v>
      </c>
      <c r="CG72" s="36">
        <f t="shared" ref="CG72:CG74" si="123">IF(CF72=0,0,$AA72)</f>
        <v>0</v>
      </c>
      <c r="CH72" s="35">
        <f t="shared" ref="CH72:CH74" si="124">IF(CF71=0,0,Z72)</f>
        <v>0</v>
      </c>
      <c r="CI72" s="62">
        <f t="shared" ref="CI72:CI74" si="125">IF(CH72=0,0,AA72)</f>
        <v>0</v>
      </c>
      <c r="CJ72" s="61">
        <f t="shared" ref="CJ72:CJ74" si="126">IF($AQ$4&gt;AD72,0,1)</f>
        <v>0</v>
      </c>
      <c r="CK72" s="43">
        <f t="shared" ref="CK72:CK74" si="127">IF(CJ73=1, "min",0)</f>
        <v>0</v>
      </c>
      <c r="CL72" s="35">
        <f t="shared" ref="CL72:CL74" si="128">IF($CJ72=0,IF($CK72="min",AD72,0),0)</f>
        <v>0</v>
      </c>
      <c r="CM72" s="36">
        <f t="shared" ref="CM72:CM74" si="129">IF(CL72=0,0,$AE72)</f>
        <v>0</v>
      </c>
      <c r="CN72" s="35">
        <f t="shared" ref="CN72:CN74" si="130">IF(CL71=0,0,AD72)</f>
        <v>0</v>
      </c>
      <c r="CO72" s="62">
        <f t="shared" ref="CO72:CO74" si="131">IF(CN72=0,0,AE72)</f>
        <v>0</v>
      </c>
      <c r="CP72" s="61">
        <f t="shared" ref="CP72:CP74" si="132">IF($AQ$4&gt;AH72,0,1)</f>
        <v>0</v>
      </c>
      <c r="CQ72" s="43">
        <f t="shared" ref="CQ72:CQ74" si="133">IF(CP73=1, "min",0)</f>
        <v>0</v>
      </c>
      <c r="CR72" s="35">
        <f t="shared" ref="CR72:CR74" si="134">IF(CP72=0,IF(CQ72="min",AH72,0),0)</f>
        <v>0</v>
      </c>
      <c r="CS72" s="36">
        <f t="shared" ref="CS72:CS74" si="135">IF(CR72=0,0,$AI72)</f>
        <v>0</v>
      </c>
      <c r="CT72" s="35">
        <f t="shared" si="80"/>
        <v>0</v>
      </c>
      <c r="CU72" s="62">
        <f t="shared" ref="CU72:CU74" si="136">IF(CT72=0,0,AI72)</f>
        <v>0</v>
      </c>
      <c r="CV72" s="61">
        <f t="shared" ref="CV72:CV74" si="137">IF($AQ$4&gt;AL72,0,1)</f>
        <v>0</v>
      </c>
      <c r="CW72" s="43">
        <f t="shared" ref="CW72:CW74" si="138">IF(CV73=1, "min",0)</f>
        <v>0</v>
      </c>
      <c r="CX72" s="35">
        <f t="shared" ref="CX72:CX74" si="139">IF(CV72=0,IF(CW72="min",AL72,0),0)</f>
        <v>0</v>
      </c>
      <c r="CY72" s="36">
        <f t="shared" ref="CY72:CY74" si="140">IF(CX72=0,0,$AM72)</f>
        <v>0</v>
      </c>
      <c r="CZ72" s="35">
        <f t="shared" ref="CZ72:CZ74" si="141">IF(CX71=0,0,AL72)</f>
        <v>0</v>
      </c>
      <c r="DA72" s="62">
        <f t="shared" ref="DA72:DA74" si="142">IF(CZ72=0,0,AM72)</f>
        <v>0</v>
      </c>
    </row>
    <row r="73" spans="2:105" x14ac:dyDescent="0.3">
      <c r="B73" s="1">
        <v>0.99997100000000005</v>
      </c>
      <c r="C73" s="1">
        <v>1</v>
      </c>
      <c r="D73">
        <f t="shared" si="82"/>
        <v>100.418978298</v>
      </c>
      <c r="F73" s="1">
        <v>0.99997199999999997</v>
      </c>
      <c r="G73" s="1">
        <v>1</v>
      </c>
      <c r="H73">
        <f t="shared" si="83"/>
        <v>99.316011490000008</v>
      </c>
      <c r="J73" s="1">
        <v>0.99542900000000001</v>
      </c>
      <c r="K73" s="1">
        <v>0.99871900000000002</v>
      </c>
      <c r="L73">
        <f t="shared" si="84"/>
        <v>98.248947057337986</v>
      </c>
      <c r="N73" s="1">
        <v>0.99065099999999995</v>
      </c>
      <c r="O73" s="1">
        <v>0.99737299999999995</v>
      </c>
      <c r="P73">
        <f t="shared" si="85"/>
        <v>98.116534353925729</v>
      </c>
      <c r="R73" s="1">
        <v>0.99657499999999999</v>
      </c>
      <c r="S73" s="1">
        <v>0.99902299999999999</v>
      </c>
      <c r="T73">
        <f t="shared" si="86"/>
        <v>96.15797679133523</v>
      </c>
      <c r="V73" s="1">
        <v>1.0000869999999999</v>
      </c>
      <c r="W73" s="1">
        <v>1.0000420000000001</v>
      </c>
      <c r="X73">
        <f t="shared" si="87"/>
        <v>94.191998865804663</v>
      </c>
      <c r="AT73" s="61">
        <f t="shared" si="76"/>
        <v>1</v>
      </c>
      <c r="AU73" s="43" t="str">
        <f t="shared" si="88"/>
        <v>min</v>
      </c>
      <c r="AV73" s="35">
        <f t="shared" si="89"/>
        <v>0</v>
      </c>
      <c r="AW73" s="36">
        <f t="shared" si="90"/>
        <v>0</v>
      </c>
      <c r="AX73" s="35">
        <f t="shared" si="77"/>
        <v>0</v>
      </c>
      <c r="AY73" s="62">
        <f t="shared" si="81"/>
        <v>0</v>
      </c>
      <c r="AZ73" s="61">
        <f t="shared" si="79"/>
        <v>1</v>
      </c>
      <c r="BA73" s="43" t="str">
        <f t="shared" si="91"/>
        <v>min</v>
      </c>
      <c r="BB73" s="35">
        <f t="shared" si="92"/>
        <v>0</v>
      </c>
      <c r="BC73" s="36">
        <f t="shared" si="93"/>
        <v>0</v>
      </c>
      <c r="BD73" s="35">
        <f t="shared" si="94"/>
        <v>0</v>
      </c>
      <c r="BE73" s="62">
        <f t="shared" si="95"/>
        <v>0</v>
      </c>
      <c r="BF73" s="61">
        <f t="shared" si="96"/>
        <v>1</v>
      </c>
      <c r="BG73" s="43" t="str">
        <f t="shared" si="97"/>
        <v>min</v>
      </c>
      <c r="BH73" s="35">
        <f t="shared" si="98"/>
        <v>0</v>
      </c>
      <c r="BI73" s="36">
        <f t="shared" si="99"/>
        <v>0</v>
      </c>
      <c r="BJ73" s="35">
        <f t="shared" si="100"/>
        <v>0</v>
      </c>
      <c r="BK73" s="62">
        <f t="shared" si="101"/>
        <v>0</v>
      </c>
      <c r="BL73" s="61">
        <f t="shared" si="102"/>
        <v>1</v>
      </c>
      <c r="BM73" s="43" t="str">
        <f t="shared" si="103"/>
        <v>min</v>
      </c>
      <c r="BN73" s="35">
        <f t="shared" si="104"/>
        <v>0</v>
      </c>
      <c r="BO73" s="36">
        <f t="shared" si="105"/>
        <v>0</v>
      </c>
      <c r="BP73" s="35">
        <f t="shared" si="106"/>
        <v>0</v>
      </c>
      <c r="BQ73" s="62">
        <f t="shared" si="107"/>
        <v>0</v>
      </c>
      <c r="BR73" s="61">
        <f t="shared" si="108"/>
        <v>1</v>
      </c>
      <c r="BS73" s="43" t="str">
        <f t="shared" si="109"/>
        <v>min</v>
      </c>
      <c r="BT73" s="35">
        <f t="shared" si="110"/>
        <v>0</v>
      </c>
      <c r="BU73" s="36">
        <f t="shared" si="111"/>
        <v>0</v>
      </c>
      <c r="BV73" s="35">
        <f t="shared" si="112"/>
        <v>0</v>
      </c>
      <c r="BW73" s="62">
        <f t="shared" si="113"/>
        <v>0</v>
      </c>
      <c r="BX73" s="61">
        <f t="shared" si="114"/>
        <v>1</v>
      </c>
      <c r="BY73" s="43">
        <f t="shared" si="115"/>
        <v>0</v>
      </c>
      <c r="BZ73" s="35">
        <f t="shared" si="116"/>
        <v>0</v>
      </c>
      <c r="CA73" s="36">
        <f t="shared" si="117"/>
        <v>0</v>
      </c>
      <c r="CB73" s="35">
        <f t="shared" si="118"/>
        <v>0</v>
      </c>
      <c r="CC73" s="62">
        <f t="shared" si="119"/>
        <v>0</v>
      </c>
      <c r="CD73" s="61">
        <f t="shared" si="120"/>
        <v>0</v>
      </c>
      <c r="CE73" s="43">
        <f t="shared" si="121"/>
        <v>0</v>
      </c>
      <c r="CF73" s="35">
        <f t="shared" si="122"/>
        <v>0</v>
      </c>
      <c r="CG73" s="36">
        <f t="shared" si="123"/>
        <v>0</v>
      </c>
      <c r="CH73" s="35">
        <f t="shared" si="124"/>
        <v>0</v>
      </c>
      <c r="CI73" s="62">
        <f t="shared" si="125"/>
        <v>0</v>
      </c>
      <c r="CJ73" s="61">
        <f t="shared" si="126"/>
        <v>0</v>
      </c>
      <c r="CK73" s="43">
        <f t="shared" si="127"/>
        <v>0</v>
      </c>
      <c r="CL73" s="35">
        <f t="shared" si="128"/>
        <v>0</v>
      </c>
      <c r="CM73" s="36">
        <f t="shared" si="129"/>
        <v>0</v>
      </c>
      <c r="CN73" s="35">
        <f t="shared" si="130"/>
        <v>0</v>
      </c>
      <c r="CO73" s="62">
        <f t="shared" si="131"/>
        <v>0</v>
      </c>
      <c r="CP73" s="61">
        <f t="shared" si="132"/>
        <v>0</v>
      </c>
      <c r="CQ73" s="43">
        <f t="shared" si="133"/>
        <v>0</v>
      </c>
      <c r="CR73" s="35">
        <f t="shared" si="134"/>
        <v>0</v>
      </c>
      <c r="CS73" s="36">
        <f t="shared" si="135"/>
        <v>0</v>
      </c>
      <c r="CT73" s="35">
        <f t="shared" si="80"/>
        <v>0</v>
      </c>
      <c r="CU73" s="62">
        <f t="shared" si="136"/>
        <v>0</v>
      </c>
      <c r="CV73" s="61">
        <f t="shared" si="137"/>
        <v>0</v>
      </c>
      <c r="CW73" s="43">
        <f t="shared" si="138"/>
        <v>0</v>
      </c>
      <c r="CX73" s="35">
        <f t="shared" si="139"/>
        <v>0</v>
      </c>
      <c r="CY73" s="36">
        <f t="shared" si="140"/>
        <v>0</v>
      </c>
      <c r="CZ73" s="35">
        <f t="shared" si="141"/>
        <v>0</v>
      </c>
      <c r="DA73" s="62">
        <f t="shared" si="142"/>
        <v>0</v>
      </c>
    </row>
    <row r="74" spans="2:105" ht="15" thickBot="1" x14ac:dyDescent="0.35">
      <c r="B74" s="1">
        <v>1</v>
      </c>
      <c r="C74" s="1">
        <v>1</v>
      </c>
      <c r="D74">
        <f t="shared" si="82"/>
        <v>100.418978298</v>
      </c>
      <c r="F74" s="1">
        <v>1</v>
      </c>
      <c r="G74" s="1">
        <v>1</v>
      </c>
      <c r="H74">
        <f t="shared" si="83"/>
        <v>99.316011490000008</v>
      </c>
      <c r="J74" s="1">
        <v>1</v>
      </c>
      <c r="K74" s="1">
        <v>1</v>
      </c>
      <c r="L74">
        <f t="shared" si="84"/>
        <v>98.374965388000007</v>
      </c>
      <c r="N74" s="1">
        <v>0.99997199999999997</v>
      </c>
      <c r="O74" s="1">
        <v>1</v>
      </c>
      <c r="P74">
        <f t="shared" si="85"/>
        <v>98.374965388000007</v>
      </c>
      <c r="R74" s="1">
        <v>1</v>
      </c>
      <c r="S74" s="1">
        <v>1</v>
      </c>
      <c r="T74">
        <f t="shared" si="86"/>
        <v>96.252015009999994</v>
      </c>
      <c r="V74" s="1">
        <v>0</v>
      </c>
      <c r="W74" s="1">
        <v>0</v>
      </c>
      <c r="AT74" s="63">
        <f t="shared" si="76"/>
        <v>1</v>
      </c>
      <c r="AU74" s="64">
        <f t="shared" si="88"/>
        <v>0</v>
      </c>
      <c r="AV74" s="65">
        <f t="shared" si="89"/>
        <v>0</v>
      </c>
      <c r="AW74" s="66">
        <f t="shared" si="90"/>
        <v>0</v>
      </c>
      <c r="AX74" s="65">
        <f t="shared" si="77"/>
        <v>0</v>
      </c>
      <c r="AY74" s="67">
        <f t="shared" si="81"/>
        <v>0</v>
      </c>
      <c r="AZ74" s="63">
        <f t="shared" si="79"/>
        <v>1</v>
      </c>
      <c r="BA74" s="64">
        <f t="shared" si="91"/>
        <v>0</v>
      </c>
      <c r="BB74" s="65">
        <f t="shared" si="92"/>
        <v>0</v>
      </c>
      <c r="BC74" s="66">
        <f t="shared" si="93"/>
        <v>0</v>
      </c>
      <c r="BD74" s="65">
        <f t="shared" si="94"/>
        <v>0</v>
      </c>
      <c r="BE74" s="67">
        <f t="shared" si="95"/>
        <v>0</v>
      </c>
      <c r="BF74" s="63">
        <f t="shared" si="96"/>
        <v>1</v>
      </c>
      <c r="BG74" s="64">
        <f t="shared" si="97"/>
        <v>0</v>
      </c>
      <c r="BH74" s="65">
        <f t="shared" si="98"/>
        <v>0</v>
      </c>
      <c r="BI74" s="66">
        <f t="shared" si="99"/>
        <v>0</v>
      </c>
      <c r="BJ74" s="65">
        <f t="shared" si="100"/>
        <v>0</v>
      </c>
      <c r="BK74" s="67">
        <f t="shared" si="101"/>
        <v>0</v>
      </c>
      <c r="BL74" s="63">
        <f t="shared" si="102"/>
        <v>1</v>
      </c>
      <c r="BM74" s="64">
        <f t="shared" si="103"/>
        <v>0</v>
      </c>
      <c r="BN74" s="65">
        <f t="shared" si="104"/>
        <v>0</v>
      </c>
      <c r="BO74" s="66">
        <f>IF(BN74=0,0,O74)</f>
        <v>0</v>
      </c>
      <c r="BP74" s="65">
        <f t="shared" si="106"/>
        <v>0</v>
      </c>
      <c r="BQ74" s="67">
        <f t="shared" si="107"/>
        <v>0</v>
      </c>
      <c r="BR74" s="63">
        <f t="shared" si="108"/>
        <v>1</v>
      </c>
      <c r="BS74" s="64">
        <f t="shared" si="109"/>
        <v>0</v>
      </c>
      <c r="BT74" s="65">
        <f t="shared" si="110"/>
        <v>0</v>
      </c>
      <c r="BU74" s="66">
        <f t="shared" si="111"/>
        <v>0</v>
      </c>
      <c r="BV74" s="65">
        <f t="shared" si="112"/>
        <v>0</v>
      </c>
      <c r="BW74" s="67">
        <f t="shared" si="113"/>
        <v>0</v>
      </c>
      <c r="BX74" s="63">
        <f t="shared" si="114"/>
        <v>0</v>
      </c>
      <c r="BY74" s="64">
        <f t="shared" si="115"/>
        <v>0</v>
      </c>
      <c r="BZ74" s="65">
        <f t="shared" si="116"/>
        <v>0</v>
      </c>
      <c r="CA74" s="66">
        <f t="shared" si="117"/>
        <v>0</v>
      </c>
      <c r="CB74" s="65">
        <f t="shared" si="118"/>
        <v>0</v>
      </c>
      <c r="CC74" s="67">
        <f>IF(CB74=0,0,W74)</f>
        <v>0</v>
      </c>
      <c r="CD74" s="63">
        <f t="shared" si="120"/>
        <v>0</v>
      </c>
      <c r="CE74" s="64">
        <f t="shared" si="121"/>
        <v>0</v>
      </c>
      <c r="CF74" s="65">
        <f t="shared" si="122"/>
        <v>0</v>
      </c>
      <c r="CG74" s="66">
        <f t="shared" si="123"/>
        <v>0</v>
      </c>
      <c r="CH74" s="65">
        <f t="shared" si="124"/>
        <v>0</v>
      </c>
      <c r="CI74" s="67">
        <f t="shared" si="125"/>
        <v>0</v>
      </c>
      <c r="CJ74" s="63">
        <f t="shared" si="126"/>
        <v>0</v>
      </c>
      <c r="CK74" s="64">
        <f t="shared" si="127"/>
        <v>0</v>
      </c>
      <c r="CL74" s="65">
        <f t="shared" si="128"/>
        <v>0</v>
      </c>
      <c r="CM74" s="66">
        <f t="shared" si="129"/>
        <v>0</v>
      </c>
      <c r="CN74" s="65">
        <f t="shared" si="130"/>
        <v>0</v>
      </c>
      <c r="CO74" s="67">
        <f t="shared" si="131"/>
        <v>0</v>
      </c>
      <c r="CP74" s="63">
        <f t="shared" si="132"/>
        <v>0</v>
      </c>
      <c r="CQ74" s="64">
        <f t="shared" si="133"/>
        <v>0</v>
      </c>
      <c r="CR74" s="65">
        <f t="shared" si="134"/>
        <v>0</v>
      </c>
      <c r="CS74" s="66">
        <f t="shared" si="135"/>
        <v>0</v>
      </c>
      <c r="CT74" s="65">
        <f t="shared" si="80"/>
        <v>0</v>
      </c>
      <c r="CU74" s="67">
        <f t="shared" si="136"/>
        <v>0</v>
      </c>
      <c r="CV74" s="63">
        <f t="shared" si="137"/>
        <v>0</v>
      </c>
      <c r="CW74" s="64">
        <f t="shared" si="138"/>
        <v>0</v>
      </c>
      <c r="CX74" s="65">
        <f t="shared" si="139"/>
        <v>0</v>
      </c>
      <c r="CY74" s="66">
        <f t="shared" si="140"/>
        <v>0</v>
      </c>
      <c r="CZ74" s="65">
        <f t="shared" si="141"/>
        <v>0</v>
      </c>
      <c r="DA74" s="67">
        <f t="shared" si="142"/>
        <v>0</v>
      </c>
    </row>
    <row r="75" spans="2:105" x14ac:dyDescent="0.3">
      <c r="B75" s="1">
        <v>0</v>
      </c>
      <c r="C75" s="1">
        <v>0</v>
      </c>
      <c r="F75" s="1">
        <v>0</v>
      </c>
      <c r="G75" s="1">
        <v>0</v>
      </c>
      <c r="J75" s="1">
        <v>0</v>
      </c>
      <c r="K75" s="1">
        <v>0</v>
      </c>
      <c r="N75" s="1">
        <v>1</v>
      </c>
      <c r="O75" s="1">
        <v>1</v>
      </c>
      <c r="P75">
        <f t="shared" si="85"/>
        <v>98.374965388000007</v>
      </c>
      <c r="R75" s="1">
        <v>0</v>
      </c>
      <c r="S75" s="1">
        <v>0</v>
      </c>
      <c r="AV75" s="71">
        <f>SUM(AV6:AV74)</f>
        <v>0.88968700000000001</v>
      </c>
      <c r="AW75" s="71">
        <f t="shared" ref="AW75:DA75" si="143">SUM(AW6:AW74)</f>
        <v>0.97123099999999996</v>
      </c>
      <c r="AX75" s="71">
        <f t="shared" si="143"/>
        <v>0.90377300000000005</v>
      </c>
      <c r="AY75" s="71">
        <f t="shared" si="143"/>
        <v>0.97529399999999999</v>
      </c>
      <c r="AZ75" s="71"/>
      <c r="BA75" s="71"/>
      <c r="BB75" s="71">
        <f t="shared" si="143"/>
        <v>0.89031499999999997</v>
      </c>
      <c r="BC75" s="71">
        <f t="shared" si="143"/>
        <v>0.97153500000000004</v>
      </c>
      <c r="BD75" s="71">
        <f t="shared" si="143"/>
        <v>0.90416300000000005</v>
      </c>
      <c r="BE75" s="71">
        <f t="shared" si="143"/>
        <v>0.97545199999999999</v>
      </c>
      <c r="BF75" s="71"/>
      <c r="BG75" s="71"/>
      <c r="BH75" s="71">
        <f t="shared" si="143"/>
        <v>0.89898999999999996</v>
      </c>
      <c r="BI75" s="71">
        <f t="shared" si="143"/>
        <v>0.97029699999999997</v>
      </c>
      <c r="BJ75" s="71">
        <f t="shared" si="143"/>
        <v>0.91278700000000002</v>
      </c>
      <c r="BK75" s="71">
        <f t="shared" si="143"/>
        <v>0.97421100000000005</v>
      </c>
      <c r="BL75" s="71"/>
      <c r="BM75" s="71"/>
      <c r="BN75" s="71">
        <f t="shared" si="143"/>
        <v>0.894675</v>
      </c>
      <c r="BO75" s="71">
        <f t="shared" si="143"/>
        <v>0.96533400000000003</v>
      </c>
      <c r="BP75" s="71">
        <f t="shared" si="143"/>
        <v>0.90840600000000005</v>
      </c>
      <c r="BQ75" s="71">
        <f t="shared" si="143"/>
        <v>0.96917200000000003</v>
      </c>
      <c r="BR75" s="71"/>
      <c r="BS75" s="71"/>
      <c r="BT75" s="71">
        <f t="shared" si="143"/>
        <v>0.88624000000000003</v>
      </c>
      <c r="BU75" s="71">
        <f t="shared" si="143"/>
        <v>0.95930400000000005</v>
      </c>
      <c r="BV75" s="71">
        <f t="shared" si="143"/>
        <v>0.90002499999999996</v>
      </c>
      <c r="BW75" s="71">
        <f t="shared" si="143"/>
        <v>0.96336699999999997</v>
      </c>
      <c r="BX75" s="71"/>
      <c r="BY75" s="71"/>
      <c r="BZ75" s="71">
        <f t="shared" si="143"/>
        <v>0.88595000000000002</v>
      </c>
      <c r="CA75" s="71">
        <f t="shared" si="143"/>
        <v>0.958148</v>
      </c>
      <c r="CB75" s="71">
        <f t="shared" si="143"/>
        <v>0.90020299999999998</v>
      </c>
      <c r="CC75" s="71">
        <f t="shared" si="143"/>
        <v>0.96281899999999998</v>
      </c>
      <c r="CD75" s="71"/>
      <c r="CE75" s="71"/>
      <c r="CF75" s="71">
        <f t="shared" si="143"/>
        <v>0.888405</v>
      </c>
      <c r="CG75" s="71">
        <f t="shared" si="143"/>
        <v>0.95546399999999998</v>
      </c>
      <c r="CH75" s="71">
        <f t="shared" si="143"/>
        <v>0.903173</v>
      </c>
      <c r="CI75" s="71">
        <f t="shared" si="143"/>
        <v>0.96247899999999997</v>
      </c>
      <c r="CJ75" s="71"/>
      <c r="CK75" s="71"/>
      <c r="CL75" s="71">
        <f t="shared" si="143"/>
        <v>0.88739299999999999</v>
      </c>
      <c r="CM75" s="71">
        <f t="shared" si="143"/>
        <v>0.95135999999999998</v>
      </c>
      <c r="CN75" s="71">
        <f t="shared" si="143"/>
        <v>0.90265200000000001</v>
      </c>
      <c r="CO75" s="71">
        <f t="shared" si="143"/>
        <v>0.95900200000000002</v>
      </c>
      <c r="CP75" s="71"/>
      <c r="CQ75" s="71"/>
      <c r="CR75" s="71">
        <f t="shared" si="143"/>
        <v>0.88531800000000005</v>
      </c>
      <c r="CS75" s="71">
        <f t="shared" si="143"/>
        <v>0.94661399999999996</v>
      </c>
      <c r="CT75" s="71">
        <f t="shared" si="143"/>
        <v>0.90108299999999997</v>
      </c>
      <c r="CU75" s="71">
        <f t="shared" si="143"/>
        <v>0.95440800000000003</v>
      </c>
      <c r="CV75" s="71"/>
      <c r="CW75" s="71"/>
      <c r="CX75" s="71">
        <f t="shared" si="143"/>
        <v>0.89274200000000004</v>
      </c>
      <c r="CY75" s="71">
        <f t="shared" si="143"/>
        <v>0.94850000000000001</v>
      </c>
      <c r="CZ75" s="71">
        <f t="shared" si="143"/>
        <v>0.90926099999999999</v>
      </c>
      <c r="DA75" s="71">
        <f t="shared" si="143"/>
        <v>0.95662000000000003</v>
      </c>
    </row>
    <row r="76" spans="2:105" x14ac:dyDescent="0.3">
      <c r="N76" s="1">
        <v>0</v>
      </c>
      <c r="O76" s="1">
        <v>0</v>
      </c>
      <c r="AV76" s="71">
        <f>IF($AU$2=0,0,AV75)</f>
        <v>0</v>
      </c>
      <c r="AW76" s="71">
        <f t="shared" ref="AW76:AY76" si="144">IF($AU$2=0,0,AW75)</f>
        <v>0</v>
      </c>
      <c r="AX76" s="71">
        <f t="shared" si="144"/>
        <v>0</v>
      </c>
      <c r="AY76" s="71">
        <f t="shared" si="144"/>
        <v>0</v>
      </c>
      <c r="BB76" s="71">
        <f>IF($AU$2=0,IF($AV$2=0,0,BB75),BB75)</f>
        <v>0</v>
      </c>
      <c r="BC76" s="71">
        <f t="shared" ref="BC76:BE76" si="145">IF($AU$2=0,IF($AV$2=0,0,BC75),BC75)</f>
        <v>0</v>
      </c>
      <c r="BD76" s="71">
        <f t="shared" si="145"/>
        <v>0</v>
      </c>
      <c r="BE76" s="71">
        <f t="shared" si="145"/>
        <v>0</v>
      </c>
      <c r="BH76" s="71">
        <f>IF($AV$2=0,IF($AW$2=0,0,BH75),BH75)</f>
        <v>0</v>
      </c>
      <c r="BI76" s="71">
        <f t="shared" ref="BI76:BK76" si="146">IF($AV$2=0,IF($AW$2=0,0,BI75),BI75)</f>
        <v>0</v>
      </c>
      <c r="BJ76" s="71">
        <f t="shared" si="146"/>
        <v>0</v>
      </c>
      <c r="BK76" s="71">
        <f t="shared" si="146"/>
        <v>0</v>
      </c>
      <c r="BN76" s="71">
        <f>IF($AW$2=0,IF($AX$2=0,0,BN75),BN75)</f>
        <v>0</v>
      </c>
      <c r="BO76" s="71">
        <f t="shared" ref="BO76:BQ76" si="147">IF($AW$2=0,IF($AX$2=0,0,BO75),BO75)</f>
        <v>0</v>
      </c>
      <c r="BP76" s="71">
        <f t="shared" si="147"/>
        <v>0</v>
      </c>
      <c r="BQ76" s="71">
        <f t="shared" si="147"/>
        <v>0</v>
      </c>
      <c r="BT76" s="71">
        <f>IF($AX$2=0,IF($AY$2=0,0,BT75),BT75)</f>
        <v>0</v>
      </c>
      <c r="BU76" s="71">
        <f t="shared" ref="BU76:BW76" si="148">IF($AX$2=0,IF($AY$2=0,0,BU75),BU75)</f>
        <v>0</v>
      </c>
      <c r="BV76" s="71">
        <f t="shared" si="148"/>
        <v>0</v>
      </c>
      <c r="BW76" s="71">
        <f t="shared" si="148"/>
        <v>0</v>
      </c>
      <c r="BZ76" s="71">
        <f>IF($AY$2=0,IF($AZ$2=0,0,BZ75),BZ75)</f>
        <v>0</v>
      </c>
      <c r="CA76" s="71">
        <f t="shared" ref="CA76:CC76" si="149">IF($AY$2=0,IF($AZ$2=0,0,CA75),CA75)</f>
        <v>0</v>
      </c>
      <c r="CB76" s="71">
        <f t="shared" si="149"/>
        <v>0</v>
      </c>
      <c r="CC76" s="71">
        <f t="shared" si="149"/>
        <v>0</v>
      </c>
      <c r="CF76" s="71">
        <f>IF($AZ$2=0,IF($BA$2=0,0,CF75),CF75)</f>
        <v>0.888405</v>
      </c>
      <c r="CG76" s="71">
        <f t="shared" ref="CG76:CI76" si="150">IF($AZ$2=0,IF($BA$2=0,0,CG75),CG75)</f>
        <v>0.95546399999999998</v>
      </c>
      <c r="CH76" s="71">
        <f t="shared" si="150"/>
        <v>0.903173</v>
      </c>
      <c r="CI76" s="71">
        <f t="shared" si="150"/>
        <v>0.96247899999999997</v>
      </c>
      <c r="CL76" s="71">
        <f>IF($BA$2=0,IF($BB$2=0,0,CL75),CL75)</f>
        <v>0.88739299999999999</v>
      </c>
      <c r="CM76" s="71">
        <f t="shared" ref="CM76:CO76" si="151">IF($BA$2=0,IF($BB$2=0,0,CM75),CM75)</f>
        <v>0.95135999999999998</v>
      </c>
      <c r="CN76" s="71">
        <f t="shared" si="151"/>
        <v>0.90265200000000001</v>
      </c>
      <c r="CO76" s="71">
        <f t="shared" si="151"/>
        <v>0.95900200000000002</v>
      </c>
      <c r="CR76" s="71">
        <f>IF($BB$2=0,IF($BC$2=0,0,CR75),CR75)</f>
        <v>0</v>
      </c>
      <c r="CS76" s="71">
        <f t="shared" ref="CS76:CU76" si="152">IF($BB$2=0,IF($BC$2=0,0,CS75),CS75)</f>
        <v>0</v>
      </c>
      <c r="CT76" s="71">
        <f t="shared" si="152"/>
        <v>0</v>
      </c>
      <c r="CU76" s="71">
        <f t="shared" si="152"/>
        <v>0</v>
      </c>
      <c r="CX76" s="71">
        <f>IF($BC$2=0,0,CX75)</f>
        <v>0</v>
      </c>
      <c r="CY76" s="71">
        <f t="shared" ref="CY76:DA76" si="153">IF($BC$2=0,0,CY75)</f>
        <v>0</v>
      </c>
      <c r="CZ76" s="71">
        <f t="shared" si="153"/>
        <v>0</v>
      </c>
      <c r="DA76" s="71">
        <f t="shared" si="153"/>
        <v>0</v>
      </c>
    </row>
    <row r="77" spans="2:105" x14ac:dyDescent="0.3">
      <c r="AX77" s="74">
        <v>-20</v>
      </c>
      <c r="AY77" t="e">
        <f>(AY76-AW76)/(AX76-AV76)*($AQ$4-AV76)+AW76</f>
        <v>#DIV/0!</v>
      </c>
      <c r="BD77" s="74">
        <v>-15</v>
      </c>
      <c r="BE77" t="e">
        <f>(BE76-BC76)/(BD76-BB76)*($AQ$4-BB76)+BC76</f>
        <v>#DIV/0!</v>
      </c>
      <c r="BJ77" s="74">
        <v>-10</v>
      </c>
      <c r="BK77" t="e">
        <f>(BK76-BI76)/(BJ76-BH76)*($AQ$4-BH76)+BI76</f>
        <v>#DIV/0!</v>
      </c>
      <c r="BP77" s="74">
        <v>-5</v>
      </c>
      <c r="BQ77" t="e">
        <f>(BQ76-BO76)/(BP76-BN76)*($AQ$4-BN76)+BO76</f>
        <v>#DIV/0!</v>
      </c>
      <c r="BV77" s="74">
        <v>0</v>
      </c>
      <c r="BW77" t="e">
        <f>(BW76-BU76)/(BV76-BT76)*($AQ$4-BT76)+BU76</f>
        <v>#DIV/0!</v>
      </c>
      <c r="CB77" s="74">
        <v>5</v>
      </c>
      <c r="CC77" t="e">
        <f>(CC76-CA76)/(CB76-BZ76)*($AQ$4-BZ76)+CA76</f>
        <v>#DIV/0!</v>
      </c>
      <c r="CH77" s="74">
        <v>10</v>
      </c>
      <c r="CI77">
        <f>(CI76-CG76)/(CH76-CF76)*($AQ$4-CF76)+CG76</f>
        <v>0.9609717820287107</v>
      </c>
      <c r="CN77" s="74">
        <v>15</v>
      </c>
      <c r="CO77">
        <f>(CO76-CM76)/(CN76-CL76)*($AQ$4-CL76)+CM76</f>
        <v>0.95767382751163255</v>
      </c>
      <c r="CT77" s="74">
        <v>20</v>
      </c>
      <c r="CU77" t="e">
        <f>(CU76-CS76)/(CT76-CR76)*($AQ$4-CR76)+CS76</f>
        <v>#DIV/0!</v>
      </c>
      <c r="CZ77" s="74">
        <v>25</v>
      </c>
      <c r="DA77" t="e">
        <f>(DA76-CY76)/(CZ76-CX76)*($AQ$4-CX76)+CY76</f>
        <v>#DIV/0!</v>
      </c>
    </row>
    <row r="80" spans="2:105" x14ac:dyDescent="0.3">
      <c r="AS80" s="72" t="s">
        <v>60</v>
      </c>
      <c r="AT80">
        <f>IF(AU2="X",-20,0)</f>
        <v>0</v>
      </c>
      <c r="AU80">
        <f>IF(AU2="X",-15,0)</f>
        <v>0</v>
      </c>
      <c r="AV80" s="73">
        <f>SUM(AT80:AU80)</f>
        <v>0</v>
      </c>
      <c r="AW80">
        <f>IF($AV80=0,0,AY77)</f>
        <v>0</v>
      </c>
      <c r="AX80">
        <f>IF($AV80=0,0,BE77)</f>
        <v>0</v>
      </c>
    </row>
    <row r="81" spans="45:50" x14ac:dyDescent="0.3">
      <c r="AS81" s="72" t="s">
        <v>61</v>
      </c>
      <c r="AT81">
        <f>IF(AV2="X",-15,0)</f>
        <v>0</v>
      </c>
      <c r="AU81">
        <f>IF(AU2="X",-10,0)</f>
        <v>0</v>
      </c>
      <c r="AV81" s="73">
        <f t="shared" ref="AV81:AV88" si="154">SUM(AT81:AU81)</f>
        <v>0</v>
      </c>
      <c r="AW81">
        <f>IF($AV81=0,0,BE77)</f>
        <v>0</v>
      </c>
      <c r="AX81">
        <f>IF($AV81=0,0,BK77)</f>
        <v>0</v>
      </c>
    </row>
    <row r="82" spans="45:50" x14ac:dyDescent="0.3">
      <c r="AS82" s="72" t="s">
        <v>62</v>
      </c>
      <c r="AT82">
        <f>IF(AW2="X",-10,0)</f>
        <v>0</v>
      </c>
      <c r="AU82">
        <f>IF(AW2="X",-5,0)</f>
        <v>0</v>
      </c>
      <c r="AV82" s="73">
        <f t="shared" si="154"/>
        <v>0</v>
      </c>
      <c r="AW82">
        <f>IF($AV82=0,0,BK77)</f>
        <v>0</v>
      </c>
      <c r="AX82">
        <f>IF($AV82=0,0,BQ77)</f>
        <v>0</v>
      </c>
    </row>
    <row r="83" spans="45:50" x14ac:dyDescent="0.3">
      <c r="AS83" s="72" t="s">
        <v>63</v>
      </c>
      <c r="AT83">
        <f>IF(AX2="X",-5,0)</f>
        <v>0</v>
      </c>
      <c r="AU83">
        <f>IF(AX2="X",0,0)</f>
        <v>0</v>
      </c>
      <c r="AV83" s="73">
        <f t="shared" si="154"/>
        <v>0</v>
      </c>
      <c r="AW83">
        <f>IF($AV83=0,0,BQ77)</f>
        <v>0</v>
      </c>
      <c r="AX83">
        <f>IF($AV83=0,0,BW77)</f>
        <v>0</v>
      </c>
    </row>
    <row r="84" spans="45:50" x14ac:dyDescent="0.3">
      <c r="AS84" s="72" t="s">
        <v>64</v>
      </c>
      <c r="AT84">
        <f>IF(AY2="X",0,0)</f>
        <v>0</v>
      </c>
      <c r="AU84">
        <f>IF(AY2="X",5,0)</f>
        <v>0</v>
      </c>
      <c r="AV84" s="73">
        <f t="shared" si="154"/>
        <v>0</v>
      </c>
      <c r="AW84">
        <f>IF($AV84=0,0,BW77)</f>
        <v>0</v>
      </c>
      <c r="AX84">
        <f>IF($AV84=0,0,CC77)</f>
        <v>0</v>
      </c>
    </row>
    <row r="85" spans="45:50" x14ac:dyDescent="0.3">
      <c r="AS85" s="72" t="s">
        <v>65</v>
      </c>
      <c r="AT85">
        <f>IF(AZ2="X",5,0)</f>
        <v>0</v>
      </c>
      <c r="AU85">
        <f>IF(AZ2="X",10,0)</f>
        <v>0</v>
      </c>
      <c r="AV85" s="73">
        <f t="shared" si="154"/>
        <v>0</v>
      </c>
      <c r="AW85">
        <f>IF($AV85=0,0,CC77)</f>
        <v>0</v>
      </c>
      <c r="AX85">
        <f>IF($AV85=0,0,CI77)</f>
        <v>0</v>
      </c>
    </row>
    <row r="86" spans="45:50" x14ac:dyDescent="0.3">
      <c r="AS86" s="72" t="s">
        <v>66</v>
      </c>
      <c r="AT86">
        <f>IF(BA2="X",10,0)</f>
        <v>10</v>
      </c>
      <c r="AU86">
        <f>IF(BA2="X",15,0)</f>
        <v>15</v>
      </c>
      <c r="AV86" s="73">
        <f t="shared" si="154"/>
        <v>25</v>
      </c>
      <c r="AW86">
        <f>IF($AV86=0,0,CI77)</f>
        <v>0.9609717820287107</v>
      </c>
      <c r="AX86">
        <f>IF($AV86=0,0,CO77)</f>
        <v>0.95767382751163255</v>
      </c>
    </row>
    <row r="87" spans="45:50" x14ac:dyDescent="0.3">
      <c r="AS87" s="72" t="s">
        <v>67</v>
      </c>
      <c r="AT87">
        <f>IF(BB2="X",15,0)</f>
        <v>0</v>
      </c>
      <c r="AU87">
        <f>IF(BB2="X",20,0)</f>
        <v>0</v>
      </c>
      <c r="AV87" s="73">
        <f t="shared" si="154"/>
        <v>0</v>
      </c>
      <c r="AW87">
        <f>IF($AV87=0,0,CO77)</f>
        <v>0</v>
      </c>
      <c r="AX87">
        <f>IF($AV87=0,0,CU77)</f>
        <v>0</v>
      </c>
    </row>
    <row r="88" spans="45:50" x14ac:dyDescent="0.3">
      <c r="AS88" s="72" t="s">
        <v>68</v>
      </c>
      <c r="AT88">
        <f>IF(BC2="X",20,0)</f>
        <v>0</v>
      </c>
      <c r="AU88">
        <f>IF(BC2="X",25,0)</f>
        <v>0</v>
      </c>
      <c r="AV88" s="73">
        <f t="shared" si="154"/>
        <v>0</v>
      </c>
      <c r="AW88">
        <f>IF($AV88=0,0,CU77)</f>
        <v>0</v>
      </c>
      <c r="AX88">
        <f>IF($AV88=0,0,DA77)</f>
        <v>0</v>
      </c>
    </row>
    <row r="90" spans="45:50" x14ac:dyDescent="0.3">
      <c r="AT90">
        <f>SUM(AT80:AT88)</f>
        <v>10</v>
      </c>
      <c r="AU90">
        <f>SUM(AU80:AU88)</f>
        <v>15</v>
      </c>
      <c r="AW90">
        <f>SUM(AW80:AW88)</f>
        <v>0.9609717820287107</v>
      </c>
      <c r="AX90">
        <f>SUM(AX80:AX88)</f>
        <v>0.95767382751163255</v>
      </c>
    </row>
  </sheetData>
  <mergeCells count="2">
    <mergeCell ref="AQ6:AR6"/>
    <mergeCell ref="AP6:AP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DA90"/>
  <sheetViews>
    <sheetView topLeftCell="Z1" zoomScale="70" zoomScaleNormal="70" workbookViewId="0">
      <selection activeCell="AP13" sqref="AP13"/>
    </sheetView>
  </sheetViews>
  <sheetFormatPr defaultRowHeight="14.4" x14ac:dyDescent="0.3"/>
  <cols>
    <col min="2" max="2" width="13.44140625" customWidth="1"/>
    <col min="4" max="4" width="12.109375" bestFit="1" customWidth="1"/>
    <col min="6" max="6" width="13.44140625" bestFit="1" customWidth="1"/>
    <col min="8" max="8" width="12.109375" bestFit="1" customWidth="1"/>
    <col min="10" max="10" width="13.44140625" bestFit="1" customWidth="1"/>
    <col min="12" max="12" width="12.109375" bestFit="1" customWidth="1"/>
    <col min="14" max="14" width="13.44140625" bestFit="1" customWidth="1"/>
    <col min="16" max="16" width="12.109375" bestFit="1" customWidth="1"/>
    <col min="18" max="18" width="13.44140625" bestFit="1" customWidth="1"/>
    <col min="20" max="20" width="12.109375" bestFit="1" customWidth="1"/>
    <col min="22" max="22" width="13.44140625" bestFit="1" customWidth="1"/>
    <col min="24" max="24" width="12.109375" bestFit="1" customWidth="1"/>
    <col min="26" max="26" width="13.44140625" bestFit="1" customWidth="1"/>
    <col min="28" max="28" width="12.109375" bestFit="1" customWidth="1"/>
    <col min="30" max="30" width="13.44140625" bestFit="1" customWidth="1"/>
    <col min="32" max="32" width="12.109375" bestFit="1" customWidth="1"/>
    <col min="34" max="34" width="13.44140625" bestFit="1" customWidth="1"/>
    <col min="36" max="36" width="12.109375" bestFit="1" customWidth="1"/>
    <col min="38" max="38" width="13.44140625" bestFit="1" customWidth="1"/>
    <col min="40" max="40" width="12.109375" bestFit="1" customWidth="1"/>
    <col min="44" max="44" width="10.33203125" bestFit="1" customWidth="1"/>
    <col min="45" max="45" width="10.88671875" bestFit="1" customWidth="1"/>
  </cols>
  <sheetData>
    <row r="1" spans="2:105" x14ac:dyDescent="0.3">
      <c r="B1" s="3" t="s">
        <v>3</v>
      </c>
      <c r="C1">
        <v>-20</v>
      </c>
      <c r="D1" t="s">
        <v>4</v>
      </c>
      <c r="F1" s="3" t="s">
        <v>3</v>
      </c>
      <c r="G1">
        <v>-15</v>
      </c>
      <c r="H1" t="s">
        <v>4</v>
      </c>
      <c r="J1" s="3" t="s">
        <v>3</v>
      </c>
      <c r="K1">
        <v>-10</v>
      </c>
      <c r="L1" t="s">
        <v>4</v>
      </c>
      <c r="N1" s="3" t="s">
        <v>3</v>
      </c>
      <c r="O1">
        <v>-5</v>
      </c>
      <c r="P1" t="s">
        <v>4</v>
      </c>
      <c r="R1" s="3" t="s">
        <v>3</v>
      </c>
      <c r="S1">
        <v>0</v>
      </c>
      <c r="T1" t="s">
        <v>4</v>
      </c>
      <c r="V1" s="3" t="s">
        <v>3</v>
      </c>
      <c r="W1">
        <v>5</v>
      </c>
      <c r="X1" t="s">
        <v>4</v>
      </c>
      <c r="Z1" s="3" t="s">
        <v>3</v>
      </c>
      <c r="AA1">
        <v>10</v>
      </c>
      <c r="AB1" t="s">
        <v>4</v>
      </c>
      <c r="AD1" s="3" t="s">
        <v>3</v>
      </c>
      <c r="AE1">
        <v>15</v>
      </c>
      <c r="AF1" t="s">
        <v>4</v>
      </c>
      <c r="AH1" s="3" t="s">
        <v>3</v>
      </c>
      <c r="AI1">
        <v>20</v>
      </c>
      <c r="AJ1" t="s">
        <v>4</v>
      </c>
      <c r="AL1" s="3" t="s">
        <v>3</v>
      </c>
      <c r="AM1">
        <v>25</v>
      </c>
      <c r="AN1" t="s">
        <v>4</v>
      </c>
    </row>
    <row r="2" spans="2:105" ht="15" thickBot="1" x14ac:dyDescent="0.35">
      <c r="B2" s="3" t="s">
        <v>7</v>
      </c>
      <c r="C2">
        <f>'Tin_base load (1)'!P13</f>
        <v>484.94</v>
      </c>
      <c r="D2" t="s">
        <v>4</v>
      </c>
      <c r="F2" s="3" t="s">
        <v>7</v>
      </c>
      <c r="G2">
        <f>'Tin_base load (1)'!P18</f>
        <v>482.82</v>
      </c>
      <c r="H2" t="s">
        <v>4</v>
      </c>
      <c r="J2" s="3" t="s">
        <v>7</v>
      </c>
      <c r="K2">
        <f>'Tin_base load (1)'!P23</f>
        <v>496.09</v>
      </c>
      <c r="L2" t="s">
        <v>4</v>
      </c>
      <c r="N2" s="3" t="s">
        <v>7</v>
      </c>
      <c r="O2">
        <f>'Tin_base load (1)'!P28</f>
        <v>496.09</v>
      </c>
      <c r="P2" t="s">
        <v>4</v>
      </c>
      <c r="R2" s="3" t="s">
        <v>7</v>
      </c>
      <c r="S2">
        <f>'Tin_base load (1)'!P33</f>
        <v>518.49</v>
      </c>
      <c r="T2" t="s">
        <v>4</v>
      </c>
      <c r="V2" s="3" t="s">
        <v>7</v>
      </c>
      <c r="W2">
        <f>'Tin_base load (1)'!P38</f>
        <v>521.86</v>
      </c>
      <c r="X2" t="s">
        <v>4</v>
      </c>
      <c r="Z2" s="3" t="s">
        <v>7</v>
      </c>
      <c r="AA2">
        <f>'Tin_base load (1)'!P43</f>
        <v>525.79</v>
      </c>
      <c r="AB2" t="s">
        <v>4</v>
      </c>
      <c r="AD2" s="3" t="s">
        <v>7</v>
      </c>
      <c r="AE2">
        <f>'Tin_base load (1)'!P48</f>
        <v>529.51</v>
      </c>
      <c r="AF2" t="s">
        <v>4</v>
      </c>
      <c r="AH2" s="3" t="s">
        <v>7</v>
      </c>
      <c r="AI2">
        <f>'Tin_base load (1)'!P53</f>
        <v>533.24</v>
      </c>
      <c r="AJ2" t="s">
        <v>4</v>
      </c>
      <c r="AL2" s="3" t="s">
        <v>7</v>
      </c>
      <c r="AM2">
        <f>'Tin_base load (1)'!P58</f>
        <v>538.33000000000004</v>
      </c>
      <c r="AN2" t="s">
        <v>4</v>
      </c>
      <c r="AU2" s="41">
        <f>IF($AQ$3&gt;=AU3,IF($AQ$3&lt;AU4, "X",0),0)</f>
        <v>0</v>
      </c>
      <c r="AV2" s="41">
        <f t="shared" ref="AV2:BC2" si="0">IF($AQ$3&gt;=AV3,IF($AQ$3&lt;AV4, "X",0),0)</f>
        <v>0</v>
      </c>
      <c r="AW2" s="41">
        <f t="shared" si="0"/>
        <v>0</v>
      </c>
      <c r="AX2" s="41">
        <f t="shared" si="0"/>
        <v>0</v>
      </c>
      <c r="AY2" s="41">
        <f t="shared" si="0"/>
        <v>0</v>
      </c>
      <c r="AZ2" s="41">
        <f t="shared" si="0"/>
        <v>0</v>
      </c>
      <c r="BA2" s="41" t="str">
        <f t="shared" si="0"/>
        <v>X</v>
      </c>
      <c r="BB2" s="41">
        <f t="shared" si="0"/>
        <v>0</v>
      </c>
      <c r="BC2" s="41">
        <f t="shared" si="0"/>
        <v>0</v>
      </c>
    </row>
    <row r="3" spans="2:105" x14ac:dyDescent="0.3">
      <c r="AP3" s="51" t="s">
        <v>15</v>
      </c>
      <c r="AQ3" s="52">
        <f>'GT maps'!G4</f>
        <v>10</v>
      </c>
      <c r="AR3" s="53" t="s">
        <v>4</v>
      </c>
      <c r="AT3" t="s">
        <v>48</v>
      </c>
      <c r="AU3">
        <v>-20</v>
      </c>
      <c r="AV3">
        <v>-15</v>
      </c>
      <c r="AW3">
        <v>-10</v>
      </c>
      <c r="AX3">
        <v>-5</v>
      </c>
      <c r="AY3">
        <v>0</v>
      </c>
      <c r="AZ3">
        <v>5</v>
      </c>
      <c r="BA3">
        <v>10</v>
      </c>
      <c r="BB3">
        <v>15</v>
      </c>
      <c r="BC3">
        <v>20</v>
      </c>
    </row>
    <row r="4" spans="2:105" ht="15" thickBot="1" x14ac:dyDescent="0.35">
      <c r="AP4" s="54" t="s">
        <v>0</v>
      </c>
      <c r="AQ4" s="76">
        <f>'GT maps'!I13</f>
        <v>0.9</v>
      </c>
      <c r="AR4" s="55"/>
      <c r="AT4" t="s">
        <v>49</v>
      </c>
      <c r="AU4">
        <v>-15</v>
      </c>
      <c r="AV4">
        <v>-10</v>
      </c>
      <c r="AW4">
        <v>-5</v>
      </c>
      <c r="AX4">
        <v>0</v>
      </c>
      <c r="AY4">
        <v>5</v>
      </c>
      <c r="AZ4">
        <v>10</v>
      </c>
      <c r="BA4">
        <v>15</v>
      </c>
      <c r="BB4">
        <v>20</v>
      </c>
      <c r="BC4">
        <v>25</v>
      </c>
    </row>
    <row r="5" spans="2:105" ht="15" thickBot="1" x14ac:dyDescent="0.35">
      <c r="AP5" s="56"/>
      <c r="AQ5" s="77"/>
      <c r="AR5" s="56"/>
    </row>
    <row r="6" spans="2:105" x14ac:dyDescent="0.3">
      <c r="B6" s="5" t="s">
        <v>0</v>
      </c>
      <c r="C6" s="5"/>
      <c r="D6" s="5" t="s">
        <v>11</v>
      </c>
      <c r="E6" s="5"/>
      <c r="F6" s="5" t="s">
        <v>0</v>
      </c>
      <c r="G6" s="5"/>
      <c r="H6" s="5" t="s">
        <v>11</v>
      </c>
      <c r="I6" s="5"/>
      <c r="J6" s="5" t="s">
        <v>0</v>
      </c>
      <c r="K6" s="5"/>
      <c r="L6" s="5" t="s">
        <v>11</v>
      </c>
      <c r="M6" s="5"/>
      <c r="N6" s="5" t="s">
        <v>0</v>
      </c>
      <c r="O6" s="5"/>
      <c r="P6" s="5" t="s">
        <v>11</v>
      </c>
      <c r="Q6" s="5"/>
      <c r="R6" s="5" t="s">
        <v>0</v>
      </c>
      <c r="S6" s="5"/>
      <c r="T6" s="5" t="s">
        <v>11</v>
      </c>
      <c r="U6" s="5"/>
      <c r="V6" s="5" t="s">
        <v>0</v>
      </c>
      <c r="W6" s="5"/>
      <c r="X6" s="5" t="s">
        <v>11</v>
      </c>
      <c r="Y6" s="5"/>
      <c r="Z6" s="5" t="s">
        <v>0</v>
      </c>
      <c r="AA6" s="5"/>
      <c r="AB6" s="5" t="s">
        <v>11</v>
      </c>
      <c r="AC6" s="5"/>
      <c r="AD6" s="5" t="s">
        <v>0</v>
      </c>
      <c r="AE6" s="5"/>
      <c r="AF6" s="5" t="s">
        <v>11</v>
      </c>
      <c r="AG6" s="5"/>
      <c r="AH6" s="5" t="s">
        <v>0</v>
      </c>
      <c r="AI6" s="5"/>
      <c r="AJ6" s="5" t="s">
        <v>11</v>
      </c>
      <c r="AK6" s="5"/>
      <c r="AL6" s="5" t="s">
        <v>0</v>
      </c>
      <c r="AM6" s="5"/>
      <c r="AN6" s="5" t="s">
        <v>11</v>
      </c>
      <c r="AP6" s="154" t="s">
        <v>78</v>
      </c>
      <c r="AQ6" s="150" t="s">
        <v>42</v>
      </c>
      <c r="AR6" s="151"/>
      <c r="AT6" s="68" t="s">
        <v>52</v>
      </c>
      <c r="AU6" s="69"/>
      <c r="AV6" s="57">
        <v>0</v>
      </c>
      <c r="AW6" s="58"/>
      <c r="AX6" s="59"/>
      <c r="AY6" s="60"/>
      <c r="AZ6" s="68" t="s">
        <v>51</v>
      </c>
      <c r="BA6" s="69"/>
      <c r="BB6" s="57">
        <v>0</v>
      </c>
      <c r="BC6" s="58"/>
      <c r="BD6" s="59"/>
      <c r="BE6" s="60"/>
      <c r="BF6" s="70" t="s">
        <v>50</v>
      </c>
      <c r="BG6" s="69"/>
      <c r="BH6" s="57">
        <v>0</v>
      </c>
      <c r="BI6" s="58"/>
      <c r="BJ6" s="59"/>
      <c r="BK6" s="60"/>
      <c r="BL6" s="102" t="s">
        <v>53</v>
      </c>
      <c r="BM6" s="103"/>
      <c r="BN6" s="57">
        <v>0</v>
      </c>
      <c r="BO6" s="58"/>
      <c r="BP6" s="59"/>
      <c r="BQ6" s="60"/>
      <c r="BR6" s="68" t="s">
        <v>54</v>
      </c>
      <c r="BS6" s="69"/>
      <c r="BT6" s="57">
        <v>0</v>
      </c>
      <c r="BU6" s="58"/>
      <c r="BV6" s="59"/>
      <c r="BW6" s="60"/>
      <c r="BX6" s="68" t="s">
        <v>55</v>
      </c>
      <c r="BY6" s="69"/>
      <c r="BZ6" s="57">
        <v>0</v>
      </c>
      <c r="CA6" s="58"/>
      <c r="CB6" s="59"/>
      <c r="CC6" s="60"/>
      <c r="CD6" s="68" t="s">
        <v>56</v>
      </c>
      <c r="CE6" s="69"/>
      <c r="CF6" s="57">
        <v>0</v>
      </c>
      <c r="CG6" s="58"/>
      <c r="CH6" s="59"/>
      <c r="CI6" s="60"/>
      <c r="CJ6" s="68" t="s">
        <v>57</v>
      </c>
      <c r="CK6" s="69"/>
      <c r="CL6" s="57">
        <v>0</v>
      </c>
      <c r="CM6" s="58"/>
      <c r="CN6" s="59"/>
      <c r="CO6" s="60"/>
      <c r="CP6" s="100" t="s">
        <v>58</v>
      </c>
      <c r="CQ6" s="101"/>
      <c r="CR6" s="57">
        <v>0</v>
      </c>
      <c r="CS6" s="79"/>
      <c r="CT6" s="59"/>
      <c r="CU6" s="60"/>
      <c r="CV6" s="68" t="s">
        <v>59</v>
      </c>
      <c r="CW6" s="69"/>
      <c r="CX6" s="57">
        <v>0</v>
      </c>
      <c r="CY6" s="58"/>
      <c r="CZ6" s="59"/>
      <c r="DA6" s="60"/>
    </row>
    <row r="7" spans="2:105" ht="15" thickBot="1" x14ac:dyDescent="0.35">
      <c r="B7" s="1">
        <v>8.1281000000000006E-2</v>
      </c>
      <c r="C7" s="1">
        <v>-88.91</v>
      </c>
      <c r="D7">
        <f>C7+C$2</f>
        <v>396.03</v>
      </c>
      <c r="F7" s="1">
        <v>8.0071000000000003E-2</v>
      </c>
      <c r="G7" s="1">
        <v>-74.069999999999993</v>
      </c>
      <c r="H7">
        <f>G7+G$2</f>
        <v>408.75</v>
      </c>
      <c r="J7" s="1">
        <v>7.9613000000000003E-2</v>
      </c>
      <c r="K7" s="1">
        <v>-74.64</v>
      </c>
      <c r="L7">
        <f>K7+K$2</f>
        <v>421.45</v>
      </c>
      <c r="N7" s="1">
        <v>7.9230999999999996E-2</v>
      </c>
      <c r="O7" s="1">
        <v>-75.209999999999994</v>
      </c>
      <c r="P7">
        <f>O7+O$2</f>
        <v>420.88</v>
      </c>
      <c r="R7" s="1">
        <v>7.9704999999999998E-2</v>
      </c>
      <c r="S7" s="1">
        <v>-77.989999999999995</v>
      </c>
      <c r="T7">
        <f>S7+S$2</f>
        <v>440.5</v>
      </c>
      <c r="V7" s="1">
        <v>8.2241999999999996E-2</v>
      </c>
      <c r="W7" s="1">
        <v>-65.319999999999993</v>
      </c>
      <c r="X7">
        <f>W7+W$2</f>
        <v>456.54</v>
      </c>
      <c r="Z7" s="1">
        <v>8.5211999999999996E-2</v>
      </c>
      <c r="AA7" s="1">
        <v>-57.07</v>
      </c>
      <c r="AB7">
        <f>AA7+AA$2</f>
        <v>468.71999999999997</v>
      </c>
      <c r="AD7" s="1">
        <v>8.8044999999999998E-2</v>
      </c>
      <c r="AE7" s="1">
        <v>-48.64</v>
      </c>
      <c r="AF7">
        <f>AE7+AE$2</f>
        <v>480.87</v>
      </c>
      <c r="AH7" s="1">
        <v>9.0969999999999995E-2</v>
      </c>
      <c r="AI7" s="1">
        <v>-40.270000000000003</v>
      </c>
      <c r="AJ7">
        <f>AI7+AI$2</f>
        <v>492.97</v>
      </c>
      <c r="AL7" s="1">
        <v>9.5128000000000004E-2</v>
      </c>
      <c r="AM7" s="1">
        <v>-33.340000000000003</v>
      </c>
      <c r="AN7">
        <f>AM7+AM$2</f>
        <v>504.99</v>
      </c>
      <c r="AP7" s="155"/>
      <c r="AQ7" s="49"/>
      <c r="AR7" s="78">
        <f>(AX90-AW90)/(AU90-AT90)*($AQ$3-AT90)+AW90</f>
        <v>-22.376318391115923</v>
      </c>
      <c r="AT7" s="61">
        <f t="shared" ref="AT7:AT38" si="1">IF($AQ$4&gt;B7,0,1)</f>
        <v>0</v>
      </c>
      <c r="AU7" s="43">
        <f t="shared" ref="AU7:AU70" si="2">IF(AT8=1, "min",0)</f>
        <v>0</v>
      </c>
      <c r="AV7" s="35">
        <f t="shared" ref="AV7:AV38" si="3">IF($AT7=0,IF($AU7="min",B7,0),0)</f>
        <v>0</v>
      </c>
      <c r="AW7" s="36">
        <f>IF(AV7=0,0,$C7)</f>
        <v>0</v>
      </c>
      <c r="AX7" s="35">
        <f t="shared" ref="AX7:AX38" si="4">IF(AV6=0,0,B7)</f>
        <v>0</v>
      </c>
      <c r="AY7" s="62">
        <f t="shared" ref="AY7:AY38" si="5">IF(AX7=0,0,C7)</f>
        <v>0</v>
      </c>
      <c r="AZ7" s="61">
        <f t="shared" ref="AZ7:AZ38" si="6">IF($AQ$4&gt;F7,0,1)</f>
        <v>0</v>
      </c>
      <c r="BA7" s="43">
        <f t="shared" ref="BA7:BA70" si="7">IF(AZ8=1, "min",0)</f>
        <v>0</v>
      </c>
      <c r="BB7" s="35">
        <f>IF(AZ7=0,IF(BA7="min",F7,0),0)</f>
        <v>0</v>
      </c>
      <c r="BC7" s="36">
        <f>IF(BB7=0,0,$G7)</f>
        <v>0</v>
      </c>
      <c r="BD7" s="35">
        <f>IF(BB6=0,0,F7)</f>
        <v>0</v>
      </c>
      <c r="BE7" s="62">
        <f>IF(BD7=0,0,G7)</f>
        <v>0</v>
      </c>
      <c r="BF7" s="61">
        <f>IF($AQ$4&gt;J7,0,1)</f>
        <v>0</v>
      </c>
      <c r="BG7" s="43">
        <f t="shared" ref="BG7:BG70" si="8">IF(BF8=1, "min",0)</f>
        <v>0</v>
      </c>
      <c r="BH7" s="35">
        <f>IF(BF7=0,IF(BG7="min",J7,0),0)</f>
        <v>0</v>
      </c>
      <c r="BI7" s="36">
        <f>IF(BH7=0,0,K7)</f>
        <v>0</v>
      </c>
      <c r="BJ7" s="35">
        <f>IF(BH6=0,0,J7)</f>
        <v>0</v>
      </c>
      <c r="BK7" s="62">
        <f>IF(BJ7=0,0,K7)</f>
        <v>0</v>
      </c>
      <c r="BL7" s="61">
        <f>IF($AQ$4&gt;N7,0,1)</f>
        <v>0</v>
      </c>
      <c r="BM7" s="43">
        <f>IF(BL8=1, "min",0)</f>
        <v>0</v>
      </c>
      <c r="BN7" s="35">
        <f>IF(BL7=0,IF(BM7="min",N7,0),0)</f>
        <v>0</v>
      </c>
      <c r="BO7" s="36">
        <f>IF(BN7=0,0,O7)</f>
        <v>0</v>
      </c>
      <c r="BP7" s="35">
        <f>IF(BN6=0,0,N7)</f>
        <v>0</v>
      </c>
      <c r="BQ7" s="62">
        <f>IF(BP7=0,0,O7)</f>
        <v>0</v>
      </c>
      <c r="BR7" s="61">
        <f>IF($AQ$4&gt;R7,0,1)</f>
        <v>0</v>
      </c>
      <c r="BS7" s="43">
        <f>IF(BR8=1, "min",0)</f>
        <v>0</v>
      </c>
      <c r="BT7" s="35">
        <f>IF(BR7=0,IF(BS7="min",R7,0),0)</f>
        <v>0</v>
      </c>
      <c r="BU7" s="36">
        <f>IF(BT7=0,0,$S7)</f>
        <v>0</v>
      </c>
      <c r="BV7" s="35">
        <f>IF(BT6=0,0,R7)</f>
        <v>0</v>
      </c>
      <c r="BW7" s="62">
        <f>IF(BV7=0,0,S7)</f>
        <v>0</v>
      </c>
      <c r="BX7" s="61">
        <f>IF($AQ$4&gt;V7,0,1)</f>
        <v>0</v>
      </c>
      <c r="BY7" s="43">
        <f>IF(BX8=1, "min",0)</f>
        <v>0</v>
      </c>
      <c r="BZ7" s="35">
        <f>IF(BX7=0,IF(BY7="min",V7,0),0)</f>
        <v>0</v>
      </c>
      <c r="CA7" s="36">
        <f>IF(BZ7=0,0,$W7)</f>
        <v>0</v>
      </c>
      <c r="CB7" s="35">
        <f>IF(BZ6=0,0,V7)</f>
        <v>0</v>
      </c>
      <c r="CC7" s="62">
        <f>IF(CB7=0,0,W7)</f>
        <v>0</v>
      </c>
      <c r="CD7" s="61">
        <f>IF($AQ$4&gt;Z7,0,1)</f>
        <v>0</v>
      </c>
      <c r="CE7" s="43">
        <f t="shared" ref="CE7:CE70" si="9">IF(CD8=1, "min",0)</f>
        <v>0</v>
      </c>
      <c r="CF7" s="35">
        <f>IF(CD7=0,IF(CE7="min",Z7,0),0)</f>
        <v>0</v>
      </c>
      <c r="CG7" s="36">
        <f>IF(CF7=0,0,$AA7)</f>
        <v>0</v>
      </c>
      <c r="CH7" s="35">
        <f>IF(CF6=0,0,Z7)</f>
        <v>0</v>
      </c>
      <c r="CI7" s="62">
        <f>IF(CH7=0,0,AA7)</f>
        <v>0</v>
      </c>
      <c r="CJ7" s="61">
        <f>IF($AQ$4&gt;AD7,0,1)</f>
        <v>0</v>
      </c>
      <c r="CK7" s="43">
        <f>IF(CJ8=1, "min",0)</f>
        <v>0</v>
      </c>
      <c r="CL7" s="35">
        <f>IF($CJ7=0,IF($CK7="min",AD7,0),0)</f>
        <v>0</v>
      </c>
      <c r="CM7" s="36">
        <f>IF(CL7=0,0,$AE7)</f>
        <v>0</v>
      </c>
      <c r="CN7" s="35">
        <f>IF(CL6=0,0,AD7)</f>
        <v>0</v>
      </c>
      <c r="CO7" s="62">
        <f>IF(CN7=0,0,AE7)</f>
        <v>0</v>
      </c>
      <c r="CP7" s="61">
        <f>IF($AQ$4&gt;AH7,0,1)</f>
        <v>0</v>
      </c>
      <c r="CQ7" s="43">
        <f>IF(CP8=1, "min",0)</f>
        <v>0</v>
      </c>
      <c r="CR7" s="35">
        <f>IF(CP7=0,IF(CQ7="min",AH7,0),0)</f>
        <v>0</v>
      </c>
      <c r="CS7" s="43">
        <f>IF(CR7=0,0,$AI7)</f>
        <v>0</v>
      </c>
      <c r="CT7" s="43">
        <f t="shared" ref="CT7:CT57" si="10">IF(CR6=0,0,AH7)</f>
        <v>0</v>
      </c>
      <c r="CU7" s="62">
        <f>IF(CT7=0,0,AI7)</f>
        <v>0</v>
      </c>
      <c r="CV7" s="61">
        <f>IF($AQ$4&gt;AL7,0,1)</f>
        <v>0</v>
      </c>
      <c r="CW7" s="43">
        <f>IF(CV8=1, "min",0)</f>
        <v>0</v>
      </c>
      <c r="CX7" s="35">
        <f>IF(CV7=0,IF(CW7="min",AL7,0),0)</f>
        <v>0</v>
      </c>
      <c r="CY7" s="36">
        <f>IF(CX7=0,0,$AM7)</f>
        <v>0</v>
      </c>
      <c r="CZ7" s="35">
        <f>IF(CX6=0,0,AL7)</f>
        <v>0</v>
      </c>
      <c r="DA7" s="62">
        <f>IF(CZ7=0,0,AM7)</f>
        <v>0</v>
      </c>
    </row>
    <row r="8" spans="2:105" x14ac:dyDescent="0.3">
      <c r="B8" s="1">
        <v>9.5568E-2</v>
      </c>
      <c r="C8" s="1">
        <v>-86.25</v>
      </c>
      <c r="D8">
        <f t="shared" ref="D8:D71" si="11">C8+C$2</f>
        <v>398.69</v>
      </c>
      <c r="F8" s="1">
        <v>9.4145000000000006E-2</v>
      </c>
      <c r="G8" s="1">
        <v>-71.38</v>
      </c>
      <c r="H8">
        <f t="shared" ref="H8:H71" si="12">G8+G$2</f>
        <v>411.44</v>
      </c>
      <c r="J8" s="1">
        <v>9.3605999999999995E-2</v>
      </c>
      <c r="K8" s="1">
        <v>-71.92</v>
      </c>
      <c r="L8">
        <f t="shared" ref="L8:L71" si="13">K8+K$2</f>
        <v>424.16999999999996</v>
      </c>
      <c r="N8" s="1">
        <v>9.3157000000000004E-2</v>
      </c>
      <c r="O8" s="1">
        <v>-78.989999999999995</v>
      </c>
      <c r="P8">
        <f t="shared" ref="P8:P71" si="14">O8+O$2</f>
        <v>417.09999999999997</v>
      </c>
      <c r="R8" s="1">
        <v>9.3714000000000006E-2</v>
      </c>
      <c r="S8" s="1">
        <v>-71.760000000000005</v>
      </c>
      <c r="T8">
        <f t="shared" ref="T8:T71" si="15">S8+S$2</f>
        <v>446.73</v>
      </c>
      <c r="V8" s="1">
        <v>9.6698000000000006E-2</v>
      </c>
      <c r="W8" s="1">
        <v>-62.92</v>
      </c>
      <c r="X8">
        <f t="shared" ref="X8:X71" si="16">W8+W$2</f>
        <v>458.94</v>
      </c>
      <c r="Z8" s="1">
        <v>0.100189</v>
      </c>
      <c r="AA8" s="1">
        <v>-54.67</v>
      </c>
      <c r="AB8">
        <f t="shared" ref="AB8:AB71" si="17">AA8+AA$2</f>
        <v>471.11999999999995</v>
      </c>
      <c r="AD8" s="1">
        <v>0.10352</v>
      </c>
      <c r="AE8" s="1">
        <v>-46.26</v>
      </c>
      <c r="AF8">
        <f t="shared" ref="AF8:AF67" si="18">AE8+AE$2</f>
        <v>483.25</v>
      </c>
      <c r="AH8" s="1">
        <v>0.10696</v>
      </c>
      <c r="AI8" s="1">
        <v>-37.880000000000003</v>
      </c>
      <c r="AJ8">
        <f t="shared" ref="AJ8:AJ66" si="19">AI8+AI$2</f>
        <v>495.36</v>
      </c>
      <c r="AL8" s="1">
        <v>0.111848</v>
      </c>
      <c r="AM8" s="1">
        <v>-38.270000000000003</v>
      </c>
      <c r="AN8">
        <f t="shared" ref="AN8:AN64" si="20">AM8+AM$2</f>
        <v>500.06000000000006</v>
      </c>
      <c r="AT8" s="61">
        <f t="shared" si="1"/>
        <v>0</v>
      </c>
      <c r="AU8" s="43">
        <f t="shared" si="2"/>
        <v>0</v>
      </c>
      <c r="AV8" s="35">
        <f t="shared" si="3"/>
        <v>0</v>
      </c>
      <c r="AW8" s="36">
        <f t="shared" ref="AW8:AW71" si="21">IF(AV8=0,0,$C8)</f>
        <v>0</v>
      </c>
      <c r="AX8" s="35">
        <f t="shared" si="4"/>
        <v>0</v>
      </c>
      <c r="AY8" s="62">
        <f t="shared" si="5"/>
        <v>0</v>
      </c>
      <c r="AZ8" s="61">
        <f t="shared" si="6"/>
        <v>0</v>
      </c>
      <c r="BA8" s="43">
        <f t="shared" si="7"/>
        <v>0</v>
      </c>
      <c r="BB8" s="35">
        <f t="shared" ref="BB8:BB10" si="22">IF(AZ8=0,IF(BA8="min",F8,0),0)</f>
        <v>0</v>
      </c>
      <c r="BC8" s="36">
        <f t="shared" ref="BC8:BC71" si="23">IF(BB8=0,0,$G8)</f>
        <v>0</v>
      </c>
      <c r="BD8" s="35">
        <f t="shared" ref="BD8:BD71" si="24">IF(BB7=0,0,F8)</f>
        <v>0</v>
      </c>
      <c r="BE8" s="62">
        <f t="shared" ref="BE8:BE71" si="25">IF(BD8=0,0,G8)</f>
        <v>0</v>
      </c>
      <c r="BF8" s="61">
        <f t="shared" ref="BF8:BF71" si="26">IF($AQ$4&gt;J8,0,1)</f>
        <v>0</v>
      </c>
      <c r="BG8" s="43">
        <f t="shared" si="8"/>
        <v>0</v>
      </c>
      <c r="BH8" s="35">
        <f t="shared" ref="BH8:BH71" si="27">IF(BF8=0,IF(BG8="min",J8,0),0)</f>
        <v>0</v>
      </c>
      <c r="BI8" s="36">
        <f t="shared" ref="BI8:BI71" si="28">IF(BH8=0,0,K8)</f>
        <v>0</v>
      </c>
      <c r="BJ8" s="35">
        <f t="shared" ref="BJ8:BJ71" si="29">IF(BH7=0,0,J8)</f>
        <v>0</v>
      </c>
      <c r="BK8" s="62">
        <f t="shared" ref="BK8:BK71" si="30">IF(BJ8=0,0,K8)</f>
        <v>0</v>
      </c>
      <c r="BL8" s="61">
        <f t="shared" ref="BL8:BL71" si="31">IF($AQ$4&gt;N8,0,1)</f>
        <v>0</v>
      </c>
      <c r="BM8" s="43">
        <f t="shared" ref="BM8:BM71" si="32">IF(BL9=1, "min",0)</f>
        <v>0</v>
      </c>
      <c r="BN8" s="35">
        <f t="shared" ref="BN8:BN71" si="33">IF(BL8=0,IF(BM8="min",N8,0),0)</f>
        <v>0</v>
      </c>
      <c r="BO8" s="36">
        <f t="shared" ref="BO8:BO71" si="34">IF(BN8=0,0,O8)</f>
        <v>0</v>
      </c>
      <c r="BP8" s="35">
        <f t="shared" ref="BP8:BP71" si="35">IF(BN7=0,0,N8)</f>
        <v>0</v>
      </c>
      <c r="BQ8" s="62">
        <f t="shared" ref="BQ8:BQ71" si="36">IF(BP8=0,0,O8)</f>
        <v>0</v>
      </c>
      <c r="BR8" s="61">
        <f t="shared" ref="BR8:BR71" si="37">IF($AQ$4&gt;R8,0,1)</f>
        <v>0</v>
      </c>
      <c r="BS8" s="43">
        <f t="shared" ref="BS8:BS71" si="38">IF(BR9=1, "min",0)</f>
        <v>0</v>
      </c>
      <c r="BT8" s="35">
        <f t="shared" ref="BT8:BT71" si="39">IF(BR8=0,IF(BS8="min",R8,0),0)</f>
        <v>0</v>
      </c>
      <c r="BU8" s="36">
        <f t="shared" ref="BU8:BU71" si="40">IF(BT8=0,0,$S8)</f>
        <v>0</v>
      </c>
      <c r="BV8" s="35">
        <f t="shared" ref="BV8:BV71" si="41">IF(BT7=0,0,R8)</f>
        <v>0</v>
      </c>
      <c r="BW8" s="62">
        <f t="shared" ref="BW8:BW71" si="42">IF(BV8=0,0,S8)</f>
        <v>0</v>
      </c>
      <c r="BX8" s="61">
        <f t="shared" ref="BX8:BX71" si="43">IF($AQ$4&gt;V8,0,1)</f>
        <v>0</v>
      </c>
      <c r="BY8" s="43">
        <f t="shared" ref="BY8:BY71" si="44">IF(BX9=1, "min",0)</f>
        <v>0</v>
      </c>
      <c r="BZ8" s="35">
        <f t="shared" ref="BZ8:BZ71" si="45">IF(BX8=0,IF(BY8="min",V8,0),0)</f>
        <v>0</v>
      </c>
      <c r="CA8" s="36">
        <f t="shared" ref="CA8:CA71" si="46">IF(BZ8=0,0,$W8)</f>
        <v>0</v>
      </c>
      <c r="CB8" s="35">
        <f t="shared" ref="CB8:CB71" si="47">IF(BZ7=0,0,V8)</f>
        <v>0</v>
      </c>
      <c r="CC8" s="62">
        <f t="shared" ref="CC8:CC71" si="48">IF(CB8=0,0,W8)</f>
        <v>0</v>
      </c>
      <c r="CD8" s="61">
        <f t="shared" ref="CD8:CD71" si="49">IF($AQ$4&gt;Z8,0,1)</f>
        <v>0</v>
      </c>
      <c r="CE8" s="43">
        <f t="shared" si="9"/>
        <v>0</v>
      </c>
      <c r="CF8" s="35">
        <f t="shared" ref="CF8:CF71" si="50">IF(CD8=0,IF(CE8="min",Z8,0),0)</f>
        <v>0</v>
      </c>
      <c r="CG8" s="36">
        <f t="shared" ref="CG8:CG71" si="51">IF(CF8=0,0,$AA8)</f>
        <v>0</v>
      </c>
      <c r="CH8" s="35">
        <f t="shared" ref="CH8:CH71" si="52">IF(CF7=0,0,Z8)</f>
        <v>0</v>
      </c>
      <c r="CI8" s="62">
        <f>IF(CH8=0,0,AA8)</f>
        <v>0</v>
      </c>
      <c r="CJ8" s="61">
        <f t="shared" ref="CJ8:CJ71" si="53">IF($AQ$4&gt;AD8,0,1)</f>
        <v>0</v>
      </c>
      <c r="CK8" s="43">
        <f t="shared" ref="CK8:CK71" si="54">IF(CJ9=1, "min",0)</f>
        <v>0</v>
      </c>
      <c r="CL8" s="35">
        <f t="shared" ref="CL8:CL71" si="55">IF($CJ8=0,IF($CK8="min",AD8,0),0)</f>
        <v>0</v>
      </c>
      <c r="CM8" s="36">
        <f t="shared" ref="CM8:CM71" si="56">IF(CL8=0,0,$AE8)</f>
        <v>0</v>
      </c>
      <c r="CN8" s="35">
        <f t="shared" ref="CN8:CN71" si="57">IF(CL7=0,0,AD8)</f>
        <v>0</v>
      </c>
      <c r="CO8" s="62">
        <f t="shared" ref="CO8:CO71" si="58">IF(CN8=0,0,AE8)</f>
        <v>0</v>
      </c>
      <c r="CP8" s="61">
        <f t="shared" ref="CP8:CP71" si="59">IF($AQ$4&gt;AH8,0,1)</f>
        <v>0</v>
      </c>
      <c r="CQ8" s="43">
        <f t="shared" ref="CQ8:CQ71" si="60">IF(CP9=1, "min",0)</f>
        <v>0</v>
      </c>
      <c r="CR8" s="35">
        <f t="shared" ref="CR8:CR71" si="61">IF(CP8=0,IF(CQ8="min",AH8,0),0)</f>
        <v>0</v>
      </c>
      <c r="CS8" s="43">
        <f t="shared" ref="CS8:CS71" si="62">IF(CR8=0,0,$AI8)</f>
        <v>0</v>
      </c>
      <c r="CT8" s="43">
        <f t="shared" si="10"/>
        <v>0</v>
      </c>
      <c r="CU8" s="62">
        <f t="shared" ref="CU8:CU71" si="63">IF(CT8=0,0,AI8)</f>
        <v>0</v>
      </c>
      <c r="CV8" s="61">
        <f t="shared" ref="CV8:CV71" si="64">IF($AQ$4&gt;AL8,0,1)</f>
        <v>0</v>
      </c>
      <c r="CW8" s="43">
        <f t="shared" ref="CW8:CW71" si="65">IF(CV9=1, "min",0)</f>
        <v>0</v>
      </c>
      <c r="CX8" s="35">
        <f t="shared" ref="CX8:CX71" si="66">IF(CV8=0,IF(CW8="min",AL8,0),0)</f>
        <v>0</v>
      </c>
      <c r="CY8" s="36">
        <f t="shared" ref="CY8:CY71" si="67">IF(CX8=0,0,$AM8)</f>
        <v>0</v>
      </c>
      <c r="CZ8" s="35">
        <f t="shared" ref="CZ8:CZ71" si="68">IF(CX7=0,0,AL8)</f>
        <v>0</v>
      </c>
      <c r="DA8" s="62">
        <f t="shared" ref="DA8:DA71" si="69">IF(CZ8=0,0,AM8)</f>
        <v>0</v>
      </c>
    </row>
    <row r="9" spans="2:105" x14ac:dyDescent="0.3">
      <c r="B9" s="1">
        <v>0.10982599999999999</v>
      </c>
      <c r="C9" s="1">
        <v>-81.97</v>
      </c>
      <c r="D9">
        <f t="shared" si="11"/>
        <v>402.97</v>
      </c>
      <c r="F9" s="1">
        <v>0.10818999999999999</v>
      </c>
      <c r="G9" s="1">
        <v>-67.180000000000007</v>
      </c>
      <c r="H9">
        <f t="shared" si="12"/>
        <v>415.64</v>
      </c>
      <c r="J9" s="1">
        <v>0.107572</v>
      </c>
      <c r="K9" s="1">
        <v>-74.849999999999994</v>
      </c>
      <c r="L9">
        <f t="shared" si="13"/>
        <v>421.24</v>
      </c>
      <c r="N9" s="1">
        <v>0.107055</v>
      </c>
      <c r="O9" s="1">
        <v>-70.8</v>
      </c>
      <c r="P9">
        <f t="shared" si="14"/>
        <v>425.28999999999996</v>
      </c>
      <c r="R9" s="1">
        <v>0.107695</v>
      </c>
      <c r="S9" s="1">
        <v>-67.83</v>
      </c>
      <c r="T9">
        <f t="shared" si="15"/>
        <v>450.66</v>
      </c>
      <c r="V9" s="1">
        <v>0.111124</v>
      </c>
      <c r="W9" s="1">
        <v>-59</v>
      </c>
      <c r="X9">
        <f t="shared" si="16"/>
        <v>462.86</v>
      </c>
      <c r="Z9" s="1">
        <v>0.115136</v>
      </c>
      <c r="AA9" s="1">
        <v>-50.78</v>
      </c>
      <c r="AB9">
        <f t="shared" si="17"/>
        <v>475.01</v>
      </c>
      <c r="AD9" s="1">
        <v>0.118964</v>
      </c>
      <c r="AE9" s="1">
        <v>-43.27</v>
      </c>
      <c r="AF9">
        <f t="shared" si="18"/>
        <v>486.24</v>
      </c>
      <c r="AH9" s="1">
        <v>0.122917</v>
      </c>
      <c r="AI9" s="1">
        <v>-42.64</v>
      </c>
      <c r="AJ9">
        <f t="shared" si="19"/>
        <v>490.6</v>
      </c>
      <c r="AL9" s="1">
        <v>0.12853500000000001</v>
      </c>
      <c r="AM9" s="1">
        <v>-43.69</v>
      </c>
      <c r="AN9">
        <f t="shared" si="20"/>
        <v>494.64000000000004</v>
      </c>
      <c r="AT9" s="61">
        <f t="shared" si="1"/>
        <v>0</v>
      </c>
      <c r="AU9" s="43">
        <f t="shared" si="2"/>
        <v>0</v>
      </c>
      <c r="AV9" s="35">
        <f t="shared" si="3"/>
        <v>0</v>
      </c>
      <c r="AW9" s="36">
        <f t="shared" si="21"/>
        <v>0</v>
      </c>
      <c r="AX9" s="35">
        <f t="shared" si="4"/>
        <v>0</v>
      </c>
      <c r="AY9" s="62">
        <f t="shared" si="5"/>
        <v>0</v>
      </c>
      <c r="AZ9" s="61">
        <f t="shared" si="6"/>
        <v>0</v>
      </c>
      <c r="BA9" s="43">
        <f t="shared" si="7"/>
        <v>0</v>
      </c>
      <c r="BB9" s="35">
        <f t="shared" si="22"/>
        <v>0</v>
      </c>
      <c r="BC9" s="36">
        <f t="shared" si="23"/>
        <v>0</v>
      </c>
      <c r="BD9" s="35">
        <f t="shared" si="24"/>
        <v>0</v>
      </c>
      <c r="BE9" s="62">
        <f t="shared" si="25"/>
        <v>0</v>
      </c>
      <c r="BF9" s="61">
        <f t="shared" si="26"/>
        <v>0</v>
      </c>
      <c r="BG9" s="43">
        <f t="shared" si="8"/>
        <v>0</v>
      </c>
      <c r="BH9" s="35">
        <f t="shared" si="27"/>
        <v>0</v>
      </c>
      <c r="BI9" s="36">
        <f t="shared" si="28"/>
        <v>0</v>
      </c>
      <c r="BJ9" s="35">
        <f t="shared" si="29"/>
        <v>0</v>
      </c>
      <c r="BK9" s="62">
        <f t="shared" si="30"/>
        <v>0</v>
      </c>
      <c r="BL9" s="61">
        <f t="shared" si="31"/>
        <v>0</v>
      </c>
      <c r="BM9" s="43">
        <f t="shared" si="32"/>
        <v>0</v>
      </c>
      <c r="BN9" s="35">
        <f t="shared" si="33"/>
        <v>0</v>
      </c>
      <c r="BO9" s="36">
        <f t="shared" si="34"/>
        <v>0</v>
      </c>
      <c r="BP9" s="35">
        <f t="shared" si="35"/>
        <v>0</v>
      </c>
      <c r="BQ9" s="62">
        <f t="shared" si="36"/>
        <v>0</v>
      </c>
      <c r="BR9" s="61">
        <f t="shared" si="37"/>
        <v>0</v>
      </c>
      <c r="BS9" s="43">
        <f t="shared" si="38"/>
        <v>0</v>
      </c>
      <c r="BT9" s="35">
        <f t="shared" si="39"/>
        <v>0</v>
      </c>
      <c r="BU9" s="36">
        <f t="shared" si="40"/>
        <v>0</v>
      </c>
      <c r="BV9" s="35">
        <f t="shared" si="41"/>
        <v>0</v>
      </c>
      <c r="BW9" s="62">
        <f t="shared" si="42"/>
        <v>0</v>
      </c>
      <c r="BX9" s="61">
        <f t="shared" si="43"/>
        <v>0</v>
      </c>
      <c r="BY9" s="43">
        <f t="shared" si="44"/>
        <v>0</v>
      </c>
      <c r="BZ9" s="35">
        <f t="shared" si="45"/>
        <v>0</v>
      </c>
      <c r="CA9" s="36">
        <f t="shared" si="46"/>
        <v>0</v>
      </c>
      <c r="CB9" s="35">
        <f t="shared" si="47"/>
        <v>0</v>
      </c>
      <c r="CC9" s="62">
        <f t="shared" si="48"/>
        <v>0</v>
      </c>
      <c r="CD9" s="61">
        <f t="shared" si="49"/>
        <v>0</v>
      </c>
      <c r="CE9" s="43">
        <f t="shared" si="9"/>
        <v>0</v>
      </c>
      <c r="CF9" s="35">
        <f t="shared" si="50"/>
        <v>0</v>
      </c>
      <c r="CG9" s="36">
        <f t="shared" si="51"/>
        <v>0</v>
      </c>
      <c r="CH9" s="35">
        <f t="shared" si="52"/>
        <v>0</v>
      </c>
      <c r="CI9" s="62">
        <f t="shared" ref="CI9:CI72" si="70">IF(CH9=0,0,AA9)</f>
        <v>0</v>
      </c>
      <c r="CJ9" s="61">
        <f t="shared" si="53"/>
        <v>0</v>
      </c>
      <c r="CK9" s="43">
        <f t="shared" si="54"/>
        <v>0</v>
      </c>
      <c r="CL9" s="35">
        <f t="shared" si="55"/>
        <v>0</v>
      </c>
      <c r="CM9" s="36">
        <f t="shared" si="56"/>
        <v>0</v>
      </c>
      <c r="CN9" s="35">
        <f t="shared" si="57"/>
        <v>0</v>
      </c>
      <c r="CO9" s="62">
        <f t="shared" si="58"/>
        <v>0</v>
      </c>
      <c r="CP9" s="61">
        <f t="shared" si="59"/>
        <v>0</v>
      </c>
      <c r="CQ9" s="43">
        <f t="shared" si="60"/>
        <v>0</v>
      </c>
      <c r="CR9" s="35">
        <f t="shared" si="61"/>
        <v>0</v>
      </c>
      <c r="CS9" s="43">
        <f t="shared" si="62"/>
        <v>0</v>
      </c>
      <c r="CT9" s="43">
        <f t="shared" si="10"/>
        <v>0</v>
      </c>
      <c r="CU9" s="62">
        <f t="shared" si="63"/>
        <v>0</v>
      </c>
      <c r="CV9" s="61">
        <f t="shared" si="64"/>
        <v>0</v>
      </c>
      <c r="CW9" s="43">
        <f t="shared" si="65"/>
        <v>0</v>
      </c>
      <c r="CX9" s="35">
        <f t="shared" si="66"/>
        <v>0</v>
      </c>
      <c r="CY9" s="36">
        <f t="shared" si="67"/>
        <v>0</v>
      </c>
      <c r="CZ9" s="35">
        <f t="shared" si="68"/>
        <v>0</v>
      </c>
      <c r="DA9" s="62">
        <f t="shared" si="69"/>
        <v>0</v>
      </c>
    </row>
    <row r="10" spans="2:105" x14ac:dyDescent="0.3">
      <c r="B10" s="1">
        <v>0.124112</v>
      </c>
      <c r="C10" s="1">
        <v>-77.53</v>
      </c>
      <c r="D10">
        <f t="shared" si="11"/>
        <v>407.40999999999997</v>
      </c>
      <c r="F10" s="1">
        <v>0.122264</v>
      </c>
      <c r="G10" s="1">
        <v>-70.099999999999994</v>
      </c>
      <c r="H10">
        <f t="shared" si="12"/>
        <v>412.72</v>
      </c>
      <c r="J10" s="1">
        <v>0.12156500000000001</v>
      </c>
      <c r="K10" s="1">
        <v>-65.78</v>
      </c>
      <c r="L10">
        <f t="shared" si="13"/>
        <v>430.30999999999995</v>
      </c>
      <c r="N10" s="1">
        <v>0.12098100000000001</v>
      </c>
      <c r="O10" s="1">
        <v>-66.66</v>
      </c>
      <c r="P10">
        <f t="shared" si="14"/>
        <v>429.42999999999995</v>
      </c>
      <c r="R10" s="1">
        <v>0.12170499999999999</v>
      </c>
      <c r="S10" s="1">
        <v>-63.7</v>
      </c>
      <c r="T10">
        <f t="shared" si="15"/>
        <v>454.79</v>
      </c>
      <c r="V10" s="1">
        <v>0.125579</v>
      </c>
      <c r="W10" s="1">
        <v>-54.96</v>
      </c>
      <c r="X10">
        <f t="shared" si="16"/>
        <v>466.90000000000003</v>
      </c>
      <c r="Z10" s="1">
        <v>0.13011400000000001</v>
      </c>
      <c r="AA10" s="1">
        <v>-48.14</v>
      </c>
      <c r="AB10">
        <f t="shared" si="17"/>
        <v>477.65</v>
      </c>
      <c r="AD10" s="1">
        <v>0.134439</v>
      </c>
      <c r="AE10" s="1">
        <v>-47.64</v>
      </c>
      <c r="AF10">
        <f t="shared" si="18"/>
        <v>481.87</v>
      </c>
      <c r="AH10" s="1">
        <v>0.138907</v>
      </c>
      <c r="AI10" s="1">
        <v>-47.35</v>
      </c>
      <c r="AJ10">
        <f t="shared" si="19"/>
        <v>485.89</v>
      </c>
      <c r="AL10" s="1">
        <v>0.145255</v>
      </c>
      <c r="AM10" s="1">
        <v>-48.74</v>
      </c>
      <c r="AN10">
        <f t="shared" si="20"/>
        <v>489.59000000000003</v>
      </c>
      <c r="AP10" s="56"/>
      <c r="AQ10" s="56"/>
      <c r="AR10" s="56"/>
      <c r="AT10" s="61">
        <f t="shared" si="1"/>
        <v>0</v>
      </c>
      <c r="AU10" s="43">
        <f t="shared" si="2"/>
        <v>0</v>
      </c>
      <c r="AV10" s="35">
        <f t="shared" si="3"/>
        <v>0</v>
      </c>
      <c r="AW10" s="36">
        <f t="shared" si="21"/>
        <v>0</v>
      </c>
      <c r="AX10" s="35">
        <f t="shared" si="4"/>
        <v>0</v>
      </c>
      <c r="AY10" s="62">
        <f t="shared" si="5"/>
        <v>0</v>
      </c>
      <c r="AZ10" s="61">
        <f t="shared" si="6"/>
        <v>0</v>
      </c>
      <c r="BA10" s="43">
        <f t="shared" si="7"/>
        <v>0</v>
      </c>
      <c r="BB10" s="35">
        <f t="shared" si="22"/>
        <v>0</v>
      </c>
      <c r="BC10" s="36">
        <f t="shared" si="23"/>
        <v>0</v>
      </c>
      <c r="BD10" s="35">
        <f t="shared" si="24"/>
        <v>0</v>
      </c>
      <c r="BE10" s="62">
        <f t="shared" si="25"/>
        <v>0</v>
      </c>
      <c r="BF10" s="61">
        <f t="shared" si="26"/>
        <v>0</v>
      </c>
      <c r="BG10" s="43">
        <f t="shared" si="8"/>
        <v>0</v>
      </c>
      <c r="BH10" s="35">
        <f t="shared" si="27"/>
        <v>0</v>
      </c>
      <c r="BI10" s="36">
        <f t="shared" si="28"/>
        <v>0</v>
      </c>
      <c r="BJ10" s="35">
        <f t="shared" si="29"/>
        <v>0</v>
      </c>
      <c r="BK10" s="62">
        <f t="shared" si="30"/>
        <v>0</v>
      </c>
      <c r="BL10" s="61">
        <f t="shared" si="31"/>
        <v>0</v>
      </c>
      <c r="BM10" s="43">
        <f t="shared" si="32"/>
        <v>0</v>
      </c>
      <c r="BN10" s="35">
        <f t="shared" si="33"/>
        <v>0</v>
      </c>
      <c r="BO10" s="36">
        <f t="shared" si="34"/>
        <v>0</v>
      </c>
      <c r="BP10" s="35">
        <f t="shared" si="35"/>
        <v>0</v>
      </c>
      <c r="BQ10" s="62">
        <f t="shared" si="36"/>
        <v>0</v>
      </c>
      <c r="BR10" s="61">
        <f t="shared" si="37"/>
        <v>0</v>
      </c>
      <c r="BS10" s="43">
        <f t="shared" si="38"/>
        <v>0</v>
      </c>
      <c r="BT10" s="35">
        <f t="shared" si="39"/>
        <v>0</v>
      </c>
      <c r="BU10" s="36">
        <f t="shared" si="40"/>
        <v>0</v>
      </c>
      <c r="BV10" s="35">
        <f t="shared" si="41"/>
        <v>0</v>
      </c>
      <c r="BW10" s="62">
        <f t="shared" si="42"/>
        <v>0</v>
      </c>
      <c r="BX10" s="61">
        <f t="shared" si="43"/>
        <v>0</v>
      </c>
      <c r="BY10" s="43">
        <f t="shared" si="44"/>
        <v>0</v>
      </c>
      <c r="BZ10" s="35">
        <f t="shared" si="45"/>
        <v>0</v>
      </c>
      <c r="CA10" s="36">
        <f t="shared" si="46"/>
        <v>0</v>
      </c>
      <c r="CB10" s="35">
        <f t="shared" si="47"/>
        <v>0</v>
      </c>
      <c r="CC10" s="62">
        <f t="shared" si="48"/>
        <v>0</v>
      </c>
      <c r="CD10" s="61">
        <f t="shared" si="49"/>
        <v>0</v>
      </c>
      <c r="CE10" s="43">
        <f t="shared" si="9"/>
        <v>0</v>
      </c>
      <c r="CF10" s="35">
        <f t="shared" si="50"/>
        <v>0</v>
      </c>
      <c r="CG10" s="36">
        <f t="shared" si="51"/>
        <v>0</v>
      </c>
      <c r="CH10" s="35">
        <f t="shared" si="52"/>
        <v>0</v>
      </c>
      <c r="CI10" s="62">
        <f t="shared" si="70"/>
        <v>0</v>
      </c>
      <c r="CJ10" s="61">
        <f t="shared" si="53"/>
        <v>0</v>
      </c>
      <c r="CK10" s="43">
        <f t="shared" si="54"/>
        <v>0</v>
      </c>
      <c r="CL10" s="35">
        <f t="shared" si="55"/>
        <v>0</v>
      </c>
      <c r="CM10" s="36">
        <f t="shared" si="56"/>
        <v>0</v>
      </c>
      <c r="CN10" s="35">
        <f t="shared" si="57"/>
        <v>0</v>
      </c>
      <c r="CO10" s="62">
        <f t="shared" si="58"/>
        <v>0</v>
      </c>
      <c r="CP10" s="61">
        <f t="shared" si="59"/>
        <v>0</v>
      </c>
      <c r="CQ10" s="43">
        <f t="shared" si="60"/>
        <v>0</v>
      </c>
      <c r="CR10" s="35">
        <f t="shared" si="61"/>
        <v>0</v>
      </c>
      <c r="CS10" s="43">
        <f t="shared" si="62"/>
        <v>0</v>
      </c>
      <c r="CT10" s="43">
        <f t="shared" si="10"/>
        <v>0</v>
      </c>
      <c r="CU10" s="62">
        <f t="shared" si="63"/>
        <v>0</v>
      </c>
      <c r="CV10" s="61">
        <f t="shared" si="64"/>
        <v>0</v>
      </c>
      <c r="CW10" s="43">
        <f t="shared" si="65"/>
        <v>0</v>
      </c>
      <c r="CX10" s="35">
        <f t="shared" si="66"/>
        <v>0</v>
      </c>
      <c r="CY10" s="36">
        <f t="shared" si="67"/>
        <v>0</v>
      </c>
      <c r="CZ10" s="35">
        <f t="shared" si="68"/>
        <v>0</v>
      </c>
      <c r="DA10" s="62">
        <f t="shared" si="69"/>
        <v>0</v>
      </c>
    </row>
    <row r="11" spans="2:105" x14ac:dyDescent="0.3">
      <c r="B11" s="1">
        <v>0.13836999999999999</v>
      </c>
      <c r="C11" s="1">
        <v>-80.52</v>
      </c>
      <c r="D11">
        <f t="shared" si="11"/>
        <v>404.42</v>
      </c>
      <c r="F11" s="1">
        <v>0.13630999999999999</v>
      </c>
      <c r="G11" s="1">
        <v>-61</v>
      </c>
      <c r="H11">
        <f t="shared" si="12"/>
        <v>421.82</v>
      </c>
      <c r="J11" s="1">
        <v>0.13553000000000001</v>
      </c>
      <c r="K11" s="1">
        <v>-61.99</v>
      </c>
      <c r="L11">
        <f t="shared" si="13"/>
        <v>434.09999999999997</v>
      </c>
      <c r="N11" s="1">
        <v>0.134879</v>
      </c>
      <c r="O11" s="1">
        <v>-62.93</v>
      </c>
      <c r="P11">
        <f t="shared" si="14"/>
        <v>433.15999999999997</v>
      </c>
      <c r="R11" s="1">
        <v>0.135686</v>
      </c>
      <c r="S11" s="1">
        <v>-60.07</v>
      </c>
      <c r="T11">
        <f t="shared" si="15"/>
        <v>458.42</v>
      </c>
      <c r="V11" s="1">
        <v>0.14000599999999999</v>
      </c>
      <c r="W11" s="1">
        <v>-52.69</v>
      </c>
      <c r="X11">
        <f t="shared" si="16"/>
        <v>469.17</v>
      </c>
      <c r="Z11" s="1">
        <v>0.145061</v>
      </c>
      <c r="AA11" s="1">
        <v>-52.39</v>
      </c>
      <c r="AB11">
        <f t="shared" si="17"/>
        <v>473.4</v>
      </c>
      <c r="AD11" s="1">
        <v>0.14988399999999999</v>
      </c>
      <c r="AE11" s="1">
        <v>-52.1</v>
      </c>
      <c r="AF11">
        <f t="shared" si="18"/>
        <v>477.40999999999997</v>
      </c>
      <c r="AH11" s="1">
        <v>0.154864</v>
      </c>
      <c r="AI11" s="1">
        <v>-52.29</v>
      </c>
      <c r="AJ11">
        <f t="shared" si="19"/>
        <v>480.95</v>
      </c>
      <c r="AL11" s="1">
        <v>0.161942</v>
      </c>
      <c r="AM11" s="1">
        <v>-54.03</v>
      </c>
      <c r="AN11">
        <f t="shared" si="20"/>
        <v>484.30000000000007</v>
      </c>
      <c r="AP11" s="56"/>
      <c r="AQ11" s="77"/>
      <c r="AR11" s="56"/>
      <c r="AT11" s="61">
        <f t="shared" si="1"/>
        <v>0</v>
      </c>
      <c r="AU11" s="43">
        <f t="shared" si="2"/>
        <v>0</v>
      </c>
      <c r="AV11" s="35">
        <f t="shared" si="3"/>
        <v>0</v>
      </c>
      <c r="AW11" s="36">
        <f t="shared" si="21"/>
        <v>0</v>
      </c>
      <c r="AX11" s="35">
        <f t="shared" si="4"/>
        <v>0</v>
      </c>
      <c r="AY11" s="62">
        <f t="shared" si="5"/>
        <v>0</v>
      </c>
      <c r="AZ11" s="61">
        <f t="shared" si="6"/>
        <v>0</v>
      </c>
      <c r="BA11" s="43">
        <f t="shared" si="7"/>
        <v>0</v>
      </c>
      <c r="BB11" s="35">
        <f t="shared" ref="BB11:BB74" si="71">IF($AZ11=0,IF($BA11="min",F11,0),0)</f>
        <v>0</v>
      </c>
      <c r="BC11" s="36">
        <f t="shared" si="23"/>
        <v>0</v>
      </c>
      <c r="BD11" s="35">
        <f t="shared" si="24"/>
        <v>0</v>
      </c>
      <c r="BE11" s="62">
        <f t="shared" si="25"/>
        <v>0</v>
      </c>
      <c r="BF11" s="61">
        <f t="shared" si="26"/>
        <v>0</v>
      </c>
      <c r="BG11" s="43">
        <f t="shared" si="8"/>
        <v>0</v>
      </c>
      <c r="BH11" s="35">
        <f t="shared" si="27"/>
        <v>0</v>
      </c>
      <c r="BI11" s="36">
        <f t="shared" si="28"/>
        <v>0</v>
      </c>
      <c r="BJ11" s="35">
        <f t="shared" si="29"/>
        <v>0</v>
      </c>
      <c r="BK11" s="62">
        <f t="shared" si="30"/>
        <v>0</v>
      </c>
      <c r="BL11" s="61">
        <f t="shared" si="31"/>
        <v>0</v>
      </c>
      <c r="BM11" s="43">
        <f t="shared" si="32"/>
        <v>0</v>
      </c>
      <c r="BN11" s="35">
        <f t="shared" si="33"/>
        <v>0</v>
      </c>
      <c r="BO11" s="36">
        <f t="shared" si="34"/>
        <v>0</v>
      </c>
      <c r="BP11" s="35">
        <f t="shared" si="35"/>
        <v>0</v>
      </c>
      <c r="BQ11" s="62">
        <f t="shared" si="36"/>
        <v>0</v>
      </c>
      <c r="BR11" s="61">
        <f t="shared" si="37"/>
        <v>0</v>
      </c>
      <c r="BS11" s="43">
        <f t="shared" si="38"/>
        <v>0</v>
      </c>
      <c r="BT11" s="35">
        <f t="shared" si="39"/>
        <v>0</v>
      </c>
      <c r="BU11" s="36">
        <f t="shared" si="40"/>
        <v>0</v>
      </c>
      <c r="BV11" s="35">
        <f t="shared" si="41"/>
        <v>0</v>
      </c>
      <c r="BW11" s="62">
        <f t="shared" si="42"/>
        <v>0</v>
      </c>
      <c r="BX11" s="61">
        <f t="shared" si="43"/>
        <v>0</v>
      </c>
      <c r="BY11" s="43">
        <f t="shared" si="44"/>
        <v>0</v>
      </c>
      <c r="BZ11" s="35">
        <f t="shared" si="45"/>
        <v>0</v>
      </c>
      <c r="CA11" s="36">
        <f t="shared" si="46"/>
        <v>0</v>
      </c>
      <c r="CB11" s="35">
        <f t="shared" si="47"/>
        <v>0</v>
      </c>
      <c r="CC11" s="62">
        <f t="shared" si="48"/>
        <v>0</v>
      </c>
      <c r="CD11" s="61">
        <f t="shared" si="49"/>
        <v>0</v>
      </c>
      <c r="CE11" s="43">
        <f t="shared" si="9"/>
        <v>0</v>
      </c>
      <c r="CF11" s="35">
        <f t="shared" si="50"/>
        <v>0</v>
      </c>
      <c r="CG11" s="36">
        <f t="shared" si="51"/>
        <v>0</v>
      </c>
      <c r="CH11" s="35">
        <f t="shared" si="52"/>
        <v>0</v>
      </c>
      <c r="CI11" s="62">
        <f t="shared" si="70"/>
        <v>0</v>
      </c>
      <c r="CJ11" s="61">
        <f t="shared" si="53"/>
        <v>0</v>
      </c>
      <c r="CK11" s="43">
        <f t="shared" si="54"/>
        <v>0</v>
      </c>
      <c r="CL11" s="35">
        <f t="shared" si="55"/>
        <v>0</v>
      </c>
      <c r="CM11" s="36">
        <f t="shared" si="56"/>
        <v>0</v>
      </c>
      <c r="CN11" s="35">
        <f t="shared" si="57"/>
        <v>0</v>
      </c>
      <c r="CO11" s="62">
        <f t="shared" si="58"/>
        <v>0</v>
      </c>
      <c r="CP11" s="61">
        <f t="shared" si="59"/>
        <v>0</v>
      </c>
      <c r="CQ11" s="43">
        <f t="shared" si="60"/>
        <v>0</v>
      </c>
      <c r="CR11" s="35">
        <f t="shared" si="61"/>
        <v>0</v>
      </c>
      <c r="CS11" s="43">
        <f t="shared" si="62"/>
        <v>0</v>
      </c>
      <c r="CT11" s="43">
        <f t="shared" si="10"/>
        <v>0</v>
      </c>
      <c r="CU11" s="62">
        <f t="shared" si="63"/>
        <v>0</v>
      </c>
      <c r="CV11" s="61">
        <f t="shared" si="64"/>
        <v>0</v>
      </c>
      <c r="CW11" s="43">
        <f t="shared" si="65"/>
        <v>0</v>
      </c>
      <c r="CX11" s="35">
        <f t="shared" si="66"/>
        <v>0</v>
      </c>
      <c r="CY11" s="36">
        <f t="shared" si="67"/>
        <v>0</v>
      </c>
      <c r="CZ11" s="35">
        <f t="shared" si="68"/>
        <v>0</v>
      </c>
      <c r="DA11" s="62">
        <f t="shared" si="69"/>
        <v>0</v>
      </c>
    </row>
    <row r="12" spans="2:105" x14ac:dyDescent="0.3">
      <c r="B12" s="1">
        <v>0.15262800000000001</v>
      </c>
      <c r="C12" s="1">
        <v>-72.260000000000005</v>
      </c>
      <c r="D12">
        <f t="shared" si="11"/>
        <v>412.68</v>
      </c>
      <c r="F12" s="1">
        <v>0.15035499999999999</v>
      </c>
      <c r="G12" s="1">
        <v>-57.81</v>
      </c>
      <c r="H12">
        <f t="shared" si="12"/>
        <v>425.01</v>
      </c>
      <c r="J12" s="1">
        <v>0.14949499999999999</v>
      </c>
      <c r="K12" s="1">
        <v>-58.78</v>
      </c>
      <c r="L12">
        <f t="shared" si="13"/>
        <v>437.30999999999995</v>
      </c>
      <c r="N12" s="1">
        <v>0.14877799999999999</v>
      </c>
      <c r="O12" s="1">
        <v>-59.65</v>
      </c>
      <c r="P12">
        <f t="shared" si="14"/>
        <v>436.44</v>
      </c>
      <c r="R12" s="1">
        <v>0.14966699999999999</v>
      </c>
      <c r="S12" s="1">
        <v>-57.59</v>
      </c>
      <c r="T12">
        <f t="shared" si="15"/>
        <v>460.9</v>
      </c>
      <c r="V12" s="1">
        <v>0.15443200000000001</v>
      </c>
      <c r="W12" s="1">
        <v>-56.43</v>
      </c>
      <c r="X12">
        <f t="shared" si="16"/>
        <v>465.43</v>
      </c>
      <c r="Z12" s="1">
        <v>0.16000800000000001</v>
      </c>
      <c r="AA12" s="1">
        <v>-56.48</v>
      </c>
      <c r="AB12">
        <f t="shared" si="17"/>
        <v>469.30999999999995</v>
      </c>
      <c r="AD12" s="1">
        <v>0.165328</v>
      </c>
      <c r="AE12" s="1">
        <v>-56.62</v>
      </c>
      <c r="AF12">
        <f t="shared" si="18"/>
        <v>472.89</v>
      </c>
      <c r="AH12" s="1">
        <v>0.170822</v>
      </c>
      <c r="AI12" s="1">
        <v>-57.13</v>
      </c>
      <c r="AJ12">
        <f t="shared" si="19"/>
        <v>476.11</v>
      </c>
      <c r="AL12" s="1">
        <v>0.17862900000000001</v>
      </c>
      <c r="AM12" s="1">
        <v>-59.05</v>
      </c>
      <c r="AN12">
        <f t="shared" si="20"/>
        <v>479.28000000000003</v>
      </c>
      <c r="AP12" s="56"/>
      <c r="AQ12" s="77"/>
      <c r="AR12" s="56"/>
      <c r="AT12" s="61">
        <f t="shared" si="1"/>
        <v>0</v>
      </c>
      <c r="AU12" s="43">
        <f t="shared" si="2"/>
        <v>0</v>
      </c>
      <c r="AV12" s="35">
        <f t="shared" si="3"/>
        <v>0</v>
      </c>
      <c r="AW12" s="36">
        <f t="shared" si="21"/>
        <v>0</v>
      </c>
      <c r="AX12" s="35">
        <f t="shared" si="4"/>
        <v>0</v>
      </c>
      <c r="AY12" s="62">
        <f t="shared" si="5"/>
        <v>0</v>
      </c>
      <c r="AZ12" s="61">
        <f t="shared" si="6"/>
        <v>0</v>
      </c>
      <c r="BA12" s="43">
        <f t="shared" si="7"/>
        <v>0</v>
      </c>
      <c r="BB12" s="35">
        <f t="shared" si="71"/>
        <v>0</v>
      </c>
      <c r="BC12" s="36">
        <f t="shared" si="23"/>
        <v>0</v>
      </c>
      <c r="BD12" s="35">
        <f t="shared" si="24"/>
        <v>0</v>
      </c>
      <c r="BE12" s="62">
        <f t="shared" si="25"/>
        <v>0</v>
      </c>
      <c r="BF12" s="61">
        <f t="shared" si="26"/>
        <v>0</v>
      </c>
      <c r="BG12" s="43">
        <f t="shared" si="8"/>
        <v>0</v>
      </c>
      <c r="BH12" s="35">
        <f t="shared" si="27"/>
        <v>0</v>
      </c>
      <c r="BI12" s="36">
        <f t="shared" si="28"/>
        <v>0</v>
      </c>
      <c r="BJ12" s="35">
        <f t="shared" si="29"/>
        <v>0</v>
      </c>
      <c r="BK12" s="62">
        <f t="shared" si="30"/>
        <v>0</v>
      </c>
      <c r="BL12" s="61">
        <f t="shared" si="31"/>
        <v>0</v>
      </c>
      <c r="BM12" s="43">
        <f t="shared" si="32"/>
        <v>0</v>
      </c>
      <c r="BN12" s="35">
        <f t="shared" si="33"/>
        <v>0</v>
      </c>
      <c r="BO12" s="36">
        <f t="shared" si="34"/>
        <v>0</v>
      </c>
      <c r="BP12" s="35">
        <f t="shared" si="35"/>
        <v>0</v>
      </c>
      <c r="BQ12" s="62">
        <f t="shared" si="36"/>
        <v>0</v>
      </c>
      <c r="BR12" s="61">
        <f t="shared" si="37"/>
        <v>0</v>
      </c>
      <c r="BS12" s="43">
        <f t="shared" si="38"/>
        <v>0</v>
      </c>
      <c r="BT12" s="35">
        <f t="shared" si="39"/>
        <v>0</v>
      </c>
      <c r="BU12" s="36">
        <f t="shared" si="40"/>
        <v>0</v>
      </c>
      <c r="BV12" s="35">
        <f t="shared" si="41"/>
        <v>0</v>
      </c>
      <c r="BW12" s="62">
        <f t="shared" si="42"/>
        <v>0</v>
      </c>
      <c r="BX12" s="61">
        <f t="shared" si="43"/>
        <v>0</v>
      </c>
      <c r="BY12" s="43">
        <f t="shared" si="44"/>
        <v>0</v>
      </c>
      <c r="BZ12" s="35">
        <f t="shared" si="45"/>
        <v>0</v>
      </c>
      <c r="CA12" s="36">
        <f t="shared" si="46"/>
        <v>0</v>
      </c>
      <c r="CB12" s="35">
        <f t="shared" si="47"/>
        <v>0</v>
      </c>
      <c r="CC12" s="62">
        <f t="shared" si="48"/>
        <v>0</v>
      </c>
      <c r="CD12" s="61">
        <f t="shared" si="49"/>
        <v>0</v>
      </c>
      <c r="CE12" s="43">
        <f t="shared" si="9"/>
        <v>0</v>
      </c>
      <c r="CF12" s="35">
        <f t="shared" si="50"/>
        <v>0</v>
      </c>
      <c r="CG12" s="36">
        <f t="shared" si="51"/>
        <v>0</v>
      </c>
      <c r="CH12" s="35">
        <f t="shared" si="52"/>
        <v>0</v>
      </c>
      <c r="CI12" s="62">
        <f t="shared" si="70"/>
        <v>0</v>
      </c>
      <c r="CJ12" s="61">
        <f t="shared" si="53"/>
        <v>0</v>
      </c>
      <c r="CK12" s="43">
        <f t="shared" si="54"/>
        <v>0</v>
      </c>
      <c r="CL12" s="35">
        <f t="shared" si="55"/>
        <v>0</v>
      </c>
      <c r="CM12" s="36">
        <f t="shared" si="56"/>
        <v>0</v>
      </c>
      <c r="CN12" s="35">
        <f t="shared" si="57"/>
        <v>0</v>
      </c>
      <c r="CO12" s="62">
        <f t="shared" si="58"/>
        <v>0</v>
      </c>
      <c r="CP12" s="61">
        <f t="shared" si="59"/>
        <v>0</v>
      </c>
      <c r="CQ12" s="43">
        <f t="shared" si="60"/>
        <v>0</v>
      </c>
      <c r="CR12" s="35">
        <f t="shared" si="61"/>
        <v>0</v>
      </c>
      <c r="CS12" s="43">
        <f t="shared" si="62"/>
        <v>0</v>
      </c>
      <c r="CT12" s="43">
        <f t="shared" si="10"/>
        <v>0</v>
      </c>
      <c r="CU12" s="62">
        <f t="shared" si="63"/>
        <v>0</v>
      </c>
      <c r="CV12" s="61">
        <f t="shared" si="64"/>
        <v>0</v>
      </c>
      <c r="CW12" s="43">
        <f t="shared" si="65"/>
        <v>0</v>
      </c>
      <c r="CX12" s="35">
        <f t="shared" si="66"/>
        <v>0</v>
      </c>
      <c r="CY12" s="36">
        <f t="shared" si="67"/>
        <v>0</v>
      </c>
      <c r="CZ12" s="35">
        <f t="shared" si="68"/>
        <v>0</v>
      </c>
      <c r="DA12" s="62">
        <f t="shared" si="69"/>
        <v>0</v>
      </c>
    </row>
    <row r="13" spans="2:105" x14ac:dyDescent="0.3">
      <c r="B13" s="1">
        <v>0.16688600000000001</v>
      </c>
      <c r="C13" s="1">
        <v>-69.39</v>
      </c>
      <c r="D13">
        <f t="shared" si="11"/>
        <v>415.55</v>
      </c>
      <c r="F13" s="1">
        <v>0.16440099999999999</v>
      </c>
      <c r="G13" s="1">
        <v>-54.9</v>
      </c>
      <c r="H13">
        <f t="shared" si="12"/>
        <v>427.92</v>
      </c>
      <c r="J13" s="1">
        <v>0.16345999999999999</v>
      </c>
      <c r="K13" s="1">
        <v>-55.81</v>
      </c>
      <c r="L13">
        <f t="shared" si="13"/>
        <v>440.28</v>
      </c>
      <c r="N13" s="1">
        <v>0.16267599999999999</v>
      </c>
      <c r="O13" s="1">
        <v>-56.62</v>
      </c>
      <c r="P13">
        <f t="shared" si="14"/>
        <v>439.46999999999997</v>
      </c>
      <c r="R13" s="1">
        <v>0.16364899999999999</v>
      </c>
      <c r="S13" s="1">
        <v>-60.86</v>
      </c>
      <c r="T13">
        <f t="shared" si="15"/>
        <v>457.63</v>
      </c>
      <c r="V13" s="1">
        <v>0.16885900000000001</v>
      </c>
      <c r="W13" s="1">
        <v>-60.38</v>
      </c>
      <c r="X13">
        <f t="shared" si="16"/>
        <v>461.48</v>
      </c>
      <c r="Z13" s="1">
        <v>0.174956</v>
      </c>
      <c r="AA13" s="1">
        <v>-60.63</v>
      </c>
      <c r="AB13">
        <f t="shared" si="17"/>
        <v>465.15999999999997</v>
      </c>
      <c r="AD13" s="1">
        <v>0.18077199999999999</v>
      </c>
      <c r="AE13" s="1">
        <v>-61.21</v>
      </c>
      <c r="AF13">
        <f t="shared" si="18"/>
        <v>468.3</v>
      </c>
      <c r="AH13" s="1">
        <v>0.186779</v>
      </c>
      <c r="AI13" s="1">
        <v>-61.9</v>
      </c>
      <c r="AJ13">
        <f t="shared" si="19"/>
        <v>471.34000000000003</v>
      </c>
      <c r="AL13" s="1">
        <v>0.19531599999999999</v>
      </c>
      <c r="AM13" s="1">
        <v>-64.05</v>
      </c>
      <c r="AN13">
        <f t="shared" si="20"/>
        <v>474.28000000000003</v>
      </c>
      <c r="AP13" s="134"/>
      <c r="AQ13" s="135"/>
      <c r="AR13" s="135"/>
      <c r="AT13" s="61">
        <f t="shared" si="1"/>
        <v>0</v>
      </c>
      <c r="AU13" s="43">
        <f t="shared" si="2"/>
        <v>0</v>
      </c>
      <c r="AV13" s="35">
        <f t="shared" si="3"/>
        <v>0</v>
      </c>
      <c r="AW13" s="36">
        <f t="shared" si="21"/>
        <v>0</v>
      </c>
      <c r="AX13" s="35">
        <f t="shared" si="4"/>
        <v>0</v>
      </c>
      <c r="AY13" s="62">
        <f t="shared" si="5"/>
        <v>0</v>
      </c>
      <c r="AZ13" s="61">
        <f t="shared" si="6"/>
        <v>0</v>
      </c>
      <c r="BA13" s="43">
        <f t="shared" si="7"/>
        <v>0</v>
      </c>
      <c r="BB13" s="35">
        <f t="shared" si="71"/>
        <v>0</v>
      </c>
      <c r="BC13" s="36">
        <f t="shared" si="23"/>
        <v>0</v>
      </c>
      <c r="BD13" s="35">
        <f t="shared" si="24"/>
        <v>0</v>
      </c>
      <c r="BE13" s="62">
        <f t="shared" si="25"/>
        <v>0</v>
      </c>
      <c r="BF13" s="61">
        <f t="shared" si="26"/>
        <v>0</v>
      </c>
      <c r="BG13" s="43">
        <f t="shared" si="8"/>
        <v>0</v>
      </c>
      <c r="BH13" s="35">
        <f t="shared" si="27"/>
        <v>0</v>
      </c>
      <c r="BI13" s="36">
        <f t="shared" si="28"/>
        <v>0</v>
      </c>
      <c r="BJ13" s="35">
        <f t="shared" si="29"/>
        <v>0</v>
      </c>
      <c r="BK13" s="62">
        <f t="shared" si="30"/>
        <v>0</v>
      </c>
      <c r="BL13" s="61">
        <f t="shared" si="31"/>
        <v>0</v>
      </c>
      <c r="BM13" s="43">
        <f t="shared" si="32"/>
        <v>0</v>
      </c>
      <c r="BN13" s="35">
        <f t="shared" si="33"/>
        <v>0</v>
      </c>
      <c r="BO13" s="36">
        <f t="shared" si="34"/>
        <v>0</v>
      </c>
      <c r="BP13" s="35">
        <f t="shared" si="35"/>
        <v>0</v>
      </c>
      <c r="BQ13" s="62">
        <f t="shared" si="36"/>
        <v>0</v>
      </c>
      <c r="BR13" s="61">
        <f t="shared" si="37"/>
        <v>0</v>
      </c>
      <c r="BS13" s="43">
        <f t="shared" si="38"/>
        <v>0</v>
      </c>
      <c r="BT13" s="35">
        <f t="shared" si="39"/>
        <v>0</v>
      </c>
      <c r="BU13" s="36">
        <f t="shared" si="40"/>
        <v>0</v>
      </c>
      <c r="BV13" s="35">
        <f t="shared" si="41"/>
        <v>0</v>
      </c>
      <c r="BW13" s="62">
        <f t="shared" si="42"/>
        <v>0</v>
      </c>
      <c r="BX13" s="61">
        <f t="shared" si="43"/>
        <v>0</v>
      </c>
      <c r="BY13" s="43">
        <f t="shared" si="44"/>
        <v>0</v>
      </c>
      <c r="BZ13" s="35">
        <f t="shared" si="45"/>
        <v>0</v>
      </c>
      <c r="CA13" s="36">
        <f t="shared" si="46"/>
        <v>0</v>
      </c>
      <c r="CB13" s="35">
        <f t="shared" si="47"/>
        <v>0</v>
      </c>
      <c r="CC13" s="62">
        <f t="shared" si="48"/>
        <v>0</v>
      </c>
      <c r="CD13" s="61">
        <f t="shared" si="49"/>
        <v>0</v>
      </c>
      <c r="CE13" s="43">
        <f t="shared" si="9"/>
        <v>0</v>
      </c>
      <c r="CF13" s="35">
        <f t="shared" si="50"/>
        <v>0</v>
      </c>
      <c r="CG13" s="36">
        <f t="shared" si="51"/>
        <v>0</v>
      </c>
      <c r="CH13" s="35">
        <f t="shared" si="52"/>
        <v>0</v>
      </c>
      <c r="CI13" s="62">
        <f t="shared" si="70"/>
        <v>0</v>
      </c>
      <c r="CJ13" s="61">
        <f t="shared" si="53"/>
        <v>0</v>
      </c>
      <c r="CK13" s="43">
        <f t="shared" si="54"/>
        <v>0</v>
      </c>
      <c r="CL13" s="35">
        <f t="shared" si="55"/>
        <v>0</v>
      </c>
      <c r="CM13" s="36">
        <f t="shared" si="56"/>
        <v>0</v>
      </c>
      <c r="CN13" s="35">
        <f t="shared" si="57"/>
        <v>0</v>
      </c>
      <c r="CO13" s="62">
        <f t="shared" si="58"/>
        <v>0</v>
      </c>
      <c r="CP13" s="61">
        <f t="shared" si="59"/>
        <v>0</v>
      </c>
      <c r="CQ13" s="43">
        <f t="shared" si="60"/>
        <v>0</v>
      </c>
      <c r="CR13" s="35">
        <f t="shared" si="61"/>
        <v>0</v>
      </c>
      <c r="CS13" s="43">
        <f t="shared" si="62"/>
        <v>0</v>
      </c>
      <c r="CT13" s="43">
        <f t="shared" si="10"/>
        <v>0</v>
      </c>
      <c r="CU13" s="62">
        <f t="shared" si="63"/>
        <v>0</v>
      </c>
      <c r="CV13" s="61">
        <f t="shared" si="64"/>
        <v>0</v>
      </c>
      <c r="CW13" s="43">
        <f t="shared" si="65"/>
        <v>0</v>
      </c>
      <c r="CX13" s="35">
        <f t="shared" si="66"/>
        <v>0</v>
      </c>
      <c r="CY13" s="36">
        <f t="shared" si="67"/>
        <v>0</v>
      </c>
      <c r="CZ13" s="35">
        <f t="shared" si="68"/>
        <v>0</v>
      </c>
      <c r="DA13" s="62">
        <f t="shared" si="69"/>
        <v>0</v>
      </c>
    </row>
    <row r="14" spans="2:105" x14ac:dyDescent="0.3">
      <c r="B14" s="1">
        <v>0.181144</v>
      </c>
      <c r="C14" s="1">
        <v>-66.7</v>
      </c>
      <c r="D14">
        <f t="shared" si="11"/>
        <v>418.24</v>
      </c>
      <c r="F14" s="1">
        <v>0.17844699999999999</v>
      </c>
      <c r="G14" s="1">
        <v>-52.22</v>
      </c>
      <c r="H14">
        <f t="shared" si="12"/>
        <v>430.6</v>
      </c>
      <c r="J14" s="1">
        <v>0.177426</v>
      </c>
      <c r="K14" s="1">
        <v>-53.16</v>
      </c>
      <c r="L14">
        <f t="shared" si="13"/>
        <v>442.92999999999995</v>
      </c>
      <c r="N14" s="1">
        <v>0.17657400000000001</v>
      </c>
      <c r="O14" s="1">
        <v>-59.61</v>
      </c>
      <c r="P14">
        <f t="shared" si="14"/>
        <v>436.47999999999996</v>
      </c>
      <c r="R14" s="1">
        <v>0.17763000000000001</v>
      </c>
      <c r="S14" s="1">
        <v>-64.61</v>
      </c>
      <c r="T14">
        <f t="shared" si="15"/>
        <v>453.88</v>
      </c>
      <c r="V14" s="1">
        <v>0.183285</v>
      </c>
      <c r="W14" s="1">
        <v>-64.28</v>
      </c>
      <c r="X14">
        <f t="shared" si="16"/>
        <v>457.58000000000004</v>
      </c>
      <c r="Z14" s="1">
        <v>0.18990299999999999</v>
      </c>
      <c r="AA14" s="1">
        <v>-65.06</v>
      </c>
      <c r="AB14">
        <f t="shared" si="17"/>
        <v>460.72999999999996</v>
      </c>
      <c r="AD14" s="1">
        <v>0.196216</v>
      </c>
      <c r="AE14" s="1">
        <v>-65.84</v>
      </c>
      <c r="AF14">
        <f t="shared" si="18"/>
        <v>463.66999999999996</v>
      </c>
      <c r="AH14" s="1">
        <v>0.202736</v>
      </c>
      <c r="AI14" s="1">
        <v>-66.7</v>
      </c>
      <c r="AJ14">
        <f t="shared" si="19"/>
        <v>466.54</v>
      </c>
      <c r="AL14" s="1">
        <v>0.212002</v>
      </c>
      <c r="AM14" s="1">
        <v>-63.86</v>
      </c>
      <c r="AN14">
        <f t="shared" si="20"/>
        <v>474.47</v>
      </c>
      <c r="AP14" s="134"/>
      <c r="AQ14" s="44"/>
      <c r="AR14" s="136"/>
      <c r="AT14" s="61">
        <f t="shared" si="1"/>
        <v>0</v>
      </c>
      <c r="AU14" s="43">
        <f t="shared" si="2"/>
        <v>0</v>
      </c>
      <c r="AV14" s="35">
        <f t="shared" si="3"/>
        <v>0</v>
      </c>
      <c r="AW14" s="36">
        <f t="shared" si="21"/>
        <v>0</v>
      </c>
      <c r="AX14" s="35">
        <f t="shared" si="4"/>
        <v>0</v>
      </c>
      <c r="AY14" s="62">
        <f t="shared" si="5"/>
        <v>0</v>
      </c>
      <c r="AZ14" s="61">
        <f t="shared" si="6"/>
        <v>0</v>
      </c>
      <c r="BA14" s="43">
        <f t="shared" si="7"/>
        <v>0</v>
      </c>
      <c r="BB14" s="35">
        <f t="shared" si="71"/>
        <v>0</v>
      </c>
      <c r="BC14" s="36">
        <f t="shared" si="23"/>
        <v>0</v>
      </c>
      <c r="BD14" s="35">
        <f t="shared" si="24"/>
        <v>0</v>
      </c>
      <c r="BE14" s="62">
        <f t="shared" si="25"/>
        <v>0</v>
      </c>
      <c r="BF14" s="61">
        <f t="shared" si="26"/>
        <v>0</v>
      </c>
      <c r="BG14" s="43">
        <f t="shared" si="8"/>
        <v>0</v>
      </c>
      <c r="BH14" s="35">
        <f t="shared" si="27"/>
        <v>0</v>
      </c>
      <c r="BI14" s="36">
        <f t="shared" si="28"/>
        <v>0</v>
      </c>
      <c r="BJ14" s="35">
        <f t="shared" si="29"/>
        <v>0</v>
      </c>
      <c r="BK14" s="62">
        <f t="shared" si="30"/>
        <v>0</v>
      </c>
      <c r="BL14" s="61">
        <f t="shared" si="31"/>
        <v>0</v>
      </c>
      <c r="BM14" s="43">
        <f t="shared" si="32"/>
        <v>0</v>
      </c>
      <c r="BN14" s="35">
        <f t="shared" si="33"/>
        <v>0</v>
      </c>
      <c r="BO14" s="36">
        <f t="shared" si="34"/>
        <v>0</v>
      </c>
      <c r="BP14" s="35">
        <f t="shared" si="35"/>
        <v>0</v>
      </c>
      <c r="BQ14" s="62">
        <f t="shared" si="36"/>
        <v>0</v>
      </c>
      <c r="BR14" s="61">
        <f t="shared" si="37"/>
        <v>0</v>
      </c>
      <c r="BS14" s="43">
        <f t="shared" si="38"/>
        <v>0</v>
      </c>
      <c r="BT14" s="35">
        <f t="shared" si="39"/>
        <v>0</v>
      </c>
      <c r="BU14" s="36">
        <f t="shared" si="40"/>
        <v>0</v>
      </c>
      <c r="BV14" s="35">
        <f t="shared" si="41"/>
        <v>0</v>
      </c>
      <c r="BW14" s="62">
        <f t="shared" si="42"/>
        <v>0</v>
      </c>
      <c r="BX14" s="61">
        <f t="shared" si="43"/>
        <v>0</v>
      </c>
      <c r="BY14" s="43">
        <f t="shared" si="44"/>
        <v>0</v>
      </c>
      <c r="BZ14" s="35">
        <f t="shared" si="45"/>
        <v>0</v>
      </c>
      <c r="CA14" s="36">
        <f t="shared" si="46"/>
        <v>0</v>
      </c>
      <c r="CB14" s="35">
        <f t="shared" si="47"/>
        <v>0</v>
      </c>
      <c r="CC14" s="62">
        <f t="shared" si="48"/>
        <v>0</v>
      </c>
      <c r="CD14" s="61">
        <f t="shared" si="49"/>
        <v>0</v>
      </c>
      <c r="CE14" s="43">
        <f t="shared" si="9"/>
        <v>0</v>
      </c>
      <c r="CF14" s="35">
        <f t="shared" si="50"/>
        <v>0</v>
      </c>
      <c r="CG14" s="36">
        <f t="shared" si="51"/>
        <v>0</v>
      </c>
      <c r="CH14" s="35">
        <f t="shared" si="52"/>
        <v>0</v>
      </c>
      <c r="CI14" s="62">
        <f t="shared" si="70"/>
        <v>0</v>
      </c>
      <c r="CJ14" s="61">
        <f t="shared" si="53"/>
        <v>0</v>
      </c>
      <c r="CK14" s="43">
        <f t="shared" si="54"/>
        <v>0</v>
      </c>
      <c r="CL14" s="35">
        <f t="shared" si="55"/>
        <v>0</v>
      </c>
      <c r="CM14" s="36">
        <f t="shared" si="56"/>
        <v>0</v>
      </c>
      <c r="CN14" s="35">
        <f t="shared" si="57"/>
        <v>0</v>
      </c>
      <c r="CO14" s="62">
        <f t="shared" si="58"/>
        <v>0</v>
      </c>
      <c r="CP14" s="61">
        <f t="shared" si="59"/>
        <v>0</v>
      </c>
      <c r="CQ14" s="43">
        <f t="shared" si="60"/>
        <v>0</v>
      </c>
      <c r="CR14" s="35">
        <f t="shared" si="61"/>
        <v>0</v>
      </c>
      <c r="CS14" s="43">
        <f t="shared" si="62"/>
        <v>0</v>
      </c>
      <c r="CT14" s="43">
        <f t="shared" si="10"/>
        <v>0</v>
      </c>
      <c r="CU14" s="62">
        <f t="shared" si="63"/>
        <v>0</v>
      </c>
      <c r="CV14" s="61">
        <f t="shared" si="64"/>
        <v>0</v>
      </c>
      <c r="CW14" s="43">
        <f t="shared" si="65"/>
        <v>0</v>
      </c>
      <c r="CX14" s="35">
        <f t="shared" si="66"/>
        <v>0</v>
      </c>
      <c r="CY14" s="36">
        <f t="shared" si="67"/>
        <v>0</v>
      </c>
      <c r="CZ14" s="35">
        <f t="shared" si="68"/>
        <v>0</v>
      </c>
      <c r="DA14" s="62">
        <f t="shared" si="69"/>
        <v>0</v>
      </c>
    </row>
    <row r="15" spans="2:105" x14ac:dyDescent="0.3">
      <c r="B15" s="1">
        <v>0.19540199999999999</v>
      </c>
      <c r="C15" s="1">
        <v>-64.16</v>
      </c>
      <c r="D15">
        <f t="shared" si="11"/>
        <v>420.78</v>
      </c>
      <c r="F15" s="1">
        <v>0.192492</v>
      </c>
      <c r="G15" s="1">
        <v>-49.63</v>
      </c>
      <c r="H15">
        <f t="shared" si="12"/>
        <v>433.19</v>
      </c>
      <c r="J15" s="1">
        <v>0.19139100000000001</v>
      </c>
      <c r="K15" s="1">
        <v>-54.26</v>
      </c>
      <c r="L15">
        <f t="shared" si="13"/>
        <v>441.83</v>
      </c>
      <c r="N15" s="1">
        <v>0.190472</v>
      </c>
      <c r="O15" s="1">
        <v>-62.78</v>
      </c>
      <c r="P15">
        <f t="shared" si="14"/>
        <v>433.30999999999995</v>
      </c>
      <c r="R15" s="1">
        <v>0.191611</v>
      </c>
      <c r="S15" s="1">
        <v>-68.39</v>
      </c>
      <c r="T15">
        <f t="shared" si="15"/>
        <v>450.1</v>
      </c>
      <c r="V15" s="1">
        <v>0.197711</v>
      </c>
      <c r="W15" s="1">
        <v>-68.42</v>
      </c>
      <c r="X15">
        <f t="shared" si="16"/>
        <v>453.44</v>
      </c>
      <c r="Z15" s="1">
        <v>0.20485</v>
      </c>
      <c r="AA15" s="1">
        <v>-69.5</v>
      </c>
      <c r="AB15">
        <f t="shared" si="17"/>
        <v>456.28999999999996</v>
      </c>
      <c r="AD15" s="1">
        <v>0.21166099999999999</v>
      </c>
      <c r="AE15" s="1">
        <v>-70.459999999999994</v>
      </c>
      <c r="AF15">
        <f t="shared" si="18"/>
        <v>459.05</v>
      </c>
      <c r="AH15" s="1">
        <v>0.218694</v>
      </c>
      <c r="AI15" s="1">
        <v>-67.959999999999994</v>
      </c>
      <c r="AJ15">
        <f t="shared" si="19"/>
        <v>465.28000000000003</v>
      </c>
      <c r="AL15" s="1">
        <v>0.228689</v>
      </c>
      <c r="AM15" s="1">
        <v>-61.79</v>
      </c>
      <c r="AN15">
        <f t="shared" si="20"/>
        <v>476.54</v>
      </c>
      <c r="AP15" s="44"/>
      <c r="AQ15" s="44"/>
      <c r="AR15" s="44"/>
      <c r="AT15" s="61">
        <f t="shared" si="1"/>
        <v>0</v>
      </c>
      <c r="AU15" s="43">
        <f t="shared" si="2"/>
        <v>0</v>
      </c>
      <c r="AV15" s="35">
        <f t="shared" si="3"/>
        <v>0</v>
      </c>
      <c r="AW15" s="36">
        <f t="shared" si="21"/>
        <v>0</v>
      </c>
      <c r="AX15" s="35">
        <f t="shared" si="4"/>
        <v>0</v>
      </c>
      <c r="AY15" s="62">
        <f t="shared" si="5"/>
        <v>0</v>
      </c>
      <c r="AZ15" s="61">
        <f t="shared" si="6"/>
        <v>0</v>
      </c>
      <c r="BA15" s="43">
        <f t="shared" si="7"/>
        <v>0</v>
      </c>
      <c r="BB15" s="35">
        <f t="shared" si="71"/>
        <v>0</v>
      </c>
      <c r="BC15" s="36">
        <f t="shared" si="23"/>
        <v>0</v>
      </c>
      <c r="BD15" s="35">
        <f t="shared" si="24"/>
        <v>0</v>
      </c>
      <c r="BE15" s="62">
        <f t="shared" si="25"/>
        <v>0</v>
      </c>
      <c r="BF15" s="61">
        <f t="shared" si="26"/>
        <v>0</v>
      </c>
      <c r="BG15" s="43">
        <f t="shared" si="8"/>
        <v>0</v>
      </c>
      <c r="BH15" s="35">
        <f t="shared" si="27"/>
        <v>0</v>
      </c>
      <c r="BI15" s="36">
        <f t="shared" si="28"/>
        <v>0</v>
      </c>
      <c r="BJ15" s="35">
        <f t="shared" si="29"/>
        <v>0</v>
      </c>
      <c r="BK15" s="62">
        <f t="shared" si="30"/>
        <v>0</v>
      </c>
      <c r="BL15" s="61">
        <f t="shared" si="31"/>
        <v>0</v>
      </c>
      <c r="BM15" s="43">
        <f t="shared" si="32"/>
        <v>0</v>
      </c>
      <c r="BN15" s="35">
        <f t="shared" si="33"/>
        <v>0</v>
      </c>
      <c r="BO15" s="36">
        <f t="shared" si="34"/>
        <v>0</v>
      </c>
      <c r="BP15" s="35">
        <f t="shared" si="35"/>
        <v>0</v>
      </c>
      <c r="BQ15" s="62">
        <f t="shared" si="36"/>
        <v>0</v>
      </c>
      <c r="BR15" s="61">
        <f t="shared" si="37"/>
        <v>0</v>
      </c>
      <c r="BS15" s="43">
        <f t="shared" si="38"/>
        <v>0</v>
      </c>
      <c r="BT15" s="35">
        <f t="shared" si="39"/>
        <v>0</v>
      </c>
      <c r="BU15" s="36">
        <f t="shared" si="40"/>
        <v>0</v>
      </c>
      <c r="BV15" s="35">
        <f t="shared" si="41"/>
        <v>0</v>
      </c>
      <c r="BW15" s="62">
        <f t="shared" si="42"/>
        <v>0</v>
      </c>
      <c r="BX15" s="61">
        <f t="shared" si="43"/>
        <v>0</v>
      </c>
      <c r="BY15" s="43">
        <f t="shared" si="44"/>
        <v>0</v>
      </c>
      <c r="BZ15" s="35">
        <f t="shared" si="45"/>
        <v>0</v>
      </c>
      <c r="CA15" s="36">
        <f t="shared" si="46"/>
        <v>0</v>
      </c>
      <c r="CB15" s="35">
        <f t="shared" si="47"/>
        <v>0</v>
      </c>
      <c r="CC15" s="62">
        <f t="shared" si="48"/>
        <v>0</v>
      </c>
      <c r="CD15" s="61">
        <f t="shared" si="49"/>
        <v>0</v>
      </c>
      <c r="CE15" s="43">
        <f t="shared" si="9"/>
        <v>0</v>
      </c>
      <c r="CF15" s="35">
        <f t="shared" si="50"/>
        <v>0</v>
      </c>
      <c r="CG15" s="36">
        <f t="shared" si="51"/>
        <v>0</v>
      </c>
      <c r="CH15" s="35">
        <f t="shared" si="52"/>
        <v>0</v>
      </c>
      <c r="CI15" s="62">
        <f t="shared" si="70"/>
        <v>0</v>
      </c>
      <c r="CJ15" s="61">
        <f t="shared" si="53"/>
        <v>0</v>
      </c>
      <c r="CK15" s="43">
        <f t="shared" si="54"/>
        <v>0</v>
      </c>
      <c r="CL15" s="35">
        <f t="shared" si="55"/>
        <v>0</v>
      </c>
      <c r="CM15" s="36">
        <f t="shared" si="56"/>
        <v>0</v>
      </c>
      <c r="CN15" s="35">
        <f t="shared" si="57"/>
        <v>0</v>
      </c>
      <c r="CO15" s="62">
        <f t="shared" si="58"/>
        <v>0</v>
      </c>
      <c r="CP15" s="61">
        <f t="shared" si="59"/>
        <v>0</v>
      </c>
      <c r="CQ15" s="43">
        <f t="shared" si="60"/>
        <v>0</v>
      </c>
      <c r="CR15" s="35">
        <f t="shared" si="61"/>
        <v>0</v>
      </c>
      <c r="CS15" s="43">
        <f t="shared" si="62"/>
        <v>0</v>
      </c>
      <c r="CT15" s="43">
        <f t="shared" si="10"/>
        <v>0</v>
      </c>
      <c r="CU15" s="62">
        <f t="shared" si="63"/>
        <v>0</v>
      </c>
      <c r="CV15" s="61">
        <f t="shared" si="64"/>
        <v>0</v>
      </c>
      <c r="CW15" s="43">
        <f t="shared" si="65"/>
        <v>0</v>
      </c>
      <c r="CX15" s="35">
        <f t="shared" si="66"/>
        <v>0</v>
      </c>
      <c r="CY15" s="36">
        <f t="shared" si="67"/>
        <v>0</v>
      </c>
      <c r="CZ15" s="35">
        <f t="shared" si="68"/>
        <v>0</v>
      </c>
      <c r="DA15" s="62">
        <f t="shared" si="69"/>
        <v>0</v>
      </c>
    </row>
    <row r="16" spans="2:105" x14ac:dyDescent="0.3">
      <c r="B16" s="1">
        <v>0.20966000000000001</v>
      </c>
      <c r="C16" s="1">
        <v>-62.02</v>
      </c>
      <c r="D16">
        <f t="shared" si="11"/>
        <v>422.92</v>
      </c>
      <c r="F16" s="1">
        <v>0.206538</v>
      </c>
      <c r="G16" s="1">
        <v>-48.71</v>
      </c>
      <c r="H16">
        <f t="shared" si="12"/>
        <v>434.11</v>
      </c>
      <c r="J16" s="1">
        <v>0.20535600000000001</v>
      </c>
      <c r="K16" s="1">
        <v>-57.32</v>
      </c>
      <c r="L16">
        <f t="shared" si="13"/>
        <v>438.77</v>
      </c>
      <c r="N16" s="1">
        <v>0.20437</v>
      </c>
      <c r="O16" s="1">
        <v>-66.41</v>
      </c>
      <c r="P16">
        <f t="shared" si="14"/>
        <v>429.67999999999995</v>
      </c>
      <c r="R16" s="1">
        <v>0.205593</v>
      </c>
      <c r="S16" s="1">
        <v>-72.19</v>
      </c>
      <c r="T16">
        <f t="shared" si="15"/>
        <v>446.3</v>
      </c>
      <c r="V16" s="1">
        <v>0.21213799999999999</v>
      </c>
      <c r="W16" s="1">
        <v>-72.709999999999994</v>
      </c>
      <c r="X16">
        <f t="shared" si="16"/>
        <v>449.15000000000003</v>
      </c>
      <c r="Z16" s="1">
        <v>0.21979799999999999</v>
      </c>
      <c r="AA16" s="1">
        <v>-73.98</v>
      </c>
      <c r="AB16">
        <f t="shared" si="17"/>
        <v>451.80999999999995</v>
      </c>
      <c r="AD16" s="1">
        <v>0.227105</v>
      </c>
      <c r="AE16" s="1">
        <v>-73.98</v>
      </c>
      <c r="AF16">
        <f t="shared" si="18"/>
        <v>455.53</v>
      </c>
      <c r="AH16" s="1">
        <v>0.234651</v>
      </c>
      <c r="AI16" s="1">
        <v>-66.31</v>
      </c>
      <c r="AJ16">
        <f t="shared" si="19"/>
        <v>466.93</v>
      </c>
      <c r="AL16" s="1">
        <v>0.24537600000000001</v>
      </c>
      <c r="AM16" s="1">
        <v>-4.6399999999999997</v>
      </c>
      <c r="AN16">
        <f t="shared" si="20"/>
        <v>533.69000000000005</v>
      </c>
      <c r="AP16" s="44"/>
      <c r="AQ16" s="44"/>
      <c r="AR16" s="44"/>
      <c r="AT16" s="61">
        <f t="shared" si="1"/>
        <v>0</v>
      </c>
      <c r="AU16" s="43">
        <f t="shared" si="2"/>
        <v>0</v>
      </c>
      <c r="AV16" s="35">
        <f t="shared" si="3"/>
        <v>0</v>
      </c>
      <c r="AW16" s="36">
        <f t="shared" si="21"/>
        <v>0</v>
      </c>
      <c r="AX16" s="35">
        <f t="shared" si="4"/>
        <v>0</v>
      </c>
      <c r="AY16" s="62">
        <f t="shared" si="5"/>
        <v>0</v>
      </c>
      <c r="AZ16" s="61">
        <f t="shared" si="6"/>
        <v>0</v>
      </c>
      <c r="BA16" s="43">
        <f t="shared" si="7"/>
        <v>0</v>
      </c>
      <c r="BB16" s="35">
        <f t="shared" si="71"/>
        <v>0</v>
      </c>
      <c r="BC16" s="36">
        <f t="shared" si="23"/>
        <v>0</v>
      </c>
      <c r="BD16" s="35">
        <f t="shared" si="24"/>
        <v>0</v>
      </c>
      <c r="BE16" s="62">
        <f t="shared" si="25"/>
        <v>0</v>
      </c>
      <c r="BF16" s="61">
        <f t="shared" si="26"/>
        <v>0</v>
      </c>
      <c r="BG16" s="43">
        <f t="shared" si="8"/>
        <v>0</v>
      </c>
      <c r="BH16" s="35">
        <f t="shared" si="27"/>
        <v>0</v>
      </c>
      <c r="BI16" s="36">
        <f t="shared" si="28"/>
        <v>0</v>
      </c>
      <c r="BJ16" s="35">
        <f t="shared" si="29"/>
        <v>0</v>
      </c>
      <c r="BK16" s="62">
        <f t="shared" si="30"/>
        <v>0</v>
      </c>
      <c r="BL16" s="61">
        <f t="shared" si="31"/>
        <v>0</v>
      </c>
      <c r="BM16" s="43">
        <f t="shared" si="32"/>
        <v>0</v>
      </c>
      <c r="BN16" s="35">
        <f t="shared" si="33"/>
        <v>0</v>
      </c>
      <c r="BO16" s="36">
        <f t="shared" si="34"/>
        <v>0</v>
      </c>
      <c r="BP16" s="35">
        <f t="shared" si="35"/>
        <v>0</v>
      </c>
      <c r="BQ16" s="62">
        <f t="shared" si="36"/>
        <v>0</v>
      </c>
      <c r="BR16" s="61">
        <f t="shared" si="37"/>
        <v>0</v>
      </c>
      <c r="BS16" s="43">
        <f t="shared" si="38"/>
        <v>0</v>
      </c>
      <c r="BT16" s="35">
        <f t="shared" si="39"/>
        <v>0</v>
      </c>
      <c r="BU16" s="36">
        <f t="shared" si="40"/>
        <v>0</v>
      </c>
      <c r="BV16" s="35">
        <f t="shared" si="41"/>
        <v>0</v>
      </c>
      <c r="BW16" s="62">
        <f t="shared" si="42"/>
        <v>0</v>
      </c>
      <c r="BX16" s="61">
        <f t="shared" si="43"/>
        <v>0</v>
      </c>
      <c r="BY16" s="43">
        <f t="shared" si="44"/>
        <v>0</v>
      </c>
      <c r="BZ16" s="35">
        <f t="shared" si="45"/>
        <v>0</v>
      </c>
      <c r="CA16" s="36">
        <f t="shared" si="46"/>
        <v>0</v>
      </c>
      <c r="CB16" s="35">
        <f t="shared" si="47"/>
        <v>0</v>
      </c>
      <c r="CC16" s="62">
        <f t="shared" si="48"/>
        <v>0</v>
      </c>
      <c r="CD16" s="61">
        <f t="shared" si="49"/>
        <v>0</v>
      </c>
      <c r="CE16" s="43">
        <f t="shared" si="9"/>
        <v>0</v>
      </c>
      <c r="CF16" s="35">
        <f t="shared" si="50"/>
        <v>0</v>
      </c>
      <c r="CG16" s="36">
        <f t="shared" si="51"/>
        <v>0</v>
      </c>
      <c r="CH16" s="35">
        <f t="shared" si="52"/>
        <v>0</v>
      </c>
      <c r="CI16" s="62">
        <f t="shared" si="70"/>
        <v>0</v>
      </c>
      <c r="CJ16" s="61">
        <f t="shared" si="53"/>
        <v>0</v>
      </c>
      <c r="CK16" s="43">
        <f t="shared" si="54"/>
        <v>0</v>
      </c>
      <c r="CL16" s="35">
        <f t="shared" si="55"/>
        <v>0</v>
      </c>
      <c r="CM16" s="36">
        <f t="shared" si="56"/>
        <v>0</v>
      </c>
      <c r="CN16" s="35">
        <f t="shared" si="57"/>
        <v>0</v>
      </c>
      <c r="CO16" s="62">
        <f t="shared" si="58"/>
        <v>0</v>
      </c>
      <c r="CP16" s="61">
        <f t="shared" si="59"/>
        <v>0</v>
      </c>
      <c r="CQ16" s="43">
        <f t="shared" si="60"/>
        <v>0</v>
      </c>
      <c r="CR16" s="35">
        <f t="shared" si="61"/>
        <v>0</v>
      </c>
      <c r="CS16" s="43">
        <f t="shared" si="62"/>
        <v>0</v>
      </c>
      <c r="CT16" s="43">
        <f t="shared" si="10"/>
        <v>0</v>
      </c>
      <c r="CU16" s="62">
        <f t="shared" si="63"/>
        <v>0</v>
      </c>
      <c r="CV16" s="61">
        <f t="shared" si="64"/>
        <v>0</v>
      </c>
      <c r="CW16" s="43">
        <f t="shared" si="65"/>
        <v>0</v>
      </c>
      <c r="CX16" s="35">
        <f t="shared" si="66"/>
        <v>0</v>
      </c>
      <c r="CY16" s="36">
        <f t="shared" si="67"/>
        <v>0</v>
      </c>
      <c r="CZ16" s="35">
        <f t="shared" si="68"/>
        <v>0</v>
      </c>
      <c r="DA16" s="62">
        <f t="shared" si="69"/>
        <v>0</v>
      </c>
    </row>
    <row r="17" spans="2:105" x14ac:dyDescent="0.3">
      <c r="B17" s="1">
        <v>0.22391800000000001</v>
      </c>
      <c r="C17" s="1">
        <v>-60.05</v>
      </c>
      <c r="D17">
        <f t="shared" si="11"/>
        <v>424.89</v>
      </c>
      <c r="F17" s="1">
        <v>0.220583</v>
      </c>
      <c r="G17" s="1">
        <v>-51.68</v>
      </c>
      <c r="H17">
        <f t="shared" si="12"/>
        <v>431.14</v>
      </c>
      <c r="J17" s="1">
        <v>0.21932099999999999</v>
      </c>
      <c r="K17" s="1">
        <v>-60.45</v>
      </c>
      <c r="L17">
        <f t="shared" si="13"/>
        <v>435.64</v>
      </c>
      <c r="N17" s="1">
        <v>0.21826899999999999</v>
      </c>
      <c r="O17" s="1">
        <v>-70.03</v>
      </c>
      <c r="P17">
        <f t="shared" si="14"/>
        <v>426.05999999999995</v>
      </c>
      <c r="R17" s="1">
        <v>0.21957399999999999</v>
      </c>
      <c r="S17" s="1">
        <v>-76.22</v>
      </c>
      <c r="T17">
        <f t="shared" si="15"/>
        <v>442.27</v>
      </c>
      <c r="V17" s="1">
        <v>0.22656399999999999</v>
      </c>
      <c r="W17" s="1">
        <v>-76.959999999999994</v>
      </c>
      <c r="X17">
        <f t="shared" si="16"/>
        <v>444.90000000000003</v>
      </c>
      <c r="Z17" s="1">
        <v>0.23474500000000001</v>
      </c>
      <c r="AA17" s="1">
        <v>-78.430000000000007</v>
      </c>
      <c r="AB17">
        <f t="shared" si="17"/>
        <v>447.35999999999996</v>
      </c>
      <c r="AD17" s="1">
        <v>0.24254899999999999</v>
      </c>
      <c r="AE17" s="1">
        <v>-72.25</v>
      </c>
      <c r="AF17">
        <f t="shared" si="18"/>
        <v>457.26</v>
      </c>
      <c r="AH17" s="1">
        <v>0.25060900000000003</v>
      </c>
      <c r="AI17" s="1">
        <v>-64.62</v>
      </c>
      <c r="AJ17">
        <f t="shared" si="19"/>
        <v>468.62</v>
      </c>
      <c r="AL17" s="1">
        <v>0.26206299999999999</v>
      </c>
      <c r="AM17" s="1">
        <v>-2.46</v>
      </c>
      <c r="AN17">
        <f t="shared" si="20"/>
        <v>535.87</v>
      </c>
      <c r="AP17" s="56"/>
      <c r="AQ17" s="56"/>
      <c r="AR17" s="56"/>
      <c r="AT17" s="61">
        <f t="shared" si="1"/>
        <v>0</v>
      </c>
      <c r="AU17" s="43">
        <f t="shared" si="2"/>
        <v>0</v>
      </c>
      <c r="AV17" s="35">
        <f t="shared" si="3"/>
        <v>0</v>
      </c>
      <c r="AW17" s="36">
        <f t="shared" si="21"/>
        <v>0</v>
      </c>
      <c r="AX17" s="35">
        <f t="shared" si="4"/>
        <v>0</v>
      </c>
      <c r="AY17" s="62">
        <f t="shared" si="5"/>
        <v>0</v>
      </c>
      <c r="AZ17" s="61">
        <f t="shared" si="6"/>
        <v>0</v>
      </c>
      <c r="BA17" s="43">
        <f t="shared" si="7"/>
        <v>0</v>
      </c>
      <c r="BB17" s="35">
        <f t="shared" si="71"/>
        <v>0</v>
      </c>
      <c r="BC17" s="36">
        <f t="shared" si="23"/>
        <v>0</v>
      </c>
      <c r="BD17" s="35">
        <f t="shared" si="24"/>
        <v>0</v>
      </c>
      <c r="BE17" s="62">
        <f t="shared" si="25"/>
        <v>0</v>
      </c>
      <c r="BF17" s="61">
        <f t="shared" si="26"/>
        <v>0</v>
      </c>
      <c r="BG17" s="43">
        <f t="shared" si="8"/>
        <v>0</v>
      </c>
      <c r="BH17" s="35">
        <f t="shared" si="27"/>
        <v>0</v>
      </c>
      <c r="BI17" s="36">
        <f t="shared" si="28"/>
        <v>0</v>
      </c>
      <c r="BJ17" s="35">
        <f t="shared" si="29"/>
        <v>0</v>
      </c>
      <c r="BK17" s="62">
        <f t="shared" si="30"/>
        <v>0</v>
      </c>
      <c r="BL17" s="61">
        <f t="shared" si="31"/>
        <v>0</v>
      </c>
      <c r="BM17" s="43">
        <f t="shared" si="32"/>
        <v>0</v>
      </c>
      <c r="BN17" s="35">
        <f t="shared" si="33"/>
        <v>0</v>
      </c>
      <c r="BO17" s="36">
        <f t="shared" si="34"/>
        <v>0</v>
      </c>
      <c r="BP17" s="35">
        <f t="shared" si="35"/>
        <v>0</v>
      </c>
      <c r="BQ17" s="62">
        <f t="shared" si="36"/>
        <v>0</v>
      </c>
      <c r="BR17" s="61">
        <f t="shared" si="37"/>
        <v>0</v>
      </c>
      <c r="BS17" s="43">
        <f t="shared" si="38"/>
        <v>0</v>
      </c>
      <c r="BT17" s="35">
        <f t="shared" si="39"/>
        <v>0</v>
      </c>
      <c r="BU17" s="36">
        <f t="shared" si="40"/>
        <v>0</v>
      </c>
      <c r="BV17" s="35">
        <f t="shared" si="41"/>
        <v>0</v>
      </c>
      <c r="BW17" s="62">
        <f t="shared" si="42"/>
        <v>0</v>
      </c>
      <c r="BX17" s="61">
        <f t="shared" si="43"/>
        <v>0</v>
      </c>
      <c r="BY17" s="43">
        <f t="shared" si="44"/>
        <v>0</v>
      </c>
      <c r="BZ17" s="35">
        <f t="shared" si="45"/>
        <v>0</v>
      </c>
      <c r="CA17" s="36">
        <f t="shared" si="46"/>
        <v>0</v>
      </c>
      <c r="CB17" s="35">
        <f t="shared" si="47"/>
        <v>0</v>
      </c>
      <c r="CC17" s="62">
        <f t="shared" si="48"/>
        <v>0</v>
      </c>
      <c r="CD17" s="61">
        <f t="shared" si="49"/>
        <v>0</v>
      </c>
      <c r="CE17" s="43">
        <f t="shared" si="9"/>
        <v>0</v>
      </c>
      <c r="CF17" s="35">
        <f t="shared" si="50"/>
        <v>0</v>
      </c>
      <c r="CG17" s="36">
        <f t="shared" si="51"/>
        <v>0</v>
      </c>
      <c r="CH17" s="35">
        <f t="shared" si="52"/>
        <v>0</v>
      </c>
      <c r="CI17" s="62">
        <f t="shared" si="70"/>
        <v>0</v>
      </c>
      <c r="CJ17" s="61">
        <f t="shared" si="53"/>
        <v>0</v>
      </c>
      <c r="CK17" s="43">
        <f t="shared" si="54"/>
        <v>0</v>
      </c>
      <c r="CL17" s="35">
        <f t="shared" si="55"/>
        <v>0</v>
      </c>
      <c r="CM17" s="36">
        <f t="shared" si="56"/>
        <v>0</v>
      </c>
      <c r="CN17" s="35">
        <f t="shared" si="57"/>
        <v>0</v>
      </c>
      <c r="CO17" s="62">
        <f t="shared" si="58"/>
        <v>0</v>
      </c>
      <c r="CP17" s="61">
        <f t="shared" si="59"/>
        <v>0</v>
      </c>
      <c r="CQ17" s="43">
        <f t="shared" si="60"/>
        <v>0</v>
      </c>
      <c r="CR17" s="35">
        <f t="shared" si="61"/>
        <v>0</v>
      </c>
      <c r="CS17" s="43">
        <f t="shared" si="62"/>
        <v>0</v>
      </c>
      <c r="CT17" s="43">
        <f t="shared" si="10"/>
        <v>0</v>
      </c>
      <c r="CU17" s="62">
        <f t="shared" si="63"/>
        <v>0</v>
      </c>
      <c r="CV17" s="61">
        <f t="shared" si="64"/>
        <v>0</v>
      </c>
      <c r="CW17" s="43">
        <f t="shared" si="65"/>
        <v>0</v>
      </c>
      <c r="CX17" s="35">
        <f t="shared" si="66"/>
        <v>0</v>
      </c>
      <c r="CY17" s="36">
        <f t="shared" si="67"/>
        <v>0</v>
      </c>
      <c r="CZ17" s="35">
        <f t="shared" si="68"/>
        <v>0</v>
      </c>
      <c r="DA17" s="62">
        <f t="shared" si="69"/>
        <v>0</v>
      </c>
    </row>
    <row r="18" spans="2:105" x14ac:dyDescent="0.3">
      <c r="B18" s="1">
        <v>0.238147</v>
      </c>
      <c r="C18" s="1">
        <v>-61.27</v>
      </c>
      <c r="D18">
        <f t="shared" si="11"/>
        <v>423.67</v>
      </c>
      <c r="F18" s="1">
        <v>0.234601</v>
      </c>
      <c r="G18" s="1">
        <v>-54.64</v>
      </c>
      <c r="H18">
        <f t="shared" si="12"/>
        <v>428.18</v>
      </c>
      <c r="J18" s="1">
        <v>0.23325899999999999</v>
      </c>
      <c r="K18" s="1">
        <v>-63.85</v>
      </c>
      <c r="L18">
        <f t="shared" si="13"/>
        <v>432.23999999999995</v>
      </c>
      <c r="N18" s="1">
        <v>0.23213900000000001</v>
      </c>
      <c r="O18" s="1">
        <v>-73.69</v>
      </c>
      <c r="P18">
        <f t="shared" si="14"/>
        <v>422.4</v>
      </c>
      <c r="R18" s="1">
        <v>0.23352700000000001</v>
      </c>
      <c r="S18" s="1">
        <v>-80.27</v>
      </c>
      <c r="T18">
        <f t="shared" si="15"/>
        <v>438.22</v>
      </c>
      <c r="V18" s="1">
        <v>0.24096200000000001</v>
      </c>
      <c r="W18" s="1">
        <v>-81.2</v>
      </c>
      <c r="X18">
        <f t="shared" si="16"/>
        <v>440.66</v>
      </c>
      <c r="Z18" s="1">
        <v>0.249662</v>
      </c>
      <c r="AA18" s="1">
        <v>-78.45</v>
      </c>
      <c r="AB18">
        <f t="shared" si="17"/>
        <v>447.34</v>
      </c>
      <c r="AD18" s="1">
        <v>0.25796200000000002</v>
      </c>
      <c r="AE18" s="1">
        <v>-70.66</v>
      </c>
      <c r="AF18">
        <f t="shared" si="18"/>
        <v>458.85</v>
      </c>
      <c r="AH18" s="1">
        <v>0.26653399999999999</v>
      </c>
      <c r="AI18" s="1">
        <v>-7.19</v>
      </c>
      <c r="AJ18">
        <f t="shared" si="19"/>
        <v>526.04999999999995</v>
      </c>
      <c r="AL18" s="1">
        <v>0.27871600000000002</v>
      </c>
      <c r="AM18" s="1">
        <v>-0.47</v>
      </c>
      <c r="AN18">
        <f t="shared" si="20"/>
        <v>537.86</v>
      </c>
      <c r="AP18" s="56"/>
      <c r="AQ18" s="77"/>
      <c r="AR18" s="56"/>
      <c r="AT18" s="61">
        <f t="shared" si="1"/>
        <v>0</v>
      </c>
      <c r="AU18" s="43">
        <f t="shared" si="2"/>
        <v>0</v>
      </c>
      <c r="AV18" s="35">
        <f t="shared" si="3"/>
        <v>0</v>
      </c>
      <c r="AW18" s="36">
        <f t="shared" si="21"/>
        <v>0</v>
      </c>
      <c r="AX18" s="35">
        <f t="shared" si="4"/>
        <v>0</v>
      </c>
      <c r="AY18" s="62">
        <f t="shared" si="5"/>
        <v>0</v>
      </c>
      <c r="AZ18" s="61">
        <f t="shared" si="6"/>
        <v>0</v>
      </c>
      <c r="BA18" s="43">
        <f t="shared" si="7"/>
        <v>0</v>
      </c>
      <c r="BB18" s="35">
        <f t="shared" si="71"/>
        <v>0</v>
      </c>
      <c r="BC18" s="36">
        <f t="shared" si="23"/>
        <v>0</v>
      </c>
      <c r="BD18" s="35">
        <f t="shared" si="24"/>
        <v>0</v>
      </c>
      <c r="BE18" s="62">
        <f t="shared" si="25"/>
        <v>0</v>
      </c>
      <c r="BF18" s="61">
        <f t="shared" si="26"/>
        <v>0</v>
      </c>
      <c r="BG18" s="43">
        <f t="shared" si="8"/>
        <v>0</v>
      </c>
      <c r="BH18" s="35">
        <f t="shared" si="27"/>
        <v>0</v>
      </c>
      <c r="BI18" s="36">
        <f t="shared" si="28"/>
        <v>0</v>
      </c>
      <c r="BJ18" s="35">
        <f t="shared" si="29"/>
        <v>0</v>
      </c>
      <c r="BK18" s="62">
        <f t="shared" si="30"/>
        <v>0</v>
      </c>
      <c r="BL18" s="61">
        <f t="shared" si="31"/>
        <v>0</v>
      </c>
      <c r="BM18" s="43">
        <f t="shared" si="32"/>
        <v>0</v>
      </c>
      <c r="BN18" s="35">
        <f t="shared" si="33"/>
        <v>0</v>
      </c>
      <c r="BO18" s="36">
        <f t="shared" si="34"/>
        <v>0</v>
      </c>
      <c r="BP18" s="35">
        <f t="shared" si="35"/>
        <v>0</v>
      </c>
      <c r="BQ18" s="62">
        <f t="shared" si="36"/>
        <v>0</v>
      </c>
      <c r="BR18" s="61">
        <f t="shared" si="37"/>
        <v>0</v>
      </c>
      <c r="BS18" s="43">
        <f t="shared" si="38"/>
        <v>0</v>
      </c>
      <c r="BT18" s="35">
        <f t="shared" si="39"/>
        <v>0</v>
      </c>
      <c r="BU18" s="36">
        <f t="shared" si="40"/>
        <v>0</v>
      </c>
      <c r="BV18" s="35">
        <f t="shared" si="41"/>
        <v>0</v>
      </c>
      <c r="BW18" s="62">
        <f t="shared" si="42"/>
        <v>0</v>
      </c>
      <c r="BX18" s="61">
        <f t="shared" si="43"/>
        <v>0</v>
      </c>
      <c r="BY18" s="43">
        <f t="shared" si="44"/>
        <v>0</v>
      </c>
      <c r="BZ18" s="35">
        <f t="shared" si="45"/>
        <v>0</v>
      </c>
      <c r="CA18" s="36">
        <f t="shared" si="46"/>
        <v>0</v>
      </c>
      <c r="CB18" s="35">
        <f t="shared" si="47"/>
        <v>0</v>
      </c>
      <c r="CC18" s="62">
        <f t="shared" si="48"/>
        <v>0</v>
      </c>
      <c r="CD18" s="61">
        <f t="shared" si="49"/>
        <v>0</v>
      </c>
      <c r="CE18" s="43">
        <f t="shared" si="9"/>
        <v>0</v>
      </c>
      <c r="CF18" s="35">
        <f t="shared" si="50"/>
        <v>0</v>
      </c>
      <c r="CG18" s="36">
        <f t="shared" si="51"/>
        <v>0</v>
      </c>
      <c r="CH18" s="35">
        <f t="shared" si="52"/>
        <v>0</v>
      </c>
      <c r="CI18" s="62">
        <f t="shared" si="70"/>
        <v>0</v>
      </c>
      <c r="CJ18" s="61">
        <f t="shared" si="53"/>
        <v>0</v>
      </c>
      <c r="CK18" s="43">
        <f t="shared" si="54"/>
        <v>0</v>
      </c>
      <c r="CL18" s="35">
        <f t="shared" si="55"/>
        <v>0</v>
      </c>
      <c r="CM18" s="36">
        <f t="shared" si="56"/>
        <v>0</v>
      </c>
      <c r="CN18" s="35">
        <f t="shared" si="57"/>
        <v>0</v>
      </c>
      <c r="CO18" s="62">
        <f t="shared" si="58"/>
        <v>0</v>
      </c>
      <c r="CP18" s="61">
        <f t="shared" si="59"/>
        <v>0</v>
      </c>
      <c r="CQ18" s="43">
        <f t="shared" si="60"/>
        <v>0</v>
      </c>
      <c r="CR18" s="35">
        <f t="shared" si="61"/>
        <v>0</v>
      </c>
      <c r="CS18" s="43">
        <f t="shared" si="62"/>
        <v>0</v>
      </c>
      <c r="CT18" s="43">
        <f t="shared" si="10"/>
        <v>0</v>
      </c>
      <c r="CU18" s="62">
        <f t="shared" si="63"/>
        <v>0</v>
      </c>
      <c r="CV18" s="61">
        <f t="shared" si="64"/>
        <v>0</v>
      </c>
      <c r="CW18" s="43">
        <f t="shared" si="65"/>
        <v>0</v>
      </c>
      <c r="CX18" s="35">
        <f t="shared" si="66"/>
        <v>0</v>
      </c>
      <c r="CY18" s="36">
        <f t="shared" si="67"/>
        <v>0</v>
      </c>
      <c r="CZ18" s="35">
        <f t="shared" si="68"/>
        <v>0</v>
      </c>
      <c r="DA18" s="62">
        <f t="shared" si="69"/>
        <v>0</v>
      </c>
    </row>
    <row r="19" spans="2:105" x14ac:dyDescent="0.3">
      <c r="B19" s="1">
        <v>0.25240499999999999</v>
      </c>
      <c r="C19" s="1">
        <v>-64.08</v>
      </c>
      <c r="D19">
        <f t="shared" si="11"/>
        <v>420.86</v>
      </c>
      <c r="F19" s="1">
        <v>0.24864600000000001</v>
      </c>
      <c r="G19" s="1">
        <v>-57.61</v>
      </c>
      <c r="H19">
        <f t="shared" si="12"/>
        <v>425.21</v>
      </c>
      <c r="J19" s="1">
        <v>0.247224</v>
      </c>
      <c r="K19" s="1">
        <v>-67.319999999999993</v>
      </c>
      <c r="L19">
        <f t="shared" si="13"/>
        <v>428.77</v>
      </c>
      <c r="N19" s="1">
        <v>0.24603700000000001</v>
      </c>
      <c r="O19" s="1">
        <v>-77.45</v>
      </c>
      <c r="P19">
        <f t="shared" si="14"/>
        <v>418.64</v>
      </c>
      <c r="R19" s="1">
        <v>0.24750800000000001</v>
      </c>
      <c r="S19" s="1">
        <v>-84.3</v>
      </c>
      <c r="T19">
        <f t="shared" si="15"/>
        <v>434.19</v>
      </c>
      <c r="V19" s="1">
        <v>0.255388</v>
      </c>
      <c r="W19" s="1">
        <v>-84.7</v>
      </c>
      <c r="X19">
        <f t="shared" si="16"/>
        <v>437.16</v>
      </c>
      <c r="Z19" s="1">
        <v>0.26461000000000001</v>
      </c>
      <c r="AA19" s="1">
        <v>-77</v>
      </c>
      <c r="AB19">
        <f t="shared" si="17"/>
        <v>448.78999999999996</v>
      </c>
      <c r="AD19" s="1">
        <v>0.27340700000000001</v>
      </c>
      <c r="AE19" s="1">
        <v>-13.68</v>
      </c>
      <c r="AF19">
        <f t="shared" si="18"/>
        <v>515.83000000000004</v>
      </c>
      <c r="AH19" s="1">
        <v>0.28249200000000002</v>
      </c>
      <c r="AI19" s="1">
        <v>-5.37</v>
      </c>
      <c r="AJ19">
        <f t="shared" si="19"/>
        <v>527.87</v>
      </c>
      <c r="AL19" s="1">
        <v>0.29540300000000003</v>
      </c>
      <c r="AM19" s="8">
        <v>1.39</v>
      </c>
      <c r="AN19">
        <f t="shared" si="20"/>
        <v>539.72</v>
      </c>
      <c r="AP19" s="56"/>
      <c r="AQ19" s="77"/>
      <c r="AR19" s="56"/>
      <c r="AT19" s="61">
        <f t="shared" si="1"/>
        <v>0</v>
      </c>
      <c r="AU19" s="43">
        <f t="shared" si="2"/>
        <v>0</v>
      </c>
      <c r="AV19" s="35">
        <f t="shared" si="3"/>
        <v>0</v>
      </c>
      <c r="AW19" s="36">
        <f t="shared" si="21"/>
        <v>0</v>
      </c>
      <c r="AX19" s="35">
        <f t="shared" si="4"/>
        <v>0</v>
      </c>
      <c r="AY19" s="62">
        <f t="shared" si="5"/>
        <v>0</v>
      </c>
      <c r="AZ19" s="61">
        <f t="shared" si="6"/>
        <v>0</v>
      </c>
      <c r="BA19" s="43">
        <f t="shared" si="7"/>
        <v>0</v>
      </c>
      <c r="BB19" s="35">
        <f t="shared" si="71"/>
        <v>0</v>
      </c>
      <c r="BC19" s="36">
        <f t="shared" si="23"/>
        <v>0</v>
      </c>
      <c r="BD19" s="35">
        <f t="shared" si="24"/>
        <v>0</v>
      </c>
      <c r="BE19" s="62">
        <f t="shared" si="25"/>
        <v>0</v>
      </c>
      <c r="BF19" s="61">
        <f t="shared" si="26"/>
        <v>0</v>
      </c>
      <c r="BG19" s="43">
        <f t="shared" si="8"/>
        <v>0</v>
      </c>
      <c r="BH19" s="35">
        <f t="shared" si="27"/>
        <v>0</v>
      </c>
      <c r="BI19" s="36">
        <f t="shared" si="28"/>
        <v>0</v>
      </c>
      <c r="BJ19" s="35">
        <f t="shared" si="29"/>
        <v>0</v>
      </c>
      <c r="BK19" s="62">
        <f t="shared" si="30"/>
        <v>0</v>
      </c>
      <c r="BL19" s="61">
        <f t="shared" si="31"/>
        <v>0</v>
      </c>
      <c r="BM19" s="43">
        <f t="shared" si="32"/>
        <v>0</v>
      </c>
      <c r="BN19" s="35">
        <f t="shared" si="33"/>
        <v>0</v>
      </c>
      <c r="BO19" s="36">
        <f t="shared" si="34"/>
        <v>0</v>
      </c>
      <c r="BP19" s="35">
        <f t="shared" si="35"/>
        <v>0</v>
      </c>
      <c r="BQ19" s="62">
        <f t="shared" si="36"/>
        <v>0</v>
      </c>
      <c r="BR19" s="61">
        <f t="shared" si="37"/>
        <v>0</v>
      </c>
      <c r="BS19" s="43">
        <f t="shared" si="38"/>
        <v>0</v>
      </c>
      <c r="BT19" s="35">
        <f t="shared" si="39"/>
        <v>0</v>
      </c>
      <c r="BU19" s="36">
        <f t="shared" si="40"/>
        <v>0</v>
      </c>
      <c r="BV19" s="35">
        <f t="shared" si="41"/>
        <v>0</v>
      </c>
      <c r="BW19" s="62">
        <f t="shared" si="42"/>
        <v>0</v>
      </c>
      <c r="BX19" s="61">
        <f t="shared" si="43"/>
        <v>0</v>
      </c>
      <c r="BY19" s="43">
        <f t="shared" si="44"/>
        <v>0</v>
      </c>
      <c r="BZ19" s="35">
        <f t="shared" si="45"/>
        <v>0</v>
      </c>
      <c r="CA19" s="36">
        <f t="shared" si="46"/>
        <v>0</v>
      </c>
      <c r="CB19" s="35">
        <f t="shared" si="47"/>
        <v>0</v>
      </c>
      <c r="CC19" s="62">
        <f t="shared" si="48"/>
        <v>0</v>
      </c>
      <c r="CD19" s="61">
        <f t="shared" si="49"/>
        <v>0</v>
      </c>
      <c r="CE19" s="43">
        <f t="shared" si="9"/>
        <v>0</v>
      </c>
      <c r="CF19" s="35">
        <f t="shared" si="50"/>
        <v>0</v>
      </c>
      <c r="CG19" s="36">
        <f t="shared" si="51"/>
        <v>0</v>
      </c>
      <c r="CH19" s="35">
        <f t="shared" si="52"/>
        <v>0</v>
      </c>
      <c r="CI19" s="62">
        <f t="shared" si="70"/>
        <v>0</v>
      </c>
      <c r="CJ19" s="61">
        <f t="shared" si="53"/>
        <v>0</v>
      </c>
      <c r="CK19" s="43">
        <f t="shared" si="54"/>
        <v>0</v>
      </c>
      <c r="CL19" s="35">
        <f t="shared" si="55"/>
        <v>0</v>
      </c>
      <c r="CM19" s="36">
        <f t="shared" si="56"/>
        <v>0</v>
      </c>
      <c r="CN19" s="35">
        <f t="shared" si="57"/>
        <v>0</v>
      </c>
      <c r="CO19" s="62">
        <f t="shared" si="58"/>
        <v>0</v>
      </c>
      <c r="CP19" s="61">
        <f t="shared" si="59"/>
        <v>0</v>
      </c>
      <c r="CQ19" s="43">
        <f t="shared" si="60"/>
        <v>0</v>
      </c>
      <c r="CR19" s="35">
        <f t="shared" si="61"/>
        <v>0</v>
      </c>
      <c r="CS19" s="43">
        <f t="shared" si="62"/>
        <v>0</v>
      </c>
      <c r="CT19" s="43">
        <f t="shared" si="10"/>
        <v>0</v>
      </c>
      <c r="CU19" s="62">
        <f t="shared" si="63"/>
        <v>0</v>
      </c>
      <c r="CV19" s="61">
        <f t="shared" si="64"/>
        <v>0</v>
      </c>
      <c r="CW19" s="43">
        <f t="shared" si="65"/>
        <v>0</v>
      </c>
      <c r="CX19" s="35">
        <f t="shared" si="66"/>
        <v>0</v>
      </c>
      <c r="CY19" s="36">
        <f t="shared" si="67"/>
        <v>0</v>
      </c>
      <c r="CZ19" s="35">
        <f t="shared" si="68"/>
        <v>0</v>
      </c>
      <c r="DA19" s="62">
        <f t="shared" si="69"/>
        <v>0</v>
      </c>
    </row>
    <row r="20" spans="2:105" x14ac:dyDescent="0.3">
      <c r="B20" s="1">
        <v>0.26663399999999998</v>
      </c>
      <c r="C20" s="1">
        <v>-66.89</v>
      </c>
      <c r="D20">
        <f t="shared" si="11"/>
        <v>418.05</v>
      </c>
      <c r="F20" s="1">
        <v>0.26266400000000001</v>
      </c>
      <c r="G20" s="1">
        <v>-60.66</v>
      </c>
      <c r="H20">
        <f t="shared" si="12"/>
        <v>422.15999999999997</v>
      </c>
      <c r="J20" s="1">
        <v>0.26116099999999998</v>
      </c>
      <c r="K20" s="1">
        <v>-70.760000000000005</v>
      </c>
      <c r="L20">
        <f t="shared" si="13"/>
        <v>425.33</v>
      </c>
      <c r="N20" s="1">
        <v>0.259907</v>
      </c>
      <c r="O20" s="1">
        <v>-81.290000000000006</v>
      </c>
      <c r="P20">
        <f t="shared" si="14"/>
        <v>414.79999999999995</v>
      </c>
      <c r="R20" s="1">
        <v>0.26146200000000003</v>
      </c>
      <c r="S20" s="1">
        <v>-88.32</v>
      </c>
      <c r="T20">
        <f t="shared" si="15"/>
        <v>430.17</v>
      </c>
      <c r="V20" s="1">
        <v>0.26978600000000003</v>
      </c>
      <c r="W20" s="1">
        <v>-83.47</v>
      </c>
      <c r="X20">
        <f t="shared" si="16"/>
        <v>438.39</v>
      </c>
      <c r="Z20" s="1">
        <v>0.27952700000000003</v>
      </c>
      <c r="AA20" s="1">
        <v>-75.849999999999994</v>
      </c>
      <c r="AB20">
        <f t="shared" si="17"/>
        <v>449.93999999999994</v>
      </c>
      <c r="AD20" s="1">
        <v>0.28882000000000002</v>
      </c>
      <c r="AE20" s="1">
        <v>-11.9</v>
      </c>
      <c r="AF20">
        <f t="shared" si="18"/>
        <v>517.61</v>
      </c>
      <c r="AH20" s="1">
        <v>0.29841699999999999</v>
      </c>
      <c r="AI20" s="1">
        <v>-3.6</v>
      </c>
      <c r="AJ20">
        <f t="shared" si="19"/>
        <v>529.64</v>
      </c>
      <c r="AL20" s="1">
        <v>0.312056</v>
      </c>
      <c r="AM20" s="8">
        <v>3.2</v>
      </c>
      <c r="AN20">
        <f t="shared" si="20"/>
        <v>541.53000000000009</v>
      </c>
      <c r="AP20" s="134"/>
      <c r="AQ20" s="135"/>
      <c r="AR20" s="135"/>
      <c r="AT20" s="61">
        <f t="shared" si="1"/>
        <v>0</v>
      </c>
      <c r="AU20" s="43">
        <f t="shared" si="2"/>
        <v>0</v>
      </c>
      <c r="AV20" s="35">
        <f t="shared" si="3"/>
        <v>0</v>
      </c>
      <c r="AW20" s="36">
        <f t="shared" si="21"/>
        <v>0</v>
      </c>
      <c r="AX20" s="35">
        <f t="shared" si="4"/>
        <v>0</v>
      </c>
      <c r="AY20" s="62">
        <f t="shared" si="5"/>
        <v>0</v>
      </c>
      <c r="AZ20" s="61">
        <f t="shared" si="6"/>
        <v>0</v>
      </c>
      <c r="BA20" s="43">
        <f t="shared" si="7"/>
        <v>0</v>
      </c>
      <c r="BB20" s="35">
        <f t="shared" si="71"/>
        <v>0</v>
      </c>
      <c r="BC20" s="36">
        <f t="shared" si="23"/>
        <v>0</v>
      </c>
      <c r="BD20" s="35">
        <f t="shared" si="24"/>
        <v>0</v>
      </c>
      <c r="BE20" s="62">
        <f t="shared" si="25"/>
        <v>0</v>
      </c>
      <c r="BF20" s="61">
        <f t="shared" si="26"/>
        <v>0</v>
      </c>
      <c r="BG20" s="43">
        <f t="shared" si="8"/>
        <v>0</v>
      </c>
      <c r="BH20" s="35">
        <f t="shared" si="27"/>
        <v>0</v>
      </c>
      <c r="BI20" s="36">
        <f t="shared" si="28"/>
        <v>0</v>
      </c>
      <c r="BJ20" s="35">
        <f t="shared" si="29"/>
        <v>0</v>
      </c>
      <c r="BK20" s="62">
        <f t="shared" si="30"/>
        <v>0</v>
      </c>
      <c r="BL20" s="61">
        <f t="shared" si="31"/>
        <v>0</v>
      </c>
      <c r="BM20" s="43">
        <f t="shared" si="32"/>
        <v>0</v>
      </c>
      <c r="BN20" s="35">
        <f t="shared" si="33"/>
        <v>0</v>
      </c>
      <c r="BO20" s="36">
        <f t="shared" si="34"/>
        <v>0</v>
      </c>
      <c r="BP20" s="35">
        <f t="shared" si="35"/>
        <v>0</v>
      </c>
      <c r="BQ20" s="62">
        <f t="shared" si="36"/>
        <v>0</v>
      </c>
      <c r="BR20" s="61">
        <f t="shared" si="37"/>
        <v>0</v>
      </c>
      <c r="BS20" s="43">
        <f t="shared" si="38"/>
        <v>0</v>
      </c>
      <c r="BT20" s="35">
        <f t="shared" si="39"/>
        <v>0</v>
      </c>
      <c r="BU20" s="36">
        <f t="shared" si="40"/>
        <v>0</v>
      </c>
      <c r="BV20" s="35">
        <f t="shared" si="41"/>
        <v>0</v>
      </c>
      <c r="BW20" s="62">
        <f t="shared" si="42"/>
        <v>0</v>
      </c>
      <c r="BX20" s="61">
        <f t="shared" si="43"/>
        <v>0</v>
      </c>
      <c r="BY20" s="43">
        <f t="shared" si="44"/>
        <v>0</v>
      </c>
      <c r="BZ20" s="35">
        <f t="shared" si="45"/>
        <v>0</v>
      </c>
      <c r="CA20" s="36">
        <f t="shared" si="46"/>
        <v>0</v>
      </c>
      <c r="CB20" s="35">
        <f t="shared" si="47"/>
        <v>0</v>
      </c>
      <c r="CC20" s="62">
        <f t="shared" si="48"/>
        <v>0</v>
      </c>
      <c r="CD20" s="61">
        <f t="shared" si="49"/>
        <v>0</v>
      </c>
      <c r="CE20" s="43">
        <f t="shared" si="9"/>
        <v>0</v>
      </c>
      <c r="CF20" s="35">
        <f t="shared" si="50"/>
        <v>0</v>
      </c>
      <c r="CG20" s="36">
        <f t="shared" si="51"/>
        <v>0</v>
      </c>
      <c r="CH20" s="35">
        <f t="shared" si="52"/>
        <v>0</v>
      </c>
      <c r="CI20" s="62">
        <f t="shared" si="70"/>
        <v>0</v>
      </c>
      <c r="CJ20" s="61">
        <f t="shared" si="53"/>
        <v>0</v>
      </c>
      <c r="CK20" s="43">
        <f t="shared" si="54"/>
        <v>0</v>
      </c>
      <c r="CL20" s="35">
        <f t="shared" si="55"/>
        <v>0</v>
      </c>
      <c r="CM20" s="36">
        <f t="shared" si="56"/>
        <v>0</v>
      </c>
      <c r="CN20" s="35">
        <f t="shared" si="57"/>
        <v>0</v>
      </c>
      <c r="CO20" s="62">
        <f t="shared" si="58"/>
        <v>0</v>
      </c>
      <c r="CP20" s="61">
        <f t="shared" si="59"/>
        <v>0</v>
      </c>
      <c r="CQ20" s="43">
        <f t="shared" si="60"/>
        <v>0</v>
      </c>
      <c r="CR20" s="35">
        <f t="shared" si="61"/>
        <v>0</v>
      </c>
      <c r="CS20" s="43">
        <f t="shared" si="62"/>
        <v>0</v>
      </c>
      <c r="CT20" s="43">
        <f t="shared" si="10"/>
        <v>0</v>
      </c>
      <c r="CU20" s="62">
        <f t="shared" si="63"/>
        <v>0</v>
      </c>
      <c r="CV20" s="61">
        <f t="shared" si="64"/>
        <v>0</v>
      </c>
      <c r="CW20" s="43">
        <f t="shared" si="65"/>
        <v>0</v>
      </c>
      <c r="CX20" s="35">
        <f t="shared" si="66"/>
        <v>0</v>
      </c>
      <c r="CY20" s="36">
        <f t="shared" si="67"/>
        <v>0</v>
      </c>
      <c r="CZ20" s="35">
        <f t="shared" si="68"/>
        <v>0</v>
      </c>
      <c r="DA20" s="62">
        <f t="shared" si="69"/>
        <v>0</v>
      </c>
    </row>
    <row r="21" spans="2:105" x14ac:dyDescent="0.3">
      <c r="B21" s="1">
        <v>0.28086299999999997</v>
      </c>
      <c r="C21" s="1">
        <v>-69.760000000000005</v>
      </c>
      <c r="D21">
        <f t="shared" si="11"/>
        <v>415.18</v>
      </c>
      <c r="F21" s="1">
        <v>0.27668100000000001</v>
      </c>
      <c r="G21" s="1">
        <v>-64.02</v>
      </c>
      <c r="H21">
        <f t="shared" si="12"/>
        <v>418.8</v>
      </c>
      <c r="J21" s="1">
        <v>0.27509800000000001</v>
      </c>
      <c r="K21" s="1">
        <v>-74.319999999999993</v>
      </c>
      <c r="L21">
        <f t="shared" si="13"/>
        <v>421.77</v>
      </c>
      <c r="N21" s="1">
        <v>0.27377800000000002</v>
      </c>
      <c r="O21" s="1">
        <v>-85.18</v>
      </c>
      <c r="P21">
        <f t="shared" si="14"/>
        <v>410.90999999999997</v>
      </c>
      <c r="R21" s="1">
        <v>0.27541500000000002</v>
      </c>
      <c r="S21" s="1">
        <v>-90.78</v>
      </c>
      <c r="T21">
        <f t="shared" si="15"/>
        <v>427.71000000000004</v>
      </c>
      <c r="V21" s="1">
        <v>0.28418300000000002</v>
      </c>
      <c r="W21" s="1">
        <v>-82.48</v>
      </c>
      <c r="X21">
        <f t="shared" si="16"/>
        <v>439.38</v>
      </c>
      <c r="Z21" s="1">
        <v>0.29444399999999998</v>
      </c>
      <c r="AA21" s="1">
        <v>-18.71</v>
      </c>
      <c r="AB21">
        <f t="shared" si="17"/>
        <v>507.08</v>
      </c>
      <c r="AD21" s="1">
        <v>0.30423299999999998</v>
      </c>
      <c r="AE21" s="1">
        <v>-10.23</v>
      </c>
      <c r="AF21">
        <f t="shared" si="18"/>
        <v>519.28</v>
      </c>
      <c r="AH21" s="1">
        <v>0.31434200000000001</v>
      </c>
      <c r="AI21" s="1">
        <v>-1.89</v>
      </c>
      <c r="AJ21">
        <f t="shared" si="19"/>
        <v>531.35</v>
      </c>
      <c r="AL21" s="1">
        <v>0.32870899999999997</v>
      </c>
      <c r="AM21" s="8">
        <v>4.93</v>
      </c>
      <c r="AN21">
        <f t="shared" si="20"/>
        <v>543.26</v>
      </c>
      <c r="AP21" s="134"/>
      <c r="AQ21" s="44"/>
      <c r="AR21" s="136"/>
      <c r="AT21" s="61">
        <f t="shared" si="1"/>
        <v>0</v>
      </c>
      <c r="AU21" s="43">
        <f t="shared" si="2"/>
        <v>0</v>
      </c>
      <c r="AV21" s="35">
        <f t="shared" si="3"/>
        <v>0</v>
      </c>
      <c r="AW21" s="36">
        <f t="shared" si="21"/>
        <v>0</v>
      </c>
      <c r="AX21" s="35">
        <f t="shared" si="4"/>
        <v>0</v>
      </c>
      <c r="AY21" s="62">
        <f t="shared" si="5"/>
        <v>0</v>
      </c>
      <c r="AZ21" s="61">
        <f t="shared" si="6"/>
        <v>0</v>
      </c>
      <c r="BA21" s="43">
        <f t="shared" si="7"/>
        <v>0</v>
      </c>
      <c r="BB21" s="35">
        <f t="shared" si="71"/>
        <v>0</v>
      </c>
      <c r="BC21" s="36">
        <f t="shared" si="23"/>
        <v>0</v>
      </c>
      <c r="BD21" s="35">
        <f t="shared" si="24"/>
        <v>0</v>
      </c>
      <c r="BE21" s="62">
        <f t="shared" si="25"/>
        <v>0</v>
      </c>
      <c r="BF21" s="61">
        <f t="shared" si="26"/>
        <v>0</v>
      </c>
      <c r="BG21" s="43">
        <f t="shared" si="8"/>
        <v>0</v>
      </c>
      <c r="BH21" s="35">
        <f t="shared" si="27"/>
        <v>0</v>
      </c>
      <c r="BI21" s="36">
        <f t="shared" si="28"/>
        <v>0</v>
      </c>
      <c r="BJ21" s="35">
        <f t="shared" si="29"/>
        <v>0</v>
      </c>
      <c r="BK21" s="62">
        <f t="shared" si="30"/>
        <v>0</v>
      </c>
      <c r="BL21" s="61">
        <f t="shared" si="31"/>
        <v>0</v>
      </c>
      <c r="BM21" s="43">
        <f t="shared" si="32"/>
        <v>0</v>
      </c>
      <c r="BN21" s="35">
        <f t="shared" si="33"/>
        <v>0</v>
      </c>
      <c r="BO21" s="36">
        <f t="shared" si="34"/>
        <v>0</v>
      </c>
      <c r="BP21" s="35">
        <f t="shared" si="35"/>
        <v>0</v>
      </c>
      <c r="BQ21" s="62">
        <f t="shared" si="36"/>
        <v>0</v>
      </c>
      <c r="BR21" s="61">
        <f t="shared" si="37"/>
        <v>0</v>
      </c>
      <c r="BS21" s="43">
        <f t="shared" si="38"/>
        <v>0</v>
      </c>
      <c r="BT21" s="35">
        <f t="shared" si="39"/>
        <v>0</v>
      </c>
      <c r="BU21" s="36">
        <f t="shared" si="40"/>
        <v>0</v>
      </c>
      <c r="BV21" s="35">
        <f t="shared" si="41"/>
        <v>0</v>
      </c>
      <c r="BW21" s="62">
        <f t="shared" si="42"/>
        <v>0</v>
      </c>
      <c r="BX21" s="61">
        <f t="shared" si="43"/>
        <v>0</v>
      </c>
      <c r="BY21" s="43">
        <f t="shared" si="44"/>
        <v>0</v>
      </c>
      <c r="BZ21" s="35">
        <f t="shared" si="45"/>
        <v>0</v>
      </c>
      <c r="CA21" s="36">
        <f t="shared" si="46"/>
        <v>0</v>
      </c>
      <c r="CB21" s="35">
        <f t="shared" si="47"/>
        <v>0</v>
      </c>
      <c r="CC21" s="62">
        <f t="shared" si="48"/>
        <v>0</v>
      </c>
      <c r="CD21" s="61">
        <f t="shared" si="49"/>
        <v>0</v>
      </c>
      <c r="CE21" s="43">
        <f t="shared" si="9"/>
        <v>0</v>
      </c>
      <c r="CF21" s="35">
        <f t="shared" si="50"/>
        <v>0</v>
      </c>
      <c r="CG21" s="36">
        <f t="shared" si="51"/>
        <v>0</v>
      </c>
      <c r="CH21" s="35">
        <f t="shared" si="52"/>
        <v>0</v>
      </c>
      <c r="CI21" s="62">
        <f t="shared" si="70"/>
        <v>0</v>
      </c>
      <c r="CJ21" s="61">
        <f t="shared" si="53"/>
        <v>0</v>
      </c>
      <c r="CK21" s="43">
        <f t="shared" si="54"/>
        <v>0</v>
      </c>
      <c r="CL21" s="35">
        <f t="shared" si="55"/>
        <v>0</v>
      </c>
      <c r="CM21" s="36">
        <f t="shared" si="56"/>
        <v>0</v>
      </c>
      <c r="CN21" s="35">
        <f t="shared" si="57"/>
        <v>0</v>
      </c>
      <c r="CO21" s="62">
        <f t="shared" si="58"/>
        <v>0</v>
      </c>
      <c r="CP21" s="61">
        <f t="shared" si="59"/>
        <v>0</v>
      </c>
      <c r="CQ21" s="43">
        <f t="shared" si="60"/>
        <v>0</v>
      </c>
      <c r="CR21" s="35">
        <f t="shared" si="61"/>
        <v>0</v>
      </c>
      <c r="CS21" s="43">
        <f t="shared" si="62"/>
        <v>0</v>
      </c>
      <c r="CT21" s="43">
        <f t="shared" si="10"/>
        <v>0</v>
      </c>
      <c r="CU21" s="62">
        <f t="shared" si="63"/>
        <v>0</v>
      </c>
      <c r="CV21" s="61">
        <f t="shared" si="64"/>
        <v>0</v>
      </c>
      <c r="CW21" s="43">
        <f t="shared" si="65"/>
        <v>0</v>
      </c>
      <c r="CX21" s="35">
        <f t="shared" si="66"/>
        <v>0</v>
      </c>
      <c r="CY21" s="36">
        <f t="shared" si="67"/>
        <v>0</v>
      </c>
      <c r="CZ21" s="35">
        <f t="shared" si="68"/>
        <v>0</v>
      </c>
      <c r="DA21" s="62">
        <f t="shared" si="69"/>
        <v>0</v>
      </c>
    </row>
    <row r="22" spans="2:105" x14ac:dyDescent="0.3">
      <c r="B22" s="1">
        <v>0.29509299999999999</v>
      </c>
      <c r="C22" s="1">
        <v>-72.540000000000006</v>
      </c>
      <c r="D22">
        <f t="shared" si="11"/>
        <v>412.4</v>
      </c>
      <c r="F22" s="1">
        <v>0.29069800000000001</v>
      </c>
      <c r="G22" s="1">
        <v>-67.3</v>
      </c>
      <c r="H22">
        <f t="shared" si="12"/>
        <v>415.52</v>
      </c>
      <c r="J22" s="1">
        <v>0.28903499999999999</v>
      </c>
      <c r="K22" s="1">
        <v>-77.98</v>
      </c>
      <c r="L22">
        <f t="shared" si="13"/>
        <v>418.10999999999996</v>
      </c>
      <c r="N22" s="1">
        <v>0.28764800000000001</v>
      </c>
      <c r="O22" s="1">
        <v>-89.02</v>
      </c>
      <c r="P22">
        <f t="shared" si="14"/>
        <v>407.07</v>
      </c>
      <c r="R22" s="1">
        <v>0.28936800000000001</v>
      </c>
      <c r="S22" s="1">
        <v>-89.81</v>
      </c>
      <c r="T22">
        <f t="shared" si="15"/>
        <v>428.68</v>
      </c>
      <c r="V22" s="1">
        <v>0.29858099999999999</v>
      </c>
      <c r="W22" s="1">
        <v>-81.55</v>
      </c>
      <c r="X22">
        <f t="shared" si="16"/>
        <v>440.31</v>
      </c>
      <c r="Z22" s="1">
        <v>0.30936200000000003</v>
      </c>
      <c r="AA22" s="1">
        <v>-17.13</v>
      </c>
      <c r="AB22">
        <f t="shared" si="17"/>
        <v>508.65999999999997</v>
      </c>
      <c r="AD22" s="1">
        <v>0.31964599999999999</v>
      </c>
      <c r="AE22" s="1">
        <v>-8.68</v>
      </c>
      <c r="AF22">
        <f t="shared" si="18"/>
        <v>520.83000000000004</v>
      </c>
      <c r="AH22" s="1">
        <v>0.33026800000000001</v>
      </c>
      <c r="AI22" s="8">
        <v>-0.31</v>
      </c>
      <c r="AJ22">
        <f t="shared" si="19"/>
        <v>532.93000000000006</v>
      </c>
      <c r="AL22" s="1">
        <v>0.34536299999999998</v>
      </c>
      <c r="AM22" s="8">
        <v>6.54</v>
      </c>
      <c r="AN22">
        <f t="shared" si="20"/>
        <v>544.87</v>
      </c>
      <c r="AT22" s="61">
        <f t="shared" si="1"/>
        <v>0</v>
      </c>
      <c r="AU22" s="43">
        <f t="shared" si="2"/>
        <v>0</v>
      </c>
      <c r="AV22" s="35">
        <f t="shared" si="3"/>
        <v>0</v>
      </c>
      <c r="AW22" s="36">
        <f t="shared" si="21"/>
        <v>0</v>
      </c>
      <c r="AX22" s="35">
        <f t="shared" si="4"/>
        <v>0</v>
      </c>
      <c r="AY22" s="62">
        <f t="shared" si="5"/>
        <v>0</v>
      </c>
      <c r="AZ22" s="61">
        <f t="shared" si="6"/>
        <v>0</v>
      </c>
      <c r="BA22" s="43">
        <f t="shared" si="7"/>
        <v>0</v>
      </c>
      <c r="BB22" s="35">
        <f t="shared" si="71"/>
        <v>0</v>
      </c>
      <c r="BC22" s="36">
        <f t="shared" si="23"/>
        <v>0</v>
      </c>
      <c r="BD22" s="35">
        <f t="shared" si="24"/>
        <v>0</v>
      </c>
      <c r="BE22" s="62">
        <f t="shared" si="25"/>
        <v>0</v>
      </c>
      <c r="BF22" s="61">
        <f t="shared" si="26"/>
        <v>0</v>
      </c>
      <c r="BG22" s="43">
        <f t="shared" si="8"/>
        <v>0</v>
      </c>
      <c r="BH22" s="35">
        <f t="shared" si="27"/>
        <v>0</v>
      </c>
      <c r="BI22" s="36">
        <f t="shared" si="28"/>
        <v>0</v>
      </c>
      <c r="BJ22" s="35">
        <f t="shared" si="29"/>
        <v>0</v>
      </c>
      <c r="BK22" s="62">
        <f t="shared" si="30"/>
        <v>0</v>
      </c>
      <c r="BL22" s="61">
        <f t="shared" si="31"/>
        <v>0</v>
      </c>
      <c r="BM22" s="43">
        <f t="shared" si="32"/>
        <v>0</v>
      </c>
      <c r="BN22" s="35">
        <f t="shared" si="33"/>
        <v>0</v>
      </c>
      <c r="BO22" s="36">
        <f t="shared" si="34"/>
        <v>0</v>
      </c>
      <c r="BP22" s="35">
        <f t="shared" si="35"/>
        <v>0</v>
      </c>
      <c r="BQ22" s="62">
        <f t="shared" si="36"/>
        <v>0</v>
      </c>
      <c r="BR22" s="61">
        <f t="shared" si="37"/>
        <v>0</v>
      </c>
      <c r="BS22" s="43">
        <f t="shared" si="38"/>
        <v>0</v>
      </c>
      <c r="BT22" s="35">
        <f t="shared" si="39"/>
        <v>0</v>
      </c>
      <c r="BU22" s="36">
        <f t="shared" si="40"/>
        <v>0</v>
      </c>
      <c r="BV22" s="35">
        <f t="shared" si="41"/>
        <v>0</v>
      </c>
      <c r="BW22" s="62">
        <f t="shared" si="42"/>
        <v>0</v>
      </c>
      <c r="BX22" s="61">
        <f t="shared" si="43"/>
        <v>0</v>
      </c>
      <c r="BY22" s="43">
        <f t="shared" si="44"/>
        <v>0</v>
      </c>
      <c r="BZ22" s="35">
        <f t="shared" si="45"/>
        <v>0</v>
      </c>
      <c r="CA22" s="36">
        <f t="shared" si="46"/>
        <v>0</v>
      </c>
      <c r="CB22" s="35">
        <f t="shared" si="47"/>
        <v>0</v>
      </c>
      <c r="CC22" s="62">
        <f t="shared" si="48"/>
        <v>0</v>
      </c>
      <c r="CD22" s="61">
        <f t="shared" si="49"/>
        <v>0</v>
      </c>
      <c r="CE22" s="43">
        <f t="shared" si="9"/>
        <v>0</v>
      </c>
      <c r="CF22" s="35">
        <f t="shared" si="50"/>
        <v>0</v>
      </c>
      <c r="CG22" s="36">
        <f t="shared" si="51"/>
        <v>0</v>
      </c>
      <c r="CH22" s="35">
        <f t="shared" si="52"/>
        <v>0</v>
      </c>
      <c r="CI22" s="62">
        <f t="shared" si="70"/>
        <v>0</v>
      </c>
      <c r="CJ22" s="61">
        <f t="shared" si="53"/>
        <v>0</v>
      </c>
      <c r="CK22" s="43">
        <f t="shared" si="54"/>
        <v>0</v>
      </c>
      <c r="CL22" s="35">
        <f t="shared" si="55"/>
        <v>0</v>
      </c>
      <c r="CM22" s="36">
        <f t="shared" si="56"/>
        <v>0</v>
      </c>
      <c r="CN22" s="35">
        <f t="shared" si="57"/>
        <v>0</v>
      </c>
      <c r="CO22" s="62">
        <f t="shared" si="58"/>
        <v>0</v>
      </c>
      <c r="CP22" s="61">
        <f t="shared" si="59"/>
        <v>0</v>
      </c>
      <c r="CQ22" s="43">
        <f t="shared" si="60"/>
        <v>0</v>
      </c>
      <c r="CR22" s="35">
        <f t="shared" si="61"/>
        <v>0</v>
      </c>
      <c r="CS22" s="43">
        <f t="shared" si="62"/>
        <v>0</v>
      </c>
      <c r="CT22" s="43">
        <f t="shared" si="10"/>
        <v>0</v>
      </c>
      <c r="CU22" s="62">
        <f t="shared" si="63"/>
        <v>0</v>
      </c>
      <c r="CV22" s="61">
        <f t="shared" si="64"/>
        <v>0</v>
      </c>
      <c r="CW22" s="43">
        <f t="shared" si="65"/>
        <v>0</v>
      </c>
      <c r="CX22" s="35">
        <f t="shared" si="66"/>
        <v>0</v>
      </c>
      <c r="CY22" s="36">
        <f t="shared" si="67"/>
        <v>0</v>
      </c>
      <c r="CZ22" s="35">
        <f t="shared" si="68"/>
        <v>0</v>
      </c>
      <c r="DA22" s="62">
        <f t="shared" si="69"/>
        <v>0</v>
      </c>
    </row>
    <row r="23" spans="2:105" x14ac:dyDescent="0.3">
      <c r="B23" s="1">
        <v>0.30932199999999999</v>
      </c>
      <c r="C23" s="1">
        <v>-75.55</v>
      </c>
      <c r="D23">
        <f t="shared" si="11"/>
        <v>409.39</v>
      </c>
      <c r="F23" s="1">
        <v>0.30471599999999999</v>
      </c>
      <c r="G23" s="1">
        <v>-70.569999999999993</v>
      </c>
      <c r="H23">
        <f t="shared" si="12"/>
        <v>412.25</v>
      </c>
      <c r="J23" s="1">
        <v>0.30297299999999999</v>
      </c>
      <c r="K23" s="1">
        <v>-81.58</v>
      </c>
      <c r="L23">
        <f t="shared" si="13"/>
        <v>414.51</v>
      </c>
      <c r="N23" s="1">
        <v>0.30151800000000001</v>
      </c>
      <c r="O23" s="1">
        <v>-91.26</v>
      </c>
      <c r="P23">
        <f t="shared" si="14"/>
        <v>404.83</v>
      </c>
      <c r="R23" s="1">
        <v>0.30332100000000001</v>
      </c>
      <c r="S23" s="1">
        <v>-88.81</v>
      </c>
      <c r="T23">
        <f t="shared" si="15"/>
        <v>429.68</v>
      </c>
      <c r="V23" s="1">
        <v>0.31297799999999998</v>
      </c>
      <c r="W23" s="1">
        <v>-24.05</v>
      </c>
      <c r="X23">
        <f t="shared" si="16"/>
        <v>497.81</v>
      </c>
      <c r="Z23" s="1">
        <v>0.32427899999999998</v>
      </c>
      <c r="AA23" s="1">
        <v>-15.65</v>
      </c>
      <c r="AB23">
        <f t="shared" si="17"/>
        <v>510.14</v>
      </c>
      <c r="AD23" s="1">
        <v>0.33506000000000002</v>
      </c>
      <c r="AE23" s="1">
        <v>-7.18</v>
      </c>
      <c r="AF23">
        <f t="shared" si="18"/>
        <v>522.33000000000004</v>
      </c>
      <c r="AH23" s="1">
        <v>0.34619299999999997</v>
      </c>
      <c r="AI23" s="8">
        <v>1.19</v>
      </c>
      <c r="AJ23">
        <f t="shared" si="19"/>
        <v>534.43000000000006</v>
      </c>
      <c r="AL23" s="1">
        <v>0.362016</v>
      </c>
      <c r="AM23" s="8">
        <v>8.1</v>
      </c>
      <c r="AN23">
        <f t="shared" si="20"/>
        <v>546.43000000000006</v>
      </c>
      <c r="AT23" s="61">
        <f t="shared" si="1"/>
        <v>0</v>
      </c>
      <c r="AU23" s="43">
        <f t="shared" si="2"/>
        <v>0</v>
      </c>
      <c r="AV23" s="35">
        <f t="shared" si="3"/>
        <v>0</v>
      </c>
      <c r="AW23" s="36">
        <f t="shared" si="21"/>
        <v>0</v>
      </c>
      <c r="AX23" s="35">
        <f t="shared" si="4"/>
        <v>0</v>
      </c>
      <c r="AY23" s="62">
        <f t="shared" si="5"/>
        <v>0</v>
      </c>
      <c r="AZ23" s="61">
        <f t="shared" si="6"/>
        <v>0</v>
      </c>
      <c r="BA23" s="43">
        <f t="shared" si="7"/>
        <v>0</v>
      </c>
      <c r="BB23" s="35">
        <f t="shared" si="71"/>
        <v>0</v>
      </c>
      <c r="BC23" s="36">
        <f t="shared" si="23"/>
        <v>0</v>
      </c>
      <c r="BD23" s="35">
        <f t="shared" si="24"/>
        <v>0</v>
      </c>
      <c r="BE23" s="62">
        <f t="shared" si="25"/>
        <v>0</v>
      </c>
      <c r="BF23" s="61">
        <f t="shared" si="26"/>
        <v>0</v>
      </c>
      <c r="BG23" s="43">
        <f t="shared" si="8"/>
        <v>0</v>
      </c>
      <c r="BH23" s="35">
        <f t="shared" si="27"/>
        <v>0</v>
      </c>
      <c r="BI23" s="36">
        <f t="shared" si="28"/>
        <v>0</v>
      </c>
      <c r="BJ23" s="35">
        <f t="shared" si="29"/>
        <v>0</v>
      </c>
      <c r="BK23" s="62">
        <f t="shared" si="30"/>
        <v>0</v>
      </c>
      <c r="BL23" s="61">
        <f t="shared" si="31"/>
        <v>0</v>
      </c>
      <c r="BM23" s="43">
        <f t="shared" si="32"/>
        <v>0</v>
      </c>
      <c r="BN23" s="35">
        <f t="shared" si="33"/>
        <v>0</v>
      </c>
      <c r="BO23" s="36">
        <f t="shared" si="34"/>
        <v>0</v>
      </c>
      <c r="BP23" s="35">
        <f t="shared" si="35"/>
        <v>0</v>
      </c>
      <c r="BQ23" s="62">
        <f t="shared" si="36"/>
        <v>0</v>
      </c>
      <c r="BR23" s="61">
        <f t="shared" si="37"/>
        <v>0</v>
      </c>
      <c r="BS23" s="43">
        <f t="shared" si="38"/>
        <v>0</v>
      </c>
      <c r="BT23" s="35">
        <f t="shared" si="39"/>
        <v>0</v>
      </c>
      <c r="BU23" s="36">
        <f t="shared" si="40"/>
        <v>0</v>
      </c>
      <c r="BV23" s="35">
        <f t="shared" si="41"/>
        <v>0</v>
      </c>
      <c r="BW23" s="62">
        <f t="shared" si="42"/>
        <v>0</v>
      </c>
      <c r="BX23" s="61">
        <f t="shared" si="43"/>
        <v>0</v>
      </c>
      <c r="BY23" s="43">
        <f t="shared" si="44"/>
        <v>0</v>
      </c>
      <c r="BZ23" s="35">
        <f t="shared" si="45"/>
        <v>0</v>
      </c>
      <c r="CA23" s="36">
        <f t="shared" si="46"/>
        <v>0</v>
      </c>
      <c r="CB23" s="35">
        <f t="shared" si="47"/>
        <v>0</v>
      </c>
      <c r="CC23" s="62">
        <f t="shared" si="48"/>
        <v>0</v>
      </c>
      <c r="CD23" s="61">
        <f t="shared" si="49"/>
        <v>0</v>
      </c>
      <c r="CE23" s="43">
        <f t="shared" si="9"/>
        <v>0</v>
      </c>
      <c r="CF23" s="35">
        <f t="shared" si="50"/>
        <v>0</v>
      </c>
      <c r="CG23" s="36">
        <f t="shared" si="51"/>
        <v>0</v>
      </c>
      <c r="CH23" s="35">
        <f t="shared" si="52"/>
        <v>0</v>
      </c>
      <c r="CI23" s="62">
        <f t="shared" si="70"/>
        <v>0</v>
      </c>
      <c r="CJ23" s="61">
        <f t="shared" si="53"/>
        <v>0</v>
      </c>
      <c r="CK23" s="43">
        <f t="shared" si="54"/>
        <v>0</v>
      </c>
      <c r="CL23" s="35">
        <f t="shared" si="55"/>
        <v>0</v>
      </c>
      <c r="CM23" s="36">
        <f t="shared" si="56"/>
        <v>0</v>
      </c>
      <c r="CN23" s="35">
        <f t="shared" si="57"/>
        <v>0</v>
      </c>
      <c r="CO23" s="62">
        <f t="shared" si="58"/>
        <v>0</v>
      </c>
      <c r="CP23" s="61">
        <f t="shared" si="59"/>
        <v>0</v>
      </c>
      <c r="CQ23" s="43">
        <f t="shared" si="60"/>
        <v>0</v>
      </c>
      <c r="CR23" s="35">
        <f t="shared" si="61"/>
        <v>0</v>
      </c>
      <c r="CS23" s="43">
        <f t="shared" si="62"/>
        <v>0</v>
      </c>
      <c r="CT23" s="43">
        <f t="shared" si="10"/>
        <v>0</v>
      </c>
      <c r="CU23" s="62">
        <f t="shared" si="63"/>
        <v>0</v>
      </c>
      <c r="CV23" s="61">
        <f t="shared" si="64"/>
        <v>0</v>
      </c>
      <c r="CW23" s="43">
        <f t="shared" si="65"/>
        <v>0</v>
      </c>
      <c r="CX23" s="35">
        <f t="shared" si="66"/>
        <v>0</v>
      </c>
      <c r="CY23" s="36">
        <f t="shared" si="67"/>
        <v>0</v>
      </c>
      <c r="CZ23" s="35">
        <f t="shared" si="68"/>
        <v>0</v>
      </c>
      <c r="DA23" s="62">
        <f t="shared" si="69"/>
        <v>0</v>
      </c>
    </row>
    <row r="24" spans="2:105" x14ac:dyDescent="0.3">
      <c r="B24" s="1">
        <v>0.32355099999999998</v>
      </c>
      <c r="C24" s="1">
        <v>-78.63</v>
      </c>
      <c r="D24">
        <f t="shared" si="11"/>
        <v>406.31</v>
      </c>
      <c r="F24" s="1">
        <v>0.31873299999999999</v>
      </c>
      <c r="G24" s="1">
        <v>-73.83</v>
      </c>
      <c r="H24">
        <f t="shared" si="12"/>
        <v>408.99</v>
      </c>
      <c r="J24" s="1">
        <v>0.31691000000000003</v>
      </c>
      <c r="K24" s="1">
        <v>-85.15</v>
      </c>
      <c r="L24">
        <f t="shared" si="13"/>
        <v>410.93999999999994</v>
      </c>
      <c r="N24" s="1">
        <v>0.315388</v>
      </c>
      <c r="O24" s="1">
        <v>-90.25</v>
      </c>
      <c r="P24">
        <f t="shared" si="14"/>
        <v>405.84</v>
      </c>
      <c r="R24" s="1">
        <v>0.317274</v>
      </c>
      <c r="S24" s="1">
        <v>-87.85</v>
      </c>
      <c r="T24">
        <f t="shared" si="15"/>
        <v>430.64</v>
      </c>
      <c r="V24" s="1">
        <v>0.32737500000000003</v>
      </c>
      <c r="W24" s="1">
        <v>-22.42</v>
      </c>
      <c r="X24">
        <f t="shared" si="16"/>
        <v>499.44</v>
      </c>
      <c r="Z24" s="1">
        <v>0.339196</v>
      </c>
      <c r="AA24" s="1">
        <v>-14.08</v>
      </c>
      <c r="AB24">
        <f t="shared" si="17"/>
        <v>511.71</v>
      </c>
      <c r="AD24" s="1">
        <v>0.35047299999999998</v>
      </c>
      <c r="AE24" s="1">
        <v>-5.64</v>
      </c>
      <c r="AF24">
        <f t="shared" si="18"/>
        <v>523.87</v>
      </c>
      <c r="AH24" s="1">
        <v>0.36211900000000002</v>
      </c>
      <c r="AI24" s="8">
        <v>2.7</v>
      </c>
      <c r="AJ24">
        <f t="shared" si="19"/>
        <v>535.94000000000005</v>
      </c>
      <c r="AL24" s="1">
        <v>0.37866899999999998</v>
      </c>
      <c r="AM24" s="8">
        <v>7.32</v>
      </c>
      <c r="AN24">
        <f t="shared" si="20"/>
        <v>545.65000000000009</v>
      </c>
      <c r="AT24" s="61">
        <f t="shared" si="1"/>
        <v>0</v>
      </c>
      <c r="AU24" s="43">
        <f t="shared" si="2"/>
        <v>0</v>
      </c>
      <c r="AV24" s="35">
        <f t="shared" si="3"/>
        <v>0</v>
      </c>
      <c r="AW24" s="36">
        <f t="shared" si="21"/>
        <v>0</v>
      </c>
      <c r="AX24" s="35">
        <f t="shared" si="4"/>
        <v>0</v>
      </c>
      <c r="AY24" s="62">
        <f t="shared" si="5"/>
        <v>0</v>
      </c>
      <c r="AZ24" s="61">
        <f t="shared" si="6"/>
        <v>0</v>
      </c>
      <c r="BA24" s="43">
        <f t="shared" si="7"/>
        <v>0</v>
      </c>
      <c r="BB24" s="35">
        <f t="shared" si="71"/>
        <v>0</v>
      </c>
      <c r="BC24" s="36">
        <f t="shared" si="23"/>
        <v>0</v>
      </c>
      <c r="BD24" s="35">
        <f t="shared" si="24"/>
        <v>0</v>
      </c>
      <c r="BE24" s="62">
        <f t="shared" si="25"/>
        <v>0</v>
      </c>
      <c r="BF24" s="61">
        <f t="shared" si="26"/>
        <v>0</v>
      </c>
      <c r="BG24" s="43">
        <f t="shared" si="8"/>
        <v>0</v>
      </c>
      <c r="BH24" s="35">
        <f t="shared" si="27"/>
        <v>0</v>
      </c>
      <c r="BI24" s="36">
        <f t="shared" si="28"/>
        <v>0</v>
      </c>
      <c r="BJ24" s="35">
        <f t="shared" si="29"/>
        <v>0</v>
      </c>
      <c r="BK24" s="62">
        <f t="shared" si="30"/>
        <v>0</v>
      </c>
      <c r="BL24" s="61">
        <f t="shared" si="31"/>
        <v>0</v>
      </c>
      <c r="BM24" s="43">
        <f t="shared" si="32"/>
        <v>0</v>
      </c>
      <c r="BN24" s="35">
        <f t="shared" si="33"/>
        <v>0</v>
      </c>
      <c r="BO24" s="36">
        <f t="shared" si="34"/>
        <v>0</v>
      </c>
      <c r="BP24" s="35">
        <f t="shared" si="35"/>
        <v>0</v>
      </c>
      <c r="BQ24" s="62">
        <f t="shared" si="36"/>
        <v>0</v>
      </c>
      <c r="BR24" s="61">
        <f t="shared" si="37"/>
        <v>0</v>
      </c>
      <c r="BS24" s="43">
        <f t="shared" si="38"/>
        <v>0</v>
      </c>
      <c r="BT24" s="35">
        <f t="shared" si="39"/>
        <v>0</v>
      </c>
      <c r="BU24" s="36">
        <f t="shared" si="40"/>
        <v>0</v>
      </c>
      <c r="BV24" s="35">
        <f t="shared" si="41"/>
        <v>0</v>
      </c>
      <c r="BW24" s="62">
        <f t="shared" si="42"/>
        <v>0</v>
      </c>
      <c r="BX24" s="61">
        <f t="shared" si="43"/>
        <v>0</v>
      </c>
      <c r="BY24" s="43">
        <f t="shared" si="44"/>
        <v>0</v>
      </c>
      <c r="BZ24" s="35">
        <f t="shared" si="45"/>
        <v>0</v>
      </c>
      <c r="CA24" s="36">
        <f t="shared" si="46"/>
        <v>0</v>
      </c>
      <c r="CB24" s="35">
        <f t="shared" si="47"/>
        <v>0</v>
      </c>
      <c r="CC24" s="62">
        <f t="shared" si="48"/>
        <v>0</v>
      </c>
      <c r="CD24" s="61">
        <f t="shared" si="49"/>
        <v>0</v>
      </c>
      <c r="CE24" s="43">
        <f t="shared" si="9"/>
        <v>0</v>
      </c>
      <c r="CF24" s="35">
        <f t="shared" si="50"/>
        <v>0</v>
      </c>
      <c r="CG24" s="36">
        <f t="shared" si="51"/>
        <v>0</v>
      </c>
      <c r="CH24" s="35">
        <f t="shared" si="52"/>
        <v>0</v>
      </c>
      <c r="CI24" s="62">
        <f t="shared" si="70"/>
        <v>0</v>
      </c>
      <c r="CJ24" s="61">
        <f t="shared" si="53"/>
        <v>0</v>
      </c>
      <c r="CK24" s="43">
        <f t="shared" si="54"/>
        <v>0</v>
      </c>
      <c r="CL24" s="35">
        <f t="shared" si="55"/>
        <v>0</v>
      </c>
      <c r="CM24" s="36">
        <f t="shared" si="56"/>
        <v>0</v>
      </c>
      <c r="CN24" s="35">
        <f t="shared" si="57"/>
        <v>0</v>
      </c>
      <c r="CO24" s="62">
        <f t="shared" si="58"/>
        <v>0</v>
      </c>
      <c r="CP24" s="61">
        <f t="shared" si="59"/>
        <v>0</v>
      </c>
      <c r="CQ24" s="43">
        <f t="shared" si="60"/>
        <v>0</v>
      </c>
      <c r="CR24" s="35">
        <f t="shared" si="61"/>
        <v>0</v>
      </c>
      <c r="CS24" s="43">
        <f t="shared" si="62"/>
        <v>0</v>
      </c>
      <c r="CT24" s="43">
        <f t="shared" si="10"/>
        <v>0</v>
      </c>
      <c r="CU24" s="62">
        <f t="shared" si="63"/>
        <v>0</v>
      </c>
      <c r="CV24" s="61">
        <f t="shared" si="64"/>
        <v>0</v>
      </c>
      <c r="CW24" s="43">
        <f t="shared" si="65"/>
        <v>0</v>
      </c>
      <c r="CX24" s="35">
        <f t="shared" si="66"/>
        <v>0</v>
      </c>
      <c r="CY24" s="36">
        <f t="shared" si="67"/>
        <v>0</v>
      </c>
      <c r="CZ24" s="35">
        <f t="shared" si="68"/>
        <v>0</v>
      </c>
      <c r="DA24" s="62">
        <f t="shared" si="69"/>
        <v>0</v>
      </c>
    </row>
    <row r="25" spans="2:105" x14ac:dyDescent="0.3">
      <c r="B25" s="1">
        <v>0.337781</v>
      </c>
      <c r="C25" s="1">
        <v>-81.540000000000006</v>
      </c>
      <c r="D25">
        <f t="shared" si="11"/>
        <v>403.4</v>
      </c>
      <c r="F25" s="1">
        <v>0.33274999999999999</v>
      </c>
      <c r="G25" s="1">
        <v>-77.010000000000005</v>
      </c>
      <c r="H25">
        <f t="shared" si="12"/>
        <v>405.81</v>
      </c>
      <c r="J25" s="1">
        <v>0.330847</v>
      </c>
      <c r="K25" s="1">
        <v>-87.54</v>
      </c>
      <c r="L25">
        <f t="shared" si="13"/>
        <v>408.54999999999995</v>
      </c>
      <c r="N25" s="1">
        <v>0.32925900000000002</v>
      </c>
      <c r="O25" s="1">
        <v>-88.98</v>
      </c>
      <c r="P25">
        <f t="shared" si="14"/>
        <v>407.10999999999996</v>
      </c>
      <c r="R25" s="1">
        <v>0.33122800000000002</v>
      </c>
      <c r="S25" s="1">
        <v>-29.74</v>
      </c>
      <c r="T25">
        <f t="shared" si="15"/>
        <v>488.75</v>
      </c>
      <c r="V25" s="1">
        <v>0.34177299999999999</v>
      </c>
      <c r="W25" s="1">
        <v>-20.71</v>
      </c>
      <c r="X25">
        <f t="shared" si="16"/>
        <v>501.15000000000003</v>
      </c>
      <c r="Z25" s="1">
        <v>0.35411399999999998</v>
      </c>
      <c r="AA25" s="1">
        <v>-12.38</v>
      </c>
      <c r="AB25">
        <f t="shared" si="17"/>
        <v>513.41</v>
      </c>
      <c r="AD25" s="1">
        <v>0.36588599999999999</v>
      </c>
      <c r="AE25" s="1">
        <v>-3.95</v>
      </c>
      <c r="AF25">
        <f t="shared" si="18"/>
        <v>525.55999999999995</v>
      </c>
      <c r="AH25" s="1">
        <v>0.37804399999999999</v>
      </c>
      <c r="AI25" s="8">
        <v>4.38</v>
      </c>
      <c r="AJ25">
        <f t="shared" si="19"/>
        <v>537.62</v>
      </c>
      <c r="AL25" s="1">
        <v>0.39532200000000001</v>
      </c>
      <c r="AM25" s="8">
        <v>3.72</v>
      </c>
      <c r="AN25">
        <f t="shared" si="20"/>
        <v>542.05000000000007</v>
      </c>
      <c r="AT25" s="61">
        <f t="shared" si="1"/>
        <v>0</v>
      </c>
      <c r="AU25" s="43">
        <f t="shared" si="2"/>
        <v>0</v>
      </c>
      <c r="AV25" s="35">
        <f t="shared" si="3"/>
        <v>0</v>
      </c>
      <c r="AW25" s="36">
        <f t="shared" si="21"/>
        <v>0</v>
      </c>
      <c r="AX25" s="35">
        <f t="shared" si="4"/>
        <v>0</v>
      </c>
      <c r="AY25" s="62">
        <f t="shared" si="5"/>
        <v>0</v>
      </c>
      <c r="AZ25" s="61">
        <f t="shared" si="6"/>
        <v>0</v>
      </c>
      <c r="BA25" s="43">
        <f t="shared" si="7"/>
        <v>0</v>
      </c>
      <c r="BB25" s="35">
        <f t="shared" si="71"/>
        <v>0</v>
      </c>
      <c r="BC25" s="36">
        <f t="shared" si="23"/>
        <v>0</v>
      </c>
      <c r="BD25" s="35">
        <f t="shared" si="24"/>
        <v>0</v>
      </c>
      <c r="BE25" s="62">
        <f t="shared" si="25"/>
        <v>0</v>
      </c>
      <c r="BF25" s="61">
        <f t="shared" si="26"/>
        <v>0</v>
      </c>
      <c r="BG25" s="43">
        <f t="shared" si="8"/>
        <v>0</v>
      </c>
      <c r="BH25" s="35">
        <f t="shared" si="27"/>
        <v>0</v>
      </c>
      <c r="BI25" s="36">
        <f t="shared" si="28"/>
        <v>0</v>
      </c>
      <c r="BJ25" s="35">
        <f t="shared" si="29"/>
        <v>0</v>
      </c>
      <c r="BK25" s="62">
        <f t="shared" si="30"/>
        <v>0</v>
      </c>
      <c r="BL25" s="61">
        <f t="shared" si="31"/>
        <v>0</v>
      </c>
      <c r="BM25" s="43">
        <f t="shared" si="32"/>
        <v>0</v>
      </c>
      <c r="BN25" s="35">
        <f t="shared" si="33"/>
        <v>0</v>
      </c>
      <c r="BO25" s="36">
        <f t="shared" si="34"/>
        <v>0</v>
      </c>
      <c r="BP25" s="35">
        <f t="shared" si="35"/>
        <v>0</v>
      </c>
      <c r="BQ25" s="62">
        <f t="shared" si="36"/>
        <v>0</v>
      </c>
      <c r="BR25" s="61">
        <f t="shared" si="37"/>
        <v>0</v>
      </c>
      <c r="BS25" s="43">
        <f t="shared" si="38"/>
        <v>0</v>
      </c>
      <c r="BT25" s="35">
        <f t="shared" si="39"/>
        <v>0</v>
      </c>
      <c r="BU25" s="36">
        <f t="shared" si="40"/>
        <v>0</v>
      </c>
      <c r="BV25" s="35">
        <f t="shared" si="41"/>
        <v>0</v>
      </c>
      <c r="BW25" s="62">
        <f t="shared" si="42"/>
        <v>0</v>
      </c>
      <c r="BX25" s="61">
        <f t="shared" si="43"/>
        <v>0</v>
      </c>
      <c r="BY25" s="43">
        <f t="shared" si="44"/>
        <v>0</v>
      </c>
      <c r="BZ25" s="35">
        <f t="shared" si="45"/>
        <v>0</v>
      </c>
      <c r="CA25" s="36">
        <f t="shared" si="46"/>
        <v>0</v>
      </c>
      <c r="CB25" s="35">
        <f t="shared" si="47"/>
        <v>0</v>
      </c>
      <c r="CC25" s="62">
        <f t="shared" si="48"/>
        <v>0</v>
      </c>
      <c r="CD25" s="61">
        <f t="shared" si="49"/>
        <v>0</v>
      </c>
      <c r="CE25" s="43">
        <f t="shared" si="9"/>
        <v>0</v>
      </c>
      <c r="CF25" s="35">
        <f t="shared" si="50"/>
        <v>0</v>
      </c>
      <c r="CG25" s="36">
        <f t="shared" si="51"/>
        <v>0</v>
      </c>
      <c r="CH25" s="35">
        <f t="shared" si="52"/>
        <v>0</v>
      </c>
      <c r="CI25" s="62">
        <f t="shared" si="70"/>
        <v>0</v>
      </c>
      <c r="CJ25" s="61">
        <f t="shared" si="53"/>
        <v>0</v>
      </c>
      <c r="CK25" s="43">
        <f t="shared" si="54"/>
        <v>0</v>
      </c>
      <c r="CL25" s="35">
        <f t="shared" si="55"/>
        <v>0</v>
      </c>
      <c r="CM25" s="36">
        <f t="shared" si="56"/>
        <v>0</v>
      </c>
      <c r="CN25" s="35">
        <f t="shared" si="57"/>
        <v>0</v>
      </c>
      <c r="CO25" s="62">
        <f t="shared" si="58"/>
        <v>0</v>
      </c>
      <c r="CP25" s="61">
        <f t="shared" si="59"/>
        <v>0</v>
      </c>
      <c r="CQ25" s="43">
        <f t="shared" si="60"/>
        <v>0</v>
      </c>
      <c r="CR25" s="35">
        <f t="shared" si="61"/>
        <v>0</v>
      </c>
      <c r="CS25" s="43">
        <f t="shared" si="62"/>
        <v>0</v>
      </c>
      <c r="CT25" s="43">
        <f t="shared" si="10"/>
        <v>0</v>
      </c>
      <c r="CU25" s="62">
        <f t="shared" si="63"/>
        <v>0</v>
      </c>
      <c r="CV25" s="61">
        <f t="shared" si="64"/>
        <v>0</v>
      </c>
      <c r="CW25" s="43">
        <f t="shared" si="65"/>
        <v>0</v>
      </c>
      <c r="CX25" s="35">
        <f t="shared" si="66"/>
        <v>0</v>
      </c>
      <c r="CY25" s="36">
        <f t="shared" si="67"/>
        <v>0</v>
      </c>
      <c r="CZ25" s="35">
        <f t="shared" si="68"/>
        <v>0</v>
      </c>
      <c r="DA25" s="62">
        <f t="shared" si="69"/>
        <v>0</v>
      </c>
    </row>
    <row r="26" spans="2:105" x14ac:dyDescent="0.3">
      <c r="B26" s="1">
        <v>0.35200999999999999</v>
      </c>
      <c r="C26" s="1">
        <v>-84.3</v>
      </c>
      <c r="D26">
        <f t="shared" si="11"/>
        <v>400.64</v>
      </c>
      <c r="F26" s="1">
        <v>0.34676800000000002</v>
      </c>
      <c r="G26" s="1">
        <v>-80.17</v>
      </c>
      <c r="H26">
        <f t="shared" si="12"/>
        <v>402.65</v>
      </c>
      <c r="J26" s="1">
        <v>0.34478399999999998</v>
      </c>
      <c r="K26" s="1">
        <v>-85.93</v>
      </c>
      <c r="L26">
        <f t="shared" si="13"/>
        <v>410.15999999999997</v>
      </c>
      <c r="N26" s="1">
        <v>0.34312900000000002</v>
      </c>
      <c r="O26" s="1">
        <v>-87.37</v>
      </c>
      <c r="P26">
        <f t="shared" si="14"/>
        <v>408.71999999999997</v>
      </c>
      <c r="R26" s="1">
        <v>0.34518100000000002</v>
      </c>
      <c r="S26" s="1">
        <v>-28.01</v>
      </c>
      <c r="T26">
        <f t="shared" si="15"/>
        <v>490.48</v>
      </c>
      <c r="V26" s="1">
        <v>0.35616999999999999</v>
      </c>
      <c r="W26" s="1">
        <v>-19.03</v>
      </c>
      <c r="X26">
        <f t="shared" si="16"/>
        <v>502.83000000000004</v>
      </c>
      <c r="Z26" s="1">
        <v>0.369031</v>
      </c>
      <c r="AA26" s="1">
        <v>-10.7</v>
      </c>
      <c r="AB26">
        <f t="shared" si="17"/>
        <v>515.08999999999992</v>
      </c>
      <c r="AD26" s="1">
        <v>0.381299</v>
      </c>
      <c r="AE26" s="1">
        <v>-2.2400000000000002</v>
      </c>
      <c r="AF26">
        <f t="shared" si="18"/>
        <v>527.27</v>
      </c>
      <c r="AH26" s="1">
        <v>0.39396900000000001</v>
      </c>
      <c r="AI26" s="8">
        <v>3.4</v>
      </c>
      <c r="AJ26">
        <f t="shared" si="19"/>
        <v>536.64</v>
      </c>
      <c r="AL26" s="1">
        <v>0.41197600000000001</v>
      </c>
      <c r="AM26" s="1">
        <v>0.26</v>
      </c>
      <c r="AN26">
        <f t="shared" si="20"/>
        <v>538.59</v>
      </c>
      <c r="AT26" s="61">
        <f t="shared" si="1"/>
        <v>0</v>
      </c>
      <c r="AU26" s="43">
        <f t="shared" si="2"/>
        <v>0</v>
      </c>
      <c r="AV26" s="35">
        <f t="shared" si="3"/>
        <v>0</v>
      </c>
      <c r="AW26" s="36">
        <f t="shared" si="21"/>
        <v>0</v>
      </c>
      <c r="AX26" s="35">
        <f t="shared" si="4"/>
        <v>0</v>
      </c>
      <c r="AY26" s="62">
        <f t="shared" si="5"/>
        <v>0</v>
      </c>
      <c r="AZ26" s="61">
        <f t="shared" si="6"/>
        <v>0</v>
      </c>
      <c r="BA26" s="43">
        <f t="shared" si="7"/>
        <v>0</v>
      </c>
      <c r="BB26" s="35">
        <f t="shared" si="71"/>
        <v>0</v>
      </c>
      <c r="BC26" s="36">
        <f t="shared" si="23"/>
        <v>0</v>
      </c>
      <c r="BD26" s="35">
        <f t="shared" si="24"/>
        <v>0</v>
      </c>
      <c r="BE26" s="62">
        <f t="shared" si="25"/>
        <v>0</v>
      </c>
      <c r="BF26" s="61">
        <f t="shared" si="26"/>
        <v>0</v>
      </c>
      <c r="BG26" s="43">
        <f t="shared" si="8"/>
        <v>0</v>
      </c>
      <c r="BH26" s="35">
        <f t="shared" si="27"/>
        <v>0</v>
      </c>
      <c r="BI26" s="36">
        <f t="shared" si="28"/>
        <v>0</v>
      </c>
      <c r="BJ26" s="35">
        <f t="shared" si="29"/>
        <v>0</v>
      </c>
      <c r="BK26" s="62">
        <f t="shared" si="30"/>
        <v>0</v>
      </c>
      <c r="BL26" s="61">
        <f t="shared" si="31"/>
        <v>0</v>
      </c>
      <c r="BM26" s="43">
        <f t="shared" si="32"/>
        <v>0</v>
      </c>
      <c r="BN26" s="35">
        <f t="shared" si="33"/>
        <v>0</v>
      </c>
      <c r="BO26" s="36">
        <f t="shared" si="34"/>
        <v>0</v>
      </c>
      <c r="BP26" s="35">
        <f t="shared" si="35"/>
        <v>0</v>
      </c>
      <c r="BQ26" s="62">
        <f t="shared" si="36"/>
        <v>0</v>
      </c>
      <c r="BR26" s="61">
        <f t="shared" si="37"/>
        <v>0</v>
      </c>
      <c r="BS26" s="43">
        <f t="shared" si="38"/>
        <v>0</v>
      </c>
      <c r="BT26" s="35">
        <f t="shared" si="39"/>
        <v>0</v>
      </c>
      <c r="BU26" s="36">
        <f t="shared" si="40"/>
        <v>0</v>
      </c>
      <c r="BV26" s="35">
        <f t="shared" si="41"/>
        <v>0</v>
      </c>
      <c r="BW26" s="62">
        <f t="shared" si="42"/>
        <v>0</v>
      </c>
      <c r="BX26" s="61">
        <f t="shared" si="43"/>
        <v>0</v>
      </c>
      <c r="BY26" s="43">
        <f t="shared" si="44"/>
        <v>0</v>
      </c>
      <c r="BZ26" s="35">
        <f t="shared" si="45"/>
        <v>0</v>
      </c>
      <c r="CA26" s="36">
        <f t="shared" si="46"/>
        <v>0</v>
      </c>
      <c r="CB26" s="35">
        <f t="shared" si="47"/>
        <v>0</v>
      </c>
      <c r="CC26" s="62">
        <f t="shared" si="48"/>
        <v>0</v>
      </c>
      <c r="CD26" s="61">
        <f t="shared" si="49"/>
        <v>0</v>
      </c>
      <c r="CE26" s="43">
        <f t="shared" si="9"/>
        <v>0</v>
      </c>
      <c r="CF26" s="35">
        <f t="shared" si="50"/>
        <v>0</v>
      </c>
      <c r="CG26" s="36">
        <f t="shared" si="51"/>
        <v>0</v>
      </c>
      <c r="CH26" s="35">
        <f t="shared" si="52"/>
        <v>0</v>
      </c>
      <c r="CI26" s="62">
        <f t="shared" si="70"/>
        <v>0</v>
      </c>
      <c r="CJ26" s="61">
        <f t="shared" si="53"/>
        <v>0</v>
      </c>
      <c r="CK26" s="43">
        <f t="shared" si="54"/>
        <v>0</v>
      </c>
      <c r="CL26" s="35">
        <f t="shared" si="55"/>
        <v>0</v>
      </c>
      <c r="CM26" s="36">
        <f t="shared" si="56"/>
        <v>0</v>
      </c>
      <c r="CN26" s="35">
        <f t="shared" si="57"/>
        <v>0</v>
      </c>
      <c r="CO26" s="62">
        <f t="shared" si="58"/>
        <v>0</v>
      </c>
      <c r="CP26" s="61">
        <f t="shared" si="59"/>
        <v>0</v>
      </c>
      <c r="CQ26" s="43">
        <f t="shared" si="60"/>
        <v>0</v>
      </c>
      <c r="CR26" s="35">
        <f t="shared" si="61"/>
        <v>0</v>
      </c>
      <c r="CS26" s="43">
        <f t="shared" si="62"/>
        <v>0</v>
      </c>
      <c r="CT26" s="43">
        <f t="shared" si="10"/>
        <v>0</v>
      </c>
      <c r="CU26" s="62">
        <f t="shared" si="63"/>
        <v>0</v>
      </c>
      <c r="CV26" s="61">
        <f t="shared" si="64"/>
        <v>0</v>
      </c>
      <c r="CW26" s="43">
        <f t="shared" si="65"/>
        <v>0</v>
      </c>
      <c r="CX26" s="35">
        <f t="shared" si="66"/>
        <v>0</v>
      </c>
      <c r="CY26" s="36">
        <f t="shared" si="67"/>
        <v>0</v>
      </c>
      <c r="CZ26" s="35">
        <f t="shared" si="68"/>
        <v>0</v>
      </c>
      <c r="DA26" s="62">
        <f t="shared" si="69"/>
        <v>0</v>
      </c>
    </row>
    <row r="27" spans="2:105" x14ac:dyDescent="0.3">
      <c r="B27" s="1">
        <v>0.36620999999999998</v>
      </c>
      <c r="C27" s="1">
        <v>-87.09</v>
      </c>
      <c r="D27">
        <f t="shared" si="11"/>
        <v>397.85</v>
      </c>
      <c r="F27" s="1">
        <v>0.36075699999999999</v>
      </c>
      <c r="G27" s="1">
        <v>-82.95</v>
      </c>
      <c r="H27">
        <f t="shared" si="12"/>
        <v>399.87</v>
      </c>
      <c r="J27" s="1">
        <v>0.35869299999999998</v>
      </c>
      <c r="K27" s="1">
        <v>-84.42</v>
      </c>
      <c r="L27">
        <f t="shared" si="13"/>
        <v>411.66999999999996</v>
      </c>
      <c r="N27" s="1">
        <v>0.35697099999999998</v>
      </c>
      <c r="O27" s="1">
        <v>-29.37</v>
      </c>
      <c r="P27">
        <f t="shared" si="14"/>
        <v>466.71999999999997</v>
      </c>
      <c r="R27" s="1">
        <v>0.35910599999999998</v>
      </c>
      <c r="S27" s="1">
        <v>-26.16</v>
      </c>
      <c r="T27">
        <f t="shared" si="15"/>
        <v>492.33</v>
      </c>
      <c r="V27" s="1">
        <v>0.37053900000000001</v>
      </c>
      <c r="W27" s="1">
        <v>-17.18</v>
      </c>
      <c r="X27">
        <f t="shared" si="16"/>
        <v>504.68</v>
      </c>
      <c r="Z27" s="1">
        <v>0.38391799999999998</v>
      </c>
      <c r="AA27" s="1">
        <v>-8.83</v>
      </c>
      <c r="AB27">
        <f t="shared" si="17"/>
        <v>516.95999999999992</v>
      </c>
      <c r="AD27" s="1">
        <v>0.39668199999999998</v>
      </c>
      <c r="AE27" s="1">
        <v>-0.34</v>
      </c>
      <c r="AF27">
        <f t="shared" si="18"/>
        <v>529.16999999999996</v>
      </c>
      <c r="AH27" s="1">
        <v>0.40986299999999998</v>
      </c>
      <c r="AI27" s="1">
        <v>0.21</v>
      </c>
      <c r="AJ27">
        <f t="shared" si="19"/>
        <v>533.45000000000005</v>
      </c>
      <c r="AL27" s="1">
        <v>0.428595</v>
      </c>
      <c r="AM27" s="1">
        <v>-3.09</v>
      </c>
      <c r="AN27">
        <f t="shared" si="20"/>
        <v>535.24</v>
      </c>
      <c r="AT27" s="61">
        <f t="shared" si="1"/>
        <v>0</v>
      </c>
      <c r="AU27" s="43">
        <f t="shared" si="2"/>
        <v>0</v>
      </c>
      <c r="AV27" s="35">
        <f t="shared" si="3"/>
        <v>0</v>
      </c>
      <c r="AW27" s="36">
        <f t="shared" si="21"/>
        <v>0</v>
      </c>
      <c r="AX27" s="35">
        <f t="shared" si="4"/>
        <v>0</v>
      </c>
      <c r="AY27" s="62">
        <f t="shared" si="5"/>
        <v>0</v>
      </c>
      <c r="AZ27" s="61">
        <f t="shared" si="6"/>
        <v>0</v>
      </c>
      <c r="BA27" s="43">
        <f t="shared" si="7"/>
        <v>0</v>
      </c>
      <c r="BB27" s="35">
        <f t="shared" si="71"/>
        <v>0</v>
      </c>
      <c r="BC27" s="36">
        <f t="shared" si="23"/>
        <v>0</v>
      </c>
      <c r="BD27" s="35">
        <f t="shared" si="24"/>
        <v>0</v>
      </c>
      <c r="BE27" s="62">
        <f t="shared" si="25"/>
        <v>0</v>
      </c>
      <c r="BF27" s="61">
        <f t="shared" si="26"/>
        <v>0</v>
      </c>
      <c r="BG27" s="43">
        <f t="shared" si="8"/>
        <v>0</v>
      </c>
      <c r="BH27" s="35">
        <f t="shared" si="27"/>
        <v>0</v>
      </c>
      <c r="BI27" s="36">
        <f t="shared" si="28"/>
        <v>0</v>
      </c>
      <c r="BJ27" s="35">
        <f t="shared" si="29"/>
        <v>0</v>
      </c>
      <c r="BK27" s="62">
        <f t="shared" si="30"/>
        <v>0</v>
      </c>
      <c r="BL27" s="61">
        <f t="shared" si="31"/>
        <v>0</v>
      </c>
      <c r="BM27" s="43">
        <f t="shared" si="32"/>
        <v>0</v>
      </c>
      <c r="BN27" s="35">
        <f t="shared" si="33"/>
        <v>0</v>
      </c>
      <c r="BO27" s="36">
        <f t="shared" si="34"/>
        <v>0</v>
      </c>
      <c r="BP27" s="35">
        <f t="shared" si="35"/>
        <v>0</v>
      </c>
      <c r="BQ27" s="62">
        <f t="shared" si="36"/>
        <v>0</v>
      </c>
      <c r="BR27" s="61">
        <f t="shared" si="37"/>
        <v>0</v>
      </c>
      <c r="BS27" s="43">
        <f t="shared" si="38"/>
        <v>0</v>
      </c>
      <c r="BT27" s="35">
        <f t="shared" si="39"/>
        <v>0</v>
      </c>
      <c r="BU27" s="36">
        <f t="shared" si="40"/>
        <v>0</v>
      </c>
      <c r="BV27" s="35">
        <f t="shared" si="41"/>
        <v>0</v>
      </c>
      <c r="BW27" s="62">
        <f t="shared" si="42"/>
        <v>0</v>
      </c>
      <c r="BX27" s="61">
        <f t="shared" si="43"/>
        <v>0</v>
      </c>
      <c r="BY27" s="43">
        <f t="shared" si="44"/>
        <v>0</v>
      </c>
      <c r="BZ27" s="35">
        <f t="shared" si="45"/>
        <v>0</v>
      </c>
      <c r="CA27" s="36">
        <f t="shared" si="46"/>
        <v>0</v>
      </c>
      <c r="CB27" s="35">
        <f t="shared" si="47"/>
        <v>0</v>
      </c>
      <c r="CC27" s="62">
        <f t="shared" si="48"/>
        <v>0</v>
      </c>
      <c r="CD27" s="61">
        <f t="shared" si="49"/>
        <v>0</v>
      </c>
      <c r="CE27" s="43">
        <f t="shared" si="9"/>
        <v>0</v>
      </c>
      <c r="CF27" s="35">
        <f t="shared" si="50"/>
        <v>0</v>
      </c>
      <c r="CG27" s="36">
        <f t="shared" si="51"/>
        <v>0</v>
      </c>
      <c r="CH27" s="35">
        <f t="shared" si="52"/>
        <v>0</v>
      </c>
      <c r="CI27" s="62">
        <f t="shared" si="70"/>
        <v>0</v>
      </c>
      <c r="CJ27" s="61">
        <f t="shared" si="53"/>
        <v>0</v>
      </c>
      <c r="CK27" s="43">
        <f t="shared" si="54"/>
        <v>0</v>
      </c>
      <c r="CL27" s="35">
        <f t="shared" si="55"/>
        <v>0</v>
      </c>
      <c r="CM27" s="36">
        <f t="shared" si="56"/>
        <v>0</v>
      </c>
      <c r="CN27" s="35">
        <f t="shared" si="57"/>
        <v>0</v>
      </c>
      <c r="CO27" s="62">
        <f t="shared" si="58"/>
        <v>0</v>
      </c>
      <c r="CP27" s="61">
        <f t="shared" si="59"/>
        <v>0</v>
      </c>
      <c r="CQ27" s="43">
        <f t="shared" si="60"/>
        <v>0</v>
      </c>
      <c r="CR27" s="35">
        <f t="shared" si="61"/>
        <v>0</v>
      </c>
      <c r="CS27" s="43">
        <f t="shared" si="62"/>
        <v>0</v>
      </c>
      <c r="CT27" s="43">
        <f t="shared" si="10"/>
        <v>0</v>
      </c>
      <c r="CU27" s="62">
        <f t="shared" si="63"/>
        <v>0</v>
      </c>
      <c r="CV27" s="61">
        <f t="shared" si="64"/>
        <v>0</v>
      </c>
      <c r="CW27" s="43">
        <f t="shared" si="65"/>
        <v>0</v>
      </c>
      <c r="CX27" s="35">
        <f t="shared" si="66"/>
        <v>0</v>
      </c>
      <c r="CY27" s="36">
        <f t="shared" si="67"/>
        <v>0</v>
      </c>
      <c r="CZ27" s="35">
        <f t="shared" si="68"/>
        <v>0</v>
      </c>
      <c r="DA27" s="62">
        <f t="shared" si="69"/>
        <v>0</v>
      </c>
    </row>
    <row r="28" spans="2:105" x14ac:dyDescent="0.3">
      <c r="B28" s="1">
        <v>0.380411</v>
      </c>
      <c r="C28" s="1">
        <v>-90.03</v>
      </c>
      <c r="D28">
        <f t="shared" si="11"/>
        <v>394.90999999999997</v>
      </c>
      <c r="F28" s="1">
        <v>0.37474600000000002</v>
      </c>
      <c r="G28" s="1">
        <v>-81.52</v>
      </c>
      <c r="H28">
        <f t="shared" si="12"/>
        <v>401.3</v>
      </c>
      <c r="J28" s="1">
        <v>0.37260199999999999</v>
      </c>
      <c r="K28" s="1">
        <v>-82.98</v>
      </c>
      <c r="L28">
        <f t="shared" si="13"/>
        <v>413.10999999999996</v>
      </c>
      <c r="N28" s="1">
        <v>0.37081399999999998</v>
      </c>
      <c r="O28" s="1">
        <v>-27.54</v>
      </c>
      <c r="P28">
        <f t="shared" si="14"/>
        <v>468.54999999999995</v>
      </c>
      <c r="R28" s="1">
        <v>0.373031</v>
      </c>
      <c r="S28" s="1">
        <v>-24.3</v>
      </c>
      <c r="T28">
        <f t="shared" si="15"/>
        <v>494.19</v>
      </c>
      <c r="V28" s="1">
        <v>0.384907</v>
      </c>
      <c r="W28" s="1">
        <v>-15.27</v>
      </c>
      <c r="X28">
        <f t="shared" si="16"/>
        <v>506.59000000000003</v>
      </c>
      <c r="Z28" s="1">
        <v>0.39880500000000002</v>
      </c>
      <c r="AA28" s="1">
        <v>-6.88</v>
      </c>
      <c r="AB28">
        <f t="shared" si="17"/>
        <v>518.91</v>
      </c>
      <c r="AD28" s="1">
        <v>0.41206399999999999</v>
      </c>
      <c r="AE28" s="1">
        <v>-1.01</v>
      </c>
      <c r="AF28">
        <f t="shared" si="18"/>
        <v>528.5</v>
      </c>
      <c r="AH28" s="1">
        <v>0.42575600000000002</v>
      </c>
      <c r="AI28" s="1">
        <v>-2.89</v>
      </c>
      <c r="AJ28">
        <f t="shared" si="19"/>
        <v>530.35</v>
      </c>
      <c r="AL28" s="1">
        <v>0.44521500000000003</v>
      </c>
      <c r="AM28" s="1">
        <v>-6.3</v>
      </c>
      <c r="AN28">
        <f t="shared" si="20"/>
        <v>532.03000000000009</v>
      </c>
      <c r="AT28" s="61">
        <f t="shared" si="1"/>
        <v>0</v>
      </c>
      <c r="AU28" s="43">
        <f t="shared" si="2"/>
        <v>0</v>
      </c>
      <c r="AV28" s="35">
        <f t="shared" si="3"/>
        <v>0</v>
      </c>
      <c r="AW28" s="36">
        <f t="shared" si="21"/>
        <v>0</v>
      </c>
      <c r="AX28" s="35">
        <f t="shared" si="4"/>
        <v>0</v>
      </c>
      <c r="AY28" s="62">
        <f t="shared" si="5"/>
        <v>0</v>
      </c>
      <c r="AZ28" s="61">
        <f t="shared" si="6"/>
        <v>0</v>
      </c>
      <c r="BA28" s="43">
        <f t="shared" si="7"/>
        <v>0</v>
      </c>
      <c r="BB28" s="35">
        <f t="shared" si="71"/>
        <v>0</v>
      </c>
      <c r="BC28" s="36">
        <f t="shared" si="23"/>
        <v>0</v>
      </c>
      <c r="BD28" s="35">
        <f t="shared" si="24"/>
        <v>0</v>
      </c>
      <c r="BE28" s="62">
        <f t="shared" si="25"/>
        <v>0</v>
      </c>
      <c r="BF28" s="61">
        <f t="shared" si="26"/>
        <v>0</v>
      </c>
      <c r="BG28" s="43">
        <f t="shared" si="8"/>
        <v>0</v>
      </c>
      <c r="BH28" s="35">
        <f t="shared" si="27"/>
        <v>0</v>
      </c>
      <c r="BI28" s="36">
        <f t="shared" si="28"/>
        <v>0</v>
      </c>
      <c r="BJ28" s="35">
        <f t="shared" si="29"/>
        <v>0</v>
      </c>
      <c r="BK28" s="62">
        <f t="shared" si="30"/>
        <v>0</v>
      </c>
      <c r="BL28" s="61">
        <f t="shared" si="31"/>
        <v>0</v>
      </c>
      <c r="BM28" s="43">
        <f t="shared" si="32"/>
        <v>0</v>
      </c>
      <c r="BN28" s="35">
        <f t="shared" si="33"/>
        <v>0</v>
      </c>
      <c r="BO28" s="36">
        <f t="shared" si="34"/>
        <v>0</v>
      </c>
      <c r="BP28" s="35">
        <f t="shared" si="35"/>
        <v>0</v>
      </c>
      <c r="BQ28" s="62">
        <f t="shared" si="36"/>
        <v>0</v>
      </c>
      <c r="BR28" s="61">
        <f t="shared" si="37"/>
        <v>0</v>
      </c>
      <c r="BS28" s="43">
        <f t="shared" si="38"/>
        <v>0</v>
      </c>
      <c r="BT28" s="35">
        <f t="shared" si="39"/>
        <v>0</v>
      </c>
      <c r="BU28" s="36">
        <f t="shared" si="40"/>
        <v>0</v>
      </c>
      <c r="BV28" s="35">
        <f t="shared" si="41"/>
        <v>0</v>
      </c>
      <c r="BW28" s="62">
        <f t="shared" si="42"/>
        <v>0</v>
      </c>
      <c r="BX28" s="61">
        <f t="shared" si="43"/>
        <v>0</v>
      </c>
      <c r="BY28" s="43">
        <f t="shared" si="44"/>
        <v>0</v>
      </c>
      <c r="BZ28" s="35">
        <f t="shared" si="45"/>
        <v>0</v>
      </c>
      <c r="CA28" s="36">
        <f t="shared" si="46"/>
        <v>0</v>
      </c>
      <c r="CB28" s="35">
        <f t="shared" si="47"/>
        <v>0</v>
      </c>
      <c r="CC28" s="62">
        <f t="shared" si="48"/>
        <v>0</v>
      </c>
      <c r="CD28" s="61">
        <f t="shared" si="49"/>
        <v>0</v>
      </c>
      <c r="CE28" s="43">
        <f t="shared" si="9"/>
        <v>0</v>
      </c>
      <c r="CF28" s="35">
        <f t="shared" si="50"/>
        <v>0</v>
      </c>
      <c r="CG28" s="36">
        <f t="shared" si="51"/>
        <v>0</v>
      </c>
      <c r="CH28" s="35">
        <f t="shared" si="52"/>
        <v>0</v>
      </c>
      <c r="CI28" s="62">
        <f t="shared" si="70"/>
        <v>0</v>
      </c>
      <c r="CJ28" s="61">
        <f t="shared" si="53"/>
        <v>0</v>
      </c>
      <c r="CK28" s="43">
        <f t="shared" si="54"/>
        <v>0</v>
      </c>
      <c r="CL28" s="35">
        <f t="shared" si="55"/>
        <v>0</v>
      </c>
      <c r="CM28" s="36">
        <f t="shared" si="56"/>
        <v>0</v>
      </c>
      <c r="CN28" s="35">
        <f t="shared" si="57"/>
        <v>0</v>
      </c>
      <c r="CO28" s="62">
        <f t="shared" si="58"/>
        <v>0</v>
      </c>
      <c r="CP28" s="61">
        <f t="shared" si="59"/>
        <v>0</v>
      </c>
      <c r="CQ28" s="43">
        <f t="shared" si="60"/>
        <v>0</v>
      </c>
      <c r="CR28" s="35">
        <f t="shared" si="61"/>
        <v>0</v>
      </c>
      <c r="CS28" s="43">
        <f t="shared" si="62"/>
        <v>0</v>
      </c>
      <c r="CT28" s="43">
        <f t="shared" si="10"/>
        <v>0</v>
      </c>
      <c r="CU28" s="62">
        <f t="shared" si="63"/>
        <v>0</v>
      </c>
      <c r="CV28" s="61">
        <f t="shared" si="64"/>
        <v>0</v>
      </c>
      <c r="CW28" s="43">
        <f t="shared" si="65"/>
        <v>0</v>
      </c>
      <c r="CX28" s="35">
        <f t="shared" si="66"/>
        <v>0</v>
      </c>
      <c r="CY28" s="36">
        <f t="shared" si="67"/>
        <v>0</v>
      </c>
      <c r="CZ28" s="35">
        <f t="shared" si="68"/>
        <v>0</v>
      </c>
      <c r="DA28" s="62">
        <f t="shared" si="69"/>
        <v>0</v>
      </c>
    </row>
    <row r="29" spans="2:105" x14ac:dyDescent="0.3">
      <c r="B29" s="1">
        <v>0.39463999999999999</v>
      </c>
      <c r="C29" s="1">
        <v>-92.98</v>
      </c>
      <c r="D29">
        <f t="shared" si="11"/>
        <v>391.96</v>
      </c>
      <c r="F29" s="1">
        <v>0.388764</v>
      </c>
      <c r="G29" s="1">
        <v>-80.150000000000006</v>
      </c>
      <c r="H29">
        <f t="shared" si="12"/>
        <v>402.66999999999996</v>
      </c>
      <c r="J29" s="1">
        <v>0.38653999999999999</v>
      </c>
      <c r="K29" s="1">
        <v>-81.61</v>
      </c>
      <c r="L29">
        <f t="shared" si="13"/>
        <v>414.47999999999996</v>
      </c>
      <c r="N29" s="1">
        <v>0.38468400000000003</v>
      </c>
      <c r="O29" s="1">
        <v>-25.68</v>
      </c>
      <c r="P29">
        <f t="shared" si="14"/>
        <v>470.40999999999997</v>
      </c>
      <c r="R29" s="1">
        <v>0.38698399999999999</v>
      </c>
      <c r="S29" s="1">
        <v>-22.45</v>
      </c>
      <c r="T29">
        <f t="shared" si="15"/>
        <v>496.04</v>
      </c>
      <c r="V29" s="1">
        <v>0.39930500000000002</v>
      </c>
      <c r="W29" s="1">
        <v>-13.39</v>
      </c>
      <c r="X29">
        <f t="shared" si="16"/>
        <v>508.47</v>
      </c>
      <c r="Z29" s="1">
        <v>0.41372300000000001</v>
      </c>
      <c r="AA29" s="1">
        <v>-4.99</v>
      </c>
      <c r="AB29">
        <f t="shared" si="17"/>
        <v>520.79999999999995</v>
      </c>
      <c r="AD29" s="1">
        <v>0.427477</v>
      </c>
      <c r="AE29" s="1">
        <v>-3.97</v>
      </c>
      <c r="AF29">
        <f t="shared" si="18"/>
        <v>525.54</v>
      </c>
      <c r="AH29" s="1">
        <v>0.44168200000000002</v>
      </c>
      <c r="AI29" s="1">
        <v>-6.08</v>
      </c>
      <c r="AJ29">
        <f t="shared" si="19"/>
        <v>527.16</v>
      </c>
      <c r="AL29" s="1">
        <v>0.461868</v>
      </c>
      <c r="AM29" s="1">
        <v>-9.58</v>
      </c>
      <c r="AN29">
        <f t="shared" si="20"/>
        <v>528.75</v>
      </c>
      <c r="AT29" s="61">
        <f t="shared" si="1"/>
        <v>0</v>
      </c>
      <c r="AU29" s="43">
        <f t="shared" si="2"/>
        <v>0</v>
      </c>
      <c r="AV29" s="35">
        <f t="shared" si="3"/>
        <v>0</v>
      </c>
      <c r="AW29" s="36">
        <f t="shared" si="21"/>
        <v>0</v>
      </c>
      <c r="AX29" s="35">
        <f t="shared" si="4"/>
        <v>0</v>
      </c>
      <c r="AY29" s="62">
        <f t="shared" si="5"/>
        <v>0</v>
      </c>
      <c r="AZ29" s="61">
        <f t="shared" si="6"/>
        <v>0</v>
      </c>
      <c r="BA29" s="43">
        <f t="shared" si="7"/>
        <v>0</v>
      </c>
      <c r="BB29" s="35">
        <f t="shared" si="71"/>
        <v>0</v>
      </c>
      <c r="BC29" s="36">
        <f t="shared" si="23"/>
        <v>0</v>
      </c>
      <c r="BD29" s="35">
        <f t="shared" si="24"/>
        <v>0</v>
      </c>
      <c r="BE29" s="62">
        <f t="shared" si="25"/>
        <v>0</v>
      </c>
      <c r="BF29" s="61">
        <f t="shared" si="26"/>
        <v>0</v>
      </c>
      <c r="BG29" s="43">
        <f t="shared" si="8"/>
        <v>0</v>
      </c>
      <c r="BH29" s="35">
        <f t="shared" si="27"/>
        <v>0</v>
      </c>
      <c r="BI29" s="36">
        <f t="shared" si="28"/>
        <v>0</v>
      </c>
      <c r="BJ29" s="35">
        <f t="shared" si="29"/>
        <v>0</v>
      </c>
      <c r="BK29" s="62">
        <f t="shared" si="30"/>
        <v>0</v>
      </c>
      <c r="BL29" s="61">
        <f t="shared" si="31"/>
        <v>0</v>
      </c>
      <c r="BM29" s="43">
        <f t="shared" si="32"/>
        <v>0</v>
      </c>
      <c r="BN29" s="35">
        <f t="shared" si="33"/>
        <v>0</v>
      </c>
      <c r="BO29" s="36">
        <f t="shared" si="34"/>
        <v>0</v>
      </c>
      <c r="BP29" s="35">
        <f t="shared" si="35"/>
        <v>0</v>
      </c>
      <c r="BQ29" s="62">
        <f t="shared" si="36"/>
        <v>0</v>
      </c>
      <c r="BR29" s="61">
        <f t="shared" si="37"/>
        <v>0</v>
      </c>
      <c r="BS29" s="43">
        <f t="shared" si="38"/>
        <v>0</v>
      </c>
      <c r="BT29" s="35">
        <f t="shared" si="39"/>
        <v>0</v>
      </c>
      <c r="BU29" s="36">
        <f t="shared" si="40"/>
        <v>0</v>
      </c>
      <c r="BV29" s="35">
        <f t="shared" si="41"/>
        <v>0</v>
      </c>
      <c r="BW29" s="62">
        <f t="shared" si="42"/>
        <v>0</v>
      </c>
      <c r="BX29" s="61">
        <f t="shared" si="43"/>
        <v>0</v>
      </c>
      <c r="BY29" s="43">
        <f t="shared" si="44"/>
        <v>0</v>
      </c>
      <c r="BZ29" s="35">
        <f t="shared" si="45"/>
        <v>0</v>
      </c>
      <c r="CA29" s="36">
        <f t="shared" si="46"/>
        <v>0</v>
      </c>
      <c r="CB29" s="35">
        <f t="shared" si="47"/>
        <v>0</v>
      </c>
      <c r="CC29" s="62">
        <f t="shared" si="48"/>
        <v>0</v>
      </c>
      <c r="CD29" s="61">
        <f t="shared" si="49"/>
        <v>0</v>
      </c>
      <c r="CE29" s="43">
        <f t="shared" si="9"/>
        <v>0</v>
      </c>
      <c r="CF29" s="35">
        <f t="shared" si="50"/>
        <v>0</v>
      </c>
      <c r="CG29" s="36">
        <f t="shared" si="51"/>
        <v>0</v>
      </c>
      <c r="CH29" s="35">
        <f t="shared" si="52"/>
        <v>0</v>
      </c>
      <c r="CI29" s="62">
        <f t="shared" si="70"/>
        <v>0</v>
      </c>
      <c r="CJ29" s="61">
        <f t="shared" si="53"/>
        <v>0</v>
      </c>
      <c r="CK29" s="43">
        <f t="shared" si="54"/>
        <v>0</v>
      </c>
      <c r="CL29" s="35">
        <f t="shared" si="55"/>
        <v>0</v>
      </c>
      <c r="CM29" s="36">
        <f t="shared" si="56"/>
        <v>0</v>
      </c>
      <c r="CN29" s="35">
        <f t="shared" si="57"/>
        <v>0</v>
      </c>
      <c r="CO29" s="62">
        <f t="shared" si="58"/>
        <v>0</v>
      </c>
      <c r="CP29" s="61">
        <f t="shared" si="59"/>
        <v>0</v>
      </c>
      <c r="CQ29" s="43">
        <f t="shared" si="60"/>
        <v>0</v>
      </c>
      <c r="CR29" s="35">
        <f t="shared" si="61"/>
        <v>0</v>
      </c>
      <c r="CS29" s="43">
        <f t="shared" si="62"/>
        <v>0</v>
      </c>
      <c r="CT29" s="43">
        <f t="shared" si="10"/>
        <v>0</v>
      </c>
      <c r="CU29" s="62">
        <f t="shared" si="63"/>
        <v>0</v>
      </c>
      <c r="CV29" s="61">
        <f t="shared" si="64"/>
        <v>0</v>
      </c>
      <c r="CW29" s="43">
        <f t="shared" si="65"/>
        <v>0</v>
      </c>
      <c r="CX29" s="35">
        <f t="shared" si="66"/>
        <v>0</v>
      </c>
      <c r="CY29" s="36">
        <f t="shared" si="67"/>
        <v>0</v>
      </c>
      <c r="CZ29" s="35">
        <f t="shared" si="68"/>
        <v>0</v>
      </c>
      <c r="DA29" s="62">
        <f t="shared" si="69"/>
        <v>0</v>
      </c>
    </row>
    <row r="30" spans="2:105" x14ac:dyDescent="0.3">
      <c r="B30" s="1">
        <v>0.40884100000000001</v>
      </c>
      <c r="C30" s="1">
        <v>-92.79</v>
      </c>
      <c r="D30">
        <f t="shared" si="11"/>
        <v>392.15</v>
      </c>
      <c r="F30" s="1">
        <v>0.40275300000000003</v>
      </c>
      <c r="G30" s="1">
        <v>-78.77</v>
      </c>
      <c r="H30">
        <f t="shared" si="12"/>
        <v>404.05</v>
      </c>
      <c r="J30" s="1">
        <v>0.400449</v>
      </c>
      <c r="K30" s="1">
        <v>-23.39</v>
      </c>
      <c r="L30">
        <f t="shared" si="13"/>
        <v>472.7</v>
      </c>
      <c r="N30" s="1">
        <v>0.39852599999999999</v>
      </c>
      <c r="O30" s="1">
        <v>-23.92</v>
      </c>
      <c r="P30">
        <f t="shared" si="14"/>
        <v>472.16999999999996</v>
      </c>
      <c r="R30" s="1">
        <v>0.40090999999999999</v>
      </c>
      <c r="S30" s="1">
        <v>-20.67</v>
      </c>
      <c r="T30">
        <f t="shared" si="15"/>
        <v>497.82</v>
      </c>
      <c r="V30" s="1">
        <v>0.41367300000000001</v>
      </c>
      <c r="W30" s="1">
        <v>-11.59</v>
      </c>
      <c r="X30">
        <f t="shared" si="16"/>
        <v>510.27000000000004</v>
      </c>
      <c r="Z30" s="1">
        <v>0.42860999999999999</v>
      </c>
      <c r="AA30" s="1">
        <v>-4.8499999999999996</v>
      </c>
      <c r="AB30">
        <f t="shared" si="17"/>
        <v>520.93999999999994</v>
      </c>
      <c r="AD30" s="1">
        <v>0.442859</v>
      </c>
      <c r="AE30" s="1">
        <v>-6.9</v>
      </c>
      <c r="AF30">
        <f t="shared" si="18"/>
        <v>522.61</v>
      </c>
      <c r="AH30" s="1">
        <v>0.45757500000000001</v>
      </c>
      <c r="AI30" s="1">
        <v>-9.14</v>
      </c>
      <c r="AJ30">
        <f t="shared" si="19"/>
        <v>524.1</v>
      </c>
      <c r="AL30" s="1">
        <v>0.47848800000000002</v>
      </c>
      <c r="AM30" s="1">
        <v>-12.84</v>
      </c>
      <c r="AN30">
        <f t="shared" si="20"/>
        <v>525.49</v>
      </c>
      <c r="AT30" s="61">
        <f t="shared" si="1"/>
        <v>0</v>
      </c>
      <c r="AU30" s="43">
        <f t="shared" si="2"/>
        <v>0</v>
      </c>
      <c r="AV30" s="35">
        <f t="shared" si="3"/>
        <v>0</v>
      </c>
      <c r="AW30" s="36">
        <f t="shared" si="21"/>
        <v>0</v>
      </c>
      <c r="AX30" s="35">
        <f t="shared" si="4"/>
        <v>0</v>
      </c>
      <c r="AY30" s="62">
        <f t="shared" si="5"/>
        <v>0</v>
      </c>
      <c r="AZ30" s="61">
        <f t="shared" si="6"/>
        <v>0</v>
      </c>
      <c r="BA30" s="43">
        <f t="shared" si="7"/>
        <v>0</v>
      </c>
      <c r="BB30" s="35">
        <f t="shared" si="71"/>
        <v>0</v>
      </c>
      <c r="BC30" s="36">
        <f t="shared" si="23"/>
        <v>0</v>
      </c>
      <c r="BD30" s="35">
        <f t="shared" si="24"/>
        <v>0</v>
      </c>
      <c r="BE30" s="62">
        <f t="shared" si="25"/>
        <v>0</v>
      </c>
      <c r="BF30" s="61">
        <f t="shared" si="26"/>
        <v>0</v>
      </c>
      <c r="BG30" s="43">
        <f t="shared" si="8"/>
        <v>0</v>
      </c>
      <c r="BH30" s="35">
        <f t="shared" si="27"/>
        <v>0</v>
      </c>
      <c r="BI30" s="36">
        <f t="shared" si="28"/>
        <v>0</v>
      </c>
      <c r="BJ30" s="35">
        <f t="shared" si="29"/>
        <v>0</v>
      </c>
      <c r="BK30" s="62">
        <f t="shared" si="30"/>
        <v>0</v>
      </c>
      <c r="BL30" s="61">
        <f t="shared" si="31"/>
        <v>0</v>
      </c>
      <c r="BM30" s="43">
        <f t="shared" si="32"/>
        <v>0</v>
      </c>
      <c r="BN30" s="35">
        <f t="shared" si="33"/>
        <v>0</v>
      </c>
      <c r="BO30" s="36">
        <f t="shared" si="34"/>
        <v>0</v>
      </c>
      <c r="BP30" s="35">
        <f t="shared" si="35"/>
        <v>0</v>
      </c>
      <c r="BQ30" s="62">
        <f t="shared" si="36"/>
        <v>0</v>
      </c>
      <c r="BR30" s="61">
        <f t="shared" si="37"/>
        <v>0</v>
      </c>
      <c r="BS30" s="43">
        <f t="shared" si="38"/>
        <v>0</v>
      </c>
      <c r="BT30" s="35">
        <f t="shared" si="39"/>
        <v>0</v>
      </c>
      <c r="BU30" s="36">
        <f t="shared" si="40"/>
        <v>0</v>
      </c>
      <c r="BV30" s="35">
        <f t="shared" si="41"/>
        <v>0</v>
      </c>
      <c r="BW30" s="62">
        <f t="shared" si="42"/>
        <v>0</v>
      </c>
      <c r="BX30" s="61">
        <f t="shared" si="43"/>
        <v>0</v>
      </c>
      <c r="BY30" s="43">
        <f t="shared" si="44"/>
        <v>0</v>
      </c>
      <c r="BZ30" s="35">
        <f t="shared" si="45"/>
        <v>0</v>
      </c>
      <c r="CA30" s="36">
        <f t="shared" si="46"/>
        <v>0</v>
      </c>
      <c r="CB30" s="35">
        <f t="shared" si="47"/>
        <v>0</v>
      </c>
      <c r="CC30" s="62">
        <f t="shared" si="48"/>
        <v>0</v>
      </c>
      <c r="CD30" s="61">
        <f t="shared" si="49"/>
        <v>0</v>
      </c>
      <c r="CE30" s="43">
        <f t="shared" si="9"/>
        <v>0</v>
      </c>
      <c r="CF30" s="35">
        <f t="shared" si="50"/>
        <v>0</v>
      </c>
      <c r="CG30" s="36">
        <f t="shared" si="51"/>
        <v>0</v>
      </c>
      <c r="CH30" s="35">
        <f t="shared" si="52"/>
        <v>0</v>
      </c>
      <c r="CI30" s="62">
        <f t="shared" si="70"/>
        <v>0</v>
      </c>
      <c r="CJ30" s="61">
        <f t="shared" si="53"/>
        <v>0</v>
      </c>
      <c r="CK30" s="43">
        <f t="shared" si="54"/>
        <v>0</v>
      </c>
      <c r="CL30" s="35">
        <f t="shared" si="55"/>
        <v>0</v>
      </c>
      <c r="CM30" s="36">
        <f t="shared" si="56"/>
        <v>0</v>
      </c>
      <c r="CN30" s="35">
        <f t="shared" si="57"/>
        <v>0</v>
      </c>
      <c r="CO30" s="62">
        <f t="shared" si="58"/>
        <v>0</v>
      </c>
      <c r="CP30" s="61">
        <f t="shared" si="59"/>
        <v>0</v>
      </c>
      <c r="CQ30" s="43">
        <f t="shared" si="60"/>
        <v>0</v>
      </c>
      <c r="CR30" s="35">
        <f t="shared" si="61"/>
        <v>0</v>
      </c>
      <c r="CS30" s="43">
        <f t="shared" si="62"/>
        <v>0</v>
      </c>
      <c r="CT30" s="43">
        <f t="shared" si="10"/>
        <v>0</v>
      </c>
      <c r="CU30" s="62">
        <f t="shared" si="63"/>
        <v>0</v>
      </c>
      <c r="CV30" s="61">
        <f t="shared" si="64"/>
        <v>0</v>
      </c>
      <c r="CW30" s="43">
        <f t="shared" si="65"/>
        <v>0</v>
      </c>
      <c r="CX30" s="35">
        <f t="shared" si="66"/>
        <v>0</v>
      </c>
      <c r="CY30" s="36">
        <f t="shared" si="67"/>
        <v>0</v>
      </c>
      <c r="CZ30" s="35">
        <f t="shared" si="68"/>
        <v>0</v>
      </c>
      <c r="DA30" s="62">
        <f t="shared" si="69"/>
        <v>0</v>
      </c>
    </row>
    <row r="31" spans="2:105" x14ac:dyDescent="0.3">
      <c r="B31" s="1">
        <v>0.42304199999999997</v>
      </c>
      <c r="C31" s="1">
        <v>-91.44</v>
      </c>
      <c r="D31">
        <f t="shared" si="11"/>
        <v>393.5</v>
      </c>
      <c r="F31" s="1">
        <v>0.416742</v>
      </c>
      <c r="G31" s="1">
        <v>-77.400000000000006</v>
      </c>
      <c r="H31">
        <f t="shared" si="12"/>
        <v>405.41999999999996</v>
      </c>
      <c r="J31" s="1">
        <v>0.414358</v>
      </c>
      <c r="K31" s="1">
        <v>-21.61</v>
      </c>
      <c r="L31">
        <f t="shared" si="13"/>
        <v>474.47999999999996</v>
      </c>
      <c r="N31" s="1">
        <v>0.41236899999999999</v>
      </c>
      <c r="O31" s="1">
        <v>-22.13</v>
      </c>
      <c r="P31">
        <f t="shared" si="14"/>
        <v>473.96</v>
      </c>
      <c r="R31" s="1">
        <v>0.41483500000000001</v>
      </c>
      <c r="S31" s="1">
        <v>-18.899999999999999</v>
      </c>
      <c r="T31">
        <f t="shared" si="15"/>
        <v>499.59000000000003</v>
      </c>
      <c r="V31" s="1">
        <v>0.42804199999999998</v>
      </c>
      <c r="W31" s="1">
        <v>-9.83</v>
      </c>
      <c r="X31">
        <f t="shared" si="16"/>
        <v>512.03</v>
      </c>
      <c r="Z31" s="1">
        <v>0.44349699999999997</v>
      </c>
      <c r="AA31" s="1">
        <v>-7.66</v>
      </c>
      <c r="AB31">
        <f t="shared" si="17"/>
        <v>518.13</v>
      </c>
      <c r="AD31" s="1">
        <v>0.45824199999999998</v>
      </c>
      <c r="AE31" s="1">
        <v>-9.94</v>
      </c>
      <c r="AF31">
        <f t="shared" si="18"/>
        <v>519.56999999999994</v>
      </c>
      <c r="AH31" s="1">
        <v>0.473468</v>
      </c>
      <c r="AI31" s="1">
        <v>-12.25</v>
      </c>
      <c r="AJ31">
        <f t="shared" si="19"/>
        <v>520.99</v>
      </c>
      <c r="AL31" s="1">
        <v>0.49510799999999999</v>
      </c>
      <c r="AM31" s="8">
        <v>7.32</v>
      </c>
      <c r="AN31">
        <f t="shared" si="20"/>
        <v>545.65000000000009</v>
      </c>
      <c r="AT31" s="61">
        <f t="shared" si="1"/>
        <v>0</v>
      </c>
      <c r="AU31" s="43">
        <f t="shared" si="2"/>
        <v>0</v>
      </c>
      <c r="AV31" s="35">
        <f t="shared" si="3"/>
        <v>0</v>
      </c>
      <c r="AW31" s="36">
        <f t="shared" si="21"/>
        <v>0</v>
      </c>
      <c r="AX31" s="35">
        <f t="shared" si="4"/>
        <v>0</v>
      </c>
      <c r="AY31" s="62">
        <f t="shared" si="5"/>
        <v>0</v>
      </c>
      <c r="AZ31" s="61">
        <f t="shared" si="6"/>
        <v>0</v>
      </c>
      <c r="BA31" s="43">
        <f t="shared" si="7"/>
        <v>0</v>
      </c>
      <c r="BB31" s="35">
        <f t="shared" si="71"/>
        <v>0</v>
      </c>
      <c r="BC31" s="36">
        <f t="shared" si="23"/>
        <v>0</v>
      </c>
      <c r="BD31" s="35">
        <f t="shared" si="24"/>
        <v>0</v>
      </c>
      <c r="BE31" s="62">
        <f t="shared" si="25"/>
        <v>0</v>
      </c>
      <c r="BF31" s="61">
        <f t="shared" si="26"/>
        <v>0</v>
      </c>
      <c r="BG31" s="43">
        <f t="shared" si="8"/>
        <v>0</v>
      </c>
      <c r="BH31" s="35">
        <f t="shared" si="27"/>
        <v>0</v>
      </c>
      <c r="BI31" s="36">
        <f t="shared" si="28"/>
        <v>0</v>
      </c>
      <c r="BJ31" s="35">
        <f t="shared" si="29"/>
        <v>0</v>
      </c>
      <c r="BK31" s="62">
        <f t="shared" si="30"/>
        <v>0</v>
      </c>
      <c r="BL31" s="61">
        <f t="shared" si="31"/>
        <v>0</v>
      </c>
      <c r="BM31" s="43">
        <f t="shared" si="32"/>
        <v>0</v>
      </c>
      <c r="BN31" s="35">
        <f t="shared" si="33"/>
        <v>0</v>
      </c>
      <c r="BO31" s="36">
        <f t="shared" si="34"/>
        <v>0</v>
      </c>
      <c r="BP31" s="35">
        <f t="shared" si="35"/>
        <v>0</v>
      </c>
      <c r="BQ31" s="62">
        <f t="shared" si="36"/>
        <v>0</v>
      </c>
      <c r="BR31" s="61">
        <f t="shared" si="37"/>
        <v>0</v>
      </c>
      <c r="BS31" s="43">
        <f t="shared" si="38"/>
        <v>0</v>
      </c>
      <c r="BT31" s="35">
        <f t="shared" si="39"/>
        <v>0</v>
      </c>
      <c r="BU31" s="36">
        <f t="shared" si="40"/>
        <v>0</v>
      </c>
      <c r="BV31" s="35">
        <f t="shared" si="41"/>
        <v>0</v>
      </c>
      <c r="BW31" s="62">
        <f t="shared" si="42"/>
        <v>0</v>
      </c>
      <c r="BX31" s="61">
        <f t="shared" si="43"/>
        <v>0</v>
      </c>
      <c r="BY31" s="43">
        <f t="shared" si="44"/>
        <v>0</v>
      </c>
      <c r="BZ31" s="35">
        <f t="shared" si="45"/>
        <v>0</v>
      </c>
      <c r="CA31" s="36">
        <f t="shared" si="46"/>
        <v>0</v>
      </c>
      <c r="CB31" s="35">
        <f t="shared" si="47"/>
        <v>0</v>
      </c>
      <c r="CC31" s="62">
        <f t="shared" si="48"/>
        <v>0</v>
      </c>
      <c r="CD31" s="61">
        <f t="shared" si="49"/>
        <v>0</v>
      </c>
      <c r="CE31" s="43">
        <f t="shared" si="9"/>
        <v>0</v>
      </c>
      <c r="CF31" s="35">
        <f t="shared" si="50"/>
        <v>0</v>
      </c>
      <c r="CG31" s="36">
        <f t="shared" si="51"/>
        <v>0</v>
      </c>
      <c r="CH31" s="35">
        <f t="shared" si="52"/>
        <v>0</v>
      </c>
      <c r="CI31" s="62">
        <f t="shared" si="70"/>
        <v>0</v>
      </c>
      <c r="CJ31" s="61">
        <f t="shared" si="53"/>
        <v>0</v>
      </c>
      <c r="CK31" s="43">
        <f t="shared" si="54"/>
        <v>0</v>
      </c>
      <c r="CL31" s="35">
        <f t="shared" si="55"/>
        <v>0</v>
      </c>
      <c r="CM31" s="36">
        <f t="shared" si="56"/>
        <v>0</v>
      </c>
      <c r="CN31" s="35">
        <f t="shared" si="57"/>
        <v>0</v>
      </c>
      <c r="CO31" s="62">
        <f t="shared" si="58"/>
        <v>0</v>
      </c>
      <c r="CP31" s="61">
        <f t="shared" si="59"/>
        <v>0</v>
      </c>
      <c r="CQ31" s="43">
        <f t="shared" si="60"/>
        <v>0</v>
      </c>
      <c r="CR31" s="35">
        <f t="shared" si="61"/>
        <v>0</v>
      </c>
      <c r="CS31" s="43">
        <f t="shared" si="62"/>
        <v>0</v>
      </c>
      <c r="CT31" s="43">
        <f t="shared" si="10"/>
        <v>0</v>
      </c>
      <c r="CU31" s="62">
        <f t="shared" si="63"/>
        <v>0</v>
      </c>
      <c r="CV31" s="61">
        <f t="shared" si="64"/>
        <v>0</v>
      </c>
      <c r="CW31" s="43">
        <f t="shared" si="65"/>
        <v>0</v>
      </c>
      <c r="CX31" s="35">
        <f t="shared" si="66"/>
        <v>0</v>
      </c>
      <c r="CY31" s="36">
        <f t="shared" si="67"/>
        <v>0</v>
      </c>
      <c r="CZ31" s="35">
        <f t="shared" si="68"/>
        <v>0</v>
      </c>
      <c r="DA31" s="62">
        <f t="shared" si="69"/>
        <v>0</v>
      </c>
    </row>
    <row r="32" spans="2:105" x14ac:dyDescent="0.3">
      <c r="B32" s="1">
        <v>0.43724200000000002</v>
      </c>
      <c r="C32" s="1">
        <v>-90.01</v>
      </c>
      <c r="D32">
        <f t="shared" si="11"/>
        <v>394.93</v>
      </c>
      <c r="F32" s="1">
        <v>0.43073099999999998</v>
      </c>
      <c r="G32" s="1">
        <v>-19.02</v>
      </c>
      <c r="H32">
        <f t="shared" si="12"/>
        <v>463.8</v>
      </c>
      <c r="J32" s="1">
        <v>0.42826700000000001</v>
      </c>
      <c r="K32" s="1">
        <v>-19.670000000000002</v>
      </c>
      <c r="L32">
        <f t="shared" si="13"/>
        <v>476.41999999999996</v>
      </c>
      <c r="N32" s="1">
        <v>0.42621100000000001</v>
      </c>
      <c r="O32" s="1">
        <v>-20.2</v>
      </c>
      <c r="P32">
        <f t="shared" si="14"/>
        <v>475.89</v>
      </c>
      <c r="R32" s="1">
        <v>0.42875999999999997</v>
      </c>
      <c r="S32" s="1">
        <v>-16.98</v>
      </c>
      <c r="T32">
        <f t="shared" si="15"/>
        <v>501.51</v>
      </c>
      <c r="V32" s="1">
        <v>0.44241000000000003</v>
      </c>
      <c r="W32" s="1">
        <v>-8.0500000000000007</v>
      </c>
      <c r="X32">
        <f t="shared" si="16"/>
        <v>513.81000000000006</v>
      </c>
      <c r="Z32" s="1">
        <v>0.45838499999999999</v>
      </c>
      <c r="AA32" s="1">
        <v>-10.46</v>
      </c>
      <c r="AB32">
        <f t="shared" si="17"/>
        <v>515.32999999999993</v>
      </c>
      <c r="AD32" s="1">
        <v>0.47362399999999999</v>
      </c>
      <c r="AE32" s="1">
        <v>-12.7</v>
      </c>
      <c r="AF32">
        <f t="shared" si="18"/>
        <v>516.80999999999995</v>
      </c>
      <c r="AH32" s="1">
        <v>0.48936200000000002</v>
      </c>
      <c r="AI32" s="1">
        <v>-15.34</v>
      </c>
      <c r="AJ32">
        <f t="shared" si="19"/>
        <v>517.9</v>
      </c>
      <c r="AL32" s="1">
        <v>0.51172799999999996</v>
      </c>
      <c r="AM32" s="8">
        <v>9.23</v>
      </c>
      <c r="AN32">
        <f t="shared" si="20"/>
        <v>547.56000000000006</v>
      </c>
      <c r="AT32" s="61">
        <f t="shared" si="1"/>
        <v>0</v>
      </c>
      <c r="AU32" s="43">
        <f t="shared" si="2"/>
        <v>0</v>
      </c>
      <c r="AV32" s="35">
        <f t="shared" si="3"/>
        <v>0</v>
      </c>
      <c r="AW32" s="36">
        <f t="shared" si="21"/>
        <v>0</v>
      </c>
      <c r="AX32" s="35">
        <f t="shared" si="4"/>
        <v>0</v>
      </c>
      <c r="AY32" s="62">
        <f t="shared" si="5"/>
        <v>0</v>
      </c>
      <c r="AZ32" s="61">
        <f t="shared" si="6"/>
        <v>0</v>
      </c>
      <c r="BA32" s="43">
        <f t="shared" si="7"/>
        <v>0</v>
      </c>
      <c r="BB32" s="35">
        <f t="shared" si="71"/>
        <v>0</v>
      </c>
      <c r="BC32" s="36">
        <f t="shared" si="23"/>
        <v>0</v>
      </c>
      <c r="BD32" s="35">
        <f t="shared" si="24"/>
        <v>0</v>
      </c>
      <c r="BE32" s="62">
        <f t="shared" si="25"/>
        <v>0</v>
      </c>
      <c r="BF32" s="61">
        <f t="shared" si="26"/>
        <v>0</v>
      </c>
      <c r="BG32" s="43">
        <f t="shared" si="8"/>
        <v>0</v>
      </c>
      <c r="BH32" s="35">
        <f t="shared" si="27"/>
        <v>0</v>
      </c>
      <c r="BI32" s="36">
        <f t="shared" si="28"/>
        <v>0</v>
      </c>
      <c r="BJ32" s="35">
        <f t="shared" si="29"/>
        <v>0</v>
      </c>
      <c r="BK32" s="62">
        <f t="shared" si="30"/>
        <v>0</v>
      </c>
      <c r="BL32" s="61">
        <f t="shared" si="31"/>
        <v>0</v>
      </c>
      <c r="BM32" s="43">
        <f t="shared" si="32"/>
        <v>0</v>
      </c>
      <c r="BN32" s="35">
        <f t="shared" si="33"/>
        <v>0</v>
      </c>
      <c r="BO32" s="36">
        <f t="shared" si="34"/>
        <v>0</v>
      </c>
      <c r="BP32" s="35">
        <f t="shared" si="35"/>
        <v>0</v>
      </c>
      <c r="BQ32" s="62">
        <f t="shared" si="36"/>
        <v>0</v>
      </c>
      <c r="BR32" s="61">
        <f t="shared" si="37"/>
        <v>0</v>
      </c>
      <c r="BS32" s="43">
        <f t="shared" si="38"/>
        <v>0</v>
      </c>
      <c r="BT32" s="35">
        <f t="shared" si="39"/>
        <v>0</v>
      </c>
      <c r="BU32" s="36">
        <f t="shared" si="40"/>
        <v>0</v>
      </c>
      <c r="BV32" s="35">
        <f t="shared" si="41"/>
        <v>0</v>
      </c>
      <c r="BW32" s="62">
        <f t="shared" si="42"/>
        <v>0</v>
      </c>
      <c r="BX32" s="61">
        <f t="shared" si="43"/>
        <v>0</v>
      </c>
      <c r="BY32" s="43">
        <f t="shared" si="44"/>
        <v>0</v>
      </c>
      <c r="BZ32" s="35">
        <f t="shared" si="45"/>
        <v>0</v>
      </c>
      <c r="CA32" s="36">
        <f t="shared" si="46"/>
        <v>0</v>
      </c>
      <c r="CB32" s="35">
        <f t="shared" si="47"/>
        <v>0</v>
      </c>
      <c r="CC32" s="62">
        <f t="shared" si="48"/>
        <v>0</v>
      </c>
      <c r="CD32" s="61">
        <f t="shared" si="49"/>
        <v>0</v>
      </c>
      <c r="CE32" s="43">
        <f t="shared" si="9"/>
        <v>0</v>
      </c>
      <c r="CF32" s="35">
        <f t="shared" si="50"/>
        <v>0</v>
      </c>
      <c r="CG32" s="36">
        <f t="shared" si="51"/>
        <v>0</v>
      </c>
      <c r="CH32" s="35">
        <f t="shared" si="52"/>
        <v>0</v>
      </c>
      <c r="CI32" s="62">
        <f t="shared" si="70"/>
        <v>0</v>
      </c>
      <c r="CJ32" s="61">
        <f t="shared" si="53"/>
        <v>0</v>
      </c>
      <c r="CK32" s="43">
        <f t="shared" si="54"/>
        <v>0</v>
      </c>
      <c r="CL32" s="35">
        <f t="shared" si="55"/>
        <v>0</v>
      </c>
      <c r="CM32" s="36">
        <f t="shared" si="56"/>
        <v>0</v>
      </c>
      <c r="CN32" s="35">
        <f t="shared" si="57"/>
        <v>0</v>
      </c>
      <c r="CO32" s="62">
        <f t="shared" si="58"/>
        <v>0</v>
      </c>
      <c r="CP32" s="61">
        <f t="shared" si="59"/>
        <v>0</v>
      </c>
      <c r="CQ32" s="43">
        <f t="shared" si="60"/>
        <v>0</v>
      </c>
      <c r="CR32" s="35">
        <f t="shared" si="61"/>
        <v>0</v>
      </c>
      <c r="CS32" s="43">
        <f t="shared" si="62"/>
        <v>0</v>
      </c>
      <c r="CT32" s="43">
        <f t="shared" si="10"/>
        <v>0</v>
      </c>
      <c r="CU32" s="62">
        <f t="shared" si="63"/>
        <v>0</v>
      </c>
      <c r="CV32" s="61">
        <f t="shared" si="64"/>
        <v>0</v>
      </c>
      <c r="CW32" s="43">
        <f t="shared" si="65"/>
        <v>0</v>
      </c>
      <c r="CX32" s="35">
        <f t="shared" si="66"/>
        <v>0</v>
      </c>
      <c r="CY32" s="36">
        <f t="shared" si="67"/>
        <v>0</v>
      </c>
      <c r="CZ32" s="35">
        <f t="shared" si="68"/>
        <v>0</v>
      </c>
      <c r="DA32" s="62">
        <f t="shared" si="69"/>
        <v>0</v>
      </c>
    </row>
    <row r="33" spans="2:105" x14ac:dyDescent="0.3">
      <c r="B33" s="1">
        <v>0.45141399999999998</v>
      </c>
      <c r="C33" s="1">
        <v>-88.5</v>
      </c>
      <c r="D33">
        <f t="shared" si="11"/>
        <v>396.44</v>
      </c>
      <c r="F33" s="1">
        <v>0.44469199999999998</v>
      </c>
      <c r="G33" s="1">
        <v>-17.07</v>
      </c>
      <c r="H33">
        <f t="shared" si="12"/>
        <v>465.75</v>
      </c>
      <c r="J33" s="1">
        <v>0.44214799999999999</v>
      </c>
      <c r="K33" s="1">
        <v>-17.670000000000002</v>
      </c>
      <c r="L33">
        <f t="shared" si="13"/>
        <v>478.41999999999996</v>
      </c>
      <c r="N33" s="1">
        <v>0.44002599999999997</v>
      </c>
      <c r="O33" s="1">
        <v>-18.239999999999998</v>
      </c>
      <c r="P33">
        <f t="shared" si="14"/>
        <v>477.84999999999997</v>
      </c>
      <c r="R33" s="1">
        <v>0.44265700000000002</v>
      </c>
      <c r="S33" s="1">
        <v>-15.02</v>
      </c>
      <c r="T33">
        <f t="shared" si="15"/>
        <v>503.47</v>
      </c>
      <c r="V33" s="1">
        <v>0.45674999999999999</v>
      </c>
      <c r="W33" s="1">
        <v>-10.58</v>
      </c>
      <c r="X33">
        <f t="shared" si="16"/>
        <v>511.28000000000003</v>
      </c>
      <c r="Z33" s="1">
        <v>0.473242</v>
      </c>
      <c r="AA33" s="1">
        <v>-13.24</v>
      </c>
      <c r="AB33">
        <f t="shared" si="17"/>
        <v>512.54999999999995</v>
      </c>
      <c r="AD33" s="1">
        <v>0.48897499999999999</v>
      </c>
      <c r="AE33" s="1">
        <v>-15.77</v>
      </c>
      <c r="AF33">
        <f t="shared" si="18"/>
        <v>513.74</v>
      </c>
      <c r="AH33" s="1">
        <v>0.50522299999999998</v>
      </c>
      <c r="AI33" s="8">
        <v>4.12</v>
      </c>
      <c r="AJ33">
        <f t="shared" si="19"/>
        <v>537.36</v>
      </c>
      <c r="AL33" s="1">
        <v>0.52831399999999995</v>
      </c>
      <c r="AM33" s="8">
        <v>11.27</v>
      </c>
      <c r="AN33">
        <f t="shared" si="20"/>
        <v>549.6</v>
      </c>
      <c r="AT33" s="61">
        <f t="shared" si="1"/>
        <v>0</v>
      </c>
      <c r="AU33" s="43">
        <f t="shared" si="2"/>
        <v>0</v>
      </c>
      <c r="AV33" s="35">
        <f t="shared" si="3"/>
        <v>0</v>
      </c>
      <c r="AW33" s="36">
        <f t="shared" si="21"/>
        <v>0</v>
      </c>
      <c r="AX33" s="35">
        <f t="shared" si="4"/>
        <v>0</v>
      </c>
      <c r="AY33" s="62">
        <f t="shared" si="5"/>
        <v>0</v>
      </c>
      <c r="AZ33" s="61">
        <f t="shared" si="6"/>
        <v>0</v>
      </c>
      <c r="BA33" s="43">
        <f t="shared" si="7"/>
        <v>0</v>
      </c>
      <c r="BB33" s="35">
        <f t="shared" si="71"/>
        <v>0</v>
      </c>
      <c r="BC33" s="36">
        <f t="shared" si="23"/>
        <v>0</v>
      </c>
      <c r="BD33" s="35">
        <f t="shared" si="24"/>
        <v>0</v>
      </c>
      <c r="BE33" s="62">
        <f t="shared" si="25"/>
        <v>0</v>
      </c>
      <c r="BF33" s="61">
        <f t="shared" si="26"/>
        <v>0</v>
      </c>
      <c r="BG33" s="43">
        <f t="shared" si="8"/>
        <v>0</v>
      </c>
      <c r="BH33" s="35">
        <f t="shared" si="27"/>
        <v>0</v>
      </c>
      <c r="BI33" s="36">
        <f t="shared" si="28"/>
        <v>0</v>
      </c>
      <c r="BJ33" s="35">
        <f t="shared" si="29"/>
        <v>0</v>
      </c>
      <c r="BK33" s="62">
        <f t="shared" si="30"/>
        <v>0</v>
      </c>
      <c r="BL33" s="61">
        <f t="shared" si="31"/>
        <v>0</v>
      </c>
      <c r="BM33" s="43">
        <f t="shared" si="32"/>
        <v>0</v>
      </c>
      <c r="BN33" s="35">
        <f t="shared" si="33"/>
        <v>0</v>
      </c>
      <c r="BO33" s="36">
        <f t="shared" si="34"/>
        <v>0</v>
      </c>
      <c r="BP33" s="35">
        <f t="shared" si="35"/>
        <v>0</v>
      </c>
      <c r="BQ33" s="62">
        <f t="shared" si="36"/>
        <v>0</v>
      </c>
      <c r="BR33" s="61">
        <f t="shared" si="37"/>
        <v>0</v>
      </c>
      <c r="BS33" s="43">
        <f t="shared" si="38"/>
        <v>0</v>
      </c>
      <c r="BT33" s="35">
        <f t="shared" si="39"/>
        <v>0</v>
      </c>
      <c r="BU33" s="36">
        <f t="shared" si="40"/>
        <v>0</v>
      </c>
      <c r="BV33" s="35">
        <f t="shared" si="41"/>
        <v>0</v>
      </c>
      <c r="BW33" s="62">
        <f t="shared" si="42"/>
        <v>0</v>
      </c>
      <c r="BX33" s="61">
        <f t="shared" si="43"/>
        <v>0</v>
      </c>
      <c r="BY33" s="43">
        <f t="shared" si="44"/>
        <v>0</v>
      </c>
      <c r="BZ33" s="35">
        <f t="shared" si="45"/>
        <v>0</v>
      </c>
      <c r="CA33" s="36">
        <f t="shared" si="46"/>
        <v>0</v>
      </c>
      <c r="CB33" s="35">
        <f t="shared" si="47"/>
        <v>0</v>
      </c>
      <c r="CC33" s="62">
        <f t="shared" si="48"/>
        <v>0</v>
      </c>
      <c r="CD33" s="61">
        <f t="shared" si="49"/>
        <v>0</v>
      </c>
      <c r="CE33" s="43">
        <f t="shared" si="9"/>
        <v>0</v>
      </c>
      <c r="CF33" s="35">
        <f t="shared" si="50"/>
        <v>0</v>
      </c>
      <c r="CG33" s="36">
        <f t="shared" si="51"/>
        <v>0</v>
      </c>
      <c r="CH33" s="35">
        <f t="shared" si="52"/>
        <v>0</v>
      </c>
      <c r="CI33" s="62">
        <f t="shared" si="70"/>
        <v>0</v>
      </c>
      <c r="CJ33" s="61">
        <f t="shared" si="53"/>
        <v>0</v>
      </c>
      <c r="CK33" s="43">
        <f t="shared" si="54"/>
        <v>0</v>
      </c>
      <c r="CL33" s="35">
        <f t="shared" si="55"/>
        <v>0</v>
      </c>
      <c r="CM33" s="36">
        <f t="shared" si="56"/>
        <v>0</v>
      </c>
      <c r="CN33" s="35">
        <f t="shared" si="57"/>
        <v>0</v>
      </c>
      <c r="CO33" s="62">
        <f t="shared" si="58"/>
        <v>0</v>
      </c>
      <c r="CP33" s="61">
        <f t="shared" si="59"/>
        <v>0</v>
      </c>
      <c r="CQ33" s="43">
        <f t="shared" si="60"/>
        <v>0</v>
      </c>
      <c r="CR33" s="35">
        <f t="shared" si="61"/>
        <v>0</v>
      </c>
      <c r="CS33" s="43">
        <f t="shared" si="62"/>
        <v>0</v>
      </c>
      <c r="CT33" s="43">
        <f t="shared" si="10"/>
        <v>0</v>
      </c>
      <c r="CU33" s="62">
        <f t="shared" si="63"/>
        <v>0</v>
      </c>
      <c r="CV33" s="61">
        <f t="shared" si="64"/>
        <v>0</v>
      </c>
      <c r="CW33" s="43">
        <f t="shared" si="65"/>
        <v>0</v>
      </c>
      <c r="CX33" s="35">
        <f t="shared" si="66"/>
        <v>0</v>
      </c>
      <c r="CY33" s="36">
        <f t="shared" si="67"/>
        <v>0</v>
      </c>
      <c r="CZ33" s="35">
        <f t="shared" si="68"/>
        <v>0</v>
      </c>
      <c r="DA33" s="62">
        <f t="shared" si="69"/>
        <v>0</v>
      </c>
    </row>
    <row r="34" spans="2:105" x14ac:dyDescent="0.3">
      <c r="B34" s="1">
        <v>0.465615</v>
      </c>
      <c r="C34" s="1">
        <v>-87.02</v>
      </c>
      <c r="D34">
        <f t="shared" si="11"/>
        <v>397.92</v>
      </c>
      <c r="F34" s="1">
        <v>0.45868100000000001</v>
      </c>
      <c r="G34" s="1">
        <v>-15.15</v>
      </c>
      <c r="H34">
        <f t="shared" si="12"/>
        <v>467.67</v>
      </c>
      <c r="J34" s="1">
        <v>0.45605699999999999</v>
      </c>
      <c r="K34" s="1">
        <v>-15.74</v>
      </c>
      <c r="L34">
        <f t="shared" si="13"/>
        <v>480.34999999999997</v>
      </c>
      <c r="N34" s="1">
        <v>0.45386799999999999</v>
      </c>
      <c r="O34" s="1">
        <v>-16.29</v>
      </c>
      <c r="P34">
        <f t="shared" si="14"/>
        <v>479.79999999999995</v>
      </c>
      <c r="R34" s="1">
        <v>0.45658199999999999</v>
      </c>
      <c r="S34" s="1">
        <v>-13.06</v>
      </c>
      <c r="T34">
        <f t="shared" si="15"/>
        <v>505.43</v>
      </c>
      <c r="V34" s="1">
        <v>0.47111799999999998</v>
      </c>
      <c r="W34" s="8">
        <v>-13.18</v>
      </c>
      <c r="X34">
        <f t="shared" si="16"/>
        <v>508.68</v>
      </c>
      <c r="Y34" s="9"/>
      <c r="Z34" s="8">
        <v>0.48812899999999998</v>
      </c>
      <c r="AA34" s="8">
        <v>-16.02</v>
      </c>
      <c r="AB34">
        <f t="shared" si="17"/>
        <v>509.77</v>
      </c>
      <c r="AC34" s="9"/>
      <c r="AD34" s="8">
        <v>0.50435700000000006</v>
      </c>
      <c r="AE34" s="8">
        <v>-18.649999999999999</v>
      </c>
      <c r="AF34">
        <f t="shared" si="18"/>
        <v>510.86</v>
      </c>
      <c r="AH34" s="1">
        <v>0.52111600000000002</v>
      </c>
      <c r="AI34" s="8">
        <v>6.16</v>
      </c>
      <c r="AJ34">
        <f t="shared" si="19"/>
        <v>539.4</v>
      </c>
      <c r="AL34" s="1">
        <v>0.54493400000000003</v>
      </c>
      <c r="AM34" s="8">
        <v>13.33</v>
      </c>
      <c r="AN34">
        <f t="shared" si="20"/>
        <v>551.66000000000008</v>
      </c>
      <c r="AT34" s="61">
        <f t="shared" si="1"/>
        <v>0</v>
      </c>
      <c r="AU34" s="43">
        <f t="shared" si="2"/>
        <v>0</v>
      </c>
      <c r="AV34" s="35">
        <f t="shared" si="3"/>
        <v>0</v>
      </c>
      <c r="AW34" s="36">
        <f t="shared" si="21"/>
        <v>0</v>
      </c>
      <c r="AX34" s="35">
        <f t="shared" si="4"/>
        <v>0</v>
      </c>
      <c r="AY34" s="62">
        <f t="shared" si="5"/>
        <v>0</v>
      </c>
      <c r="AZ34" s="61">
        <f t="shared" si="6"/>
        <v>0</v>
      </c>
      <c r="BA34" s="43">
        <f t="shared" si="7"/>
        <v>0</v>
      </c>
      <c r="BB34" s="35">
        <f t="shared" si="71"/>
        <v>0</v>
      </c>
      <c r="BC34" s="36">
        <f t="shared" si="23"/>
        <v>0</v>
      </c>
      <c r="BD34" s="35">
        <f t="shared" si="24"/>
        <v>0</v>
      </c>
      <c r="BE34" s="62">
        <f t="shared" si="25"/>
        <v>0</v>
      </c>
      <c r="BF34" s="61">
        <f t="shared" si="26"/>
        <v>0</v>
      </c>
      <c r="BG34" s="43">
        <f t="shared" si="8"/>
        <v>0</v>
      </c>
      <c r="BH34" s="35">
        <f t="shared" si="27"/>
        <v>0</v>
      </c>
      <c r="BI34" s="36">
        <f t="shared" si="28"/>
        <v>0</v>
      </c>
      <c r="BJ34" s="35">
        <f t="shared" si="29"/>
        <v>0</v>
      </c>
      <c r="BK34" s="62">
        <f t="shared" si="30"/>
        <v>0</v>
      </c>
      <c r="BL34" s="61">
        <f t="shared" si="31"/>
        <v>0</v>
      </c>
      <c r="BM34" s="43">
        <f t="shared" si="32"/>
        <v>0</v>
      </c>
      <c r="BN34" s="35">
        <f t="shared" si="33"/>
        <v>0</v>
      </c>
      <c r="BO34" s="36">
        <f t="shared" si="34"/>
        <v>0</v>
      </c>
      <c r="BP34" s="35">
        <f t="shared" si="35"/>
        <v>0</v>
      </c>
      <c r="BQ34" s="62">
        <f t="shared" si="36"/>
        <v>0</v>
      </c>
      <c r="BR34" s="61">
        <f t="shared" si="37"/>
        <v>0</v>
      </c>
      <c r="BS34" s="43">
        <f t="shared" si="38"/>
        <v>0</v>
      </c>
      <c r="BT34" s="35">
        <f t="shared" si="39"/>
        <v>0</v>
      </c>
      <c r="BU34" s="36">
        <f t="shared" si="40"/>
        <v>0</v>
      </c>
      <c r="BV34" s="35">
        <f t="shared" si="41"/>
        <v>0</v>
      </c>
      <c r="BW34" s="62">
        <f t="shared" si="42"/>
        <v>0</v>
      </c>
      <c r="BX34" s="61">
        <f t="shared" si="43"/>
        <v>0</v>
      </c>
      <c r="BY34" s="43">
        <f t="shared" si="44"/>
        <v>0</v>
      </c>
      <c r="BZ34" s="35">
        <f t="shared" si="45"/>
        <v>0</v>
      </c>
      <c r="CA34" s="36">
        <f t="shared" si="46"/>
        <v>0</v>
      </c>
      <c r="CB34" s="35">
        <f t="shared" si="47"/>
        <v>0</v>
      </c>
      <c r="CC34" s="62">
        <f t="shared" si="48"/>
        <v>0</v>
      </c>
      <c r="CD34" s="61">
        <f t="shared" si="49"/>
        <v>0</v>
      </c>
      <c r="CE34" s="43">
        <f t="shared" si="9"/>
        <v>0</v>
      </c>
      <c r="CF34" s="35">
        <f t="shared" si="50"/>
        <v>0</v>
      </c>
      <c r="CG34" s="36">
        <f t="shared" si="51"/>
        <v>0</v>
      </c>
      <c r="CH34" s="35">
        <f t="shared" si="52"/>
        <v>0</v>
      </c>
      <c r="CI34" s="62">
        <f t="shared" si="70"/>
        <v>0</v>
      </c>
      <c r="CJ34" s="61">
        <f t="shared" si="53"/>
        <v>0</v>
      </c>
      <c r="CK34" s="43">
        <f t="shared" si="54"/>
        <v>0</v>
      </c>
      <c r="CL34" s="35">
        <f t="shared" si="55"/>
        <v>0</v>
      </c>
      <c r="CM34" s="36">
        <f t="shared" si="56"/>
        <v>0</v>
      </c>
      <c r="CN34" s="35">
        <f t="shared" si="57"/>
        <v>0</v>
      </c>
      <c r="CO34" s="62">
        <f t="shared" si="58"/>
        <v>0</v>
      </c>
      <c r="CP34" s="61">
        <f t="shared" si="59"/>
        <v>0</v>
      </c>
      <c r="CQ34" s="43">
        <f t="shared" si="60"/>
        <v>0</v>
      </c>
      <c r="CR34" s="35">
        <f t="shared" si="61"/>
        <v>0</v>
      </c>
      <c r="CS34" s="43">
        <f t="shared" si="62"/>
        <v>0</v>
      </c>
      <c r="CT34" s="43">
        <f t="shared" si="10"/>
        <v>0</v>
      </c>
      <c r="CU34" s="62">
        <f t="shared" si="63"/>
        <v>0</v>
      </c>
      <c r="CV34" s="61">
        <f t="shared" si="64"/>
        <v>0</v>
      </c>
      <c r="CW34" s="43">
        <f t="shared" si="65"/>
        <v>0</v>
      </c>
      <c r="CX34" s="35">
        <f t="shared" si="66"/>
        <v>0</v>
      </c>
      <c r="CY34" s="36">
        <f t="shared" si="67"/>
        <v>0</v>
      </c>
      <c r="CZ34" s="35">
        <f t="shared" si="68"/>
        <v>0</v>
      </c>
      <c r="DA34" s="62">
        <f t="shared" si="69"/>
        <v>0</v>
      </c>
    </row>
    <row r="35" spans="2:105" x14ac:dyDescent="0.3">
      <c r="B35" s="1">
        <v>0.47978700000000002</v>
      </c>
      <c r="C35" s="1">
        <v>-28.14</v>
      </c>
      <c r="D35">
        <f t="shared" si="11"/>
        <v>456.8</v>
      </c>
      <c r="F35" s="1">
        <v>0.47264200000000001</v>
      </c>
      <c r="G35" s="1">
        <v>-13.24</v>
      </c>
      <c r="H35">
        <f t="shared" si="12"/>
        <v>469.58</v>
      </c>
      <c r="J35" s="1">
        <v>0.46993800000000002</v>
      </c>
      <c r="K35" s="1">
        <v>-13.84</v>
      </c>
      <c r="L35">
        <f t="shared" si="13"/>
        <v>482.25</v>
      </c>
      <c r="N35" s="1">
        <v>0.46768300000000002</v>
      </c>
      <c r="O35" s="1">
        <v>-14.38</v>
      </c>
      <c r="P35">
        <f t="shared" si="14"/>
        <v>481.71</v>
      </c>
      <c r="R35" s="1">
        <v>0.47047899999999998</v>
      </c>
      <c r="S35" s="1">
        <v>-13.61</v>
      </c>
      <c r="T35">
        <f t="shared" si="15"/>
        <v>504.88</v>
      </c>
      <c r="V35" s="1">
        <v>0.485458</v>
      </c>
      <c r="W35" s="8">
        <v>-15.74</v>
      </c>
      <c r="X35">
        <f t="shared" si="16"/>
        <v>506.12</v>
      </c>
      <c r="Y35" s="9"/>
      <c r="Z35" s="8">
        <v>0.50298600000000004</v>
      </c>
      <c r="AA35" s="8">
        <v>-18.71</v>
      </c>
      <c r="AB35">
        <f t="shared" si="17"/>
        <v>507.08</v>
      </c>
      <c r="AC35" s="9"/>
      <c r="AD35" s="8">
        <v>0.51970799999999995</v>
      </c>
      <c r="AE35" s="8">
        <v>-21.63</v>
      </c>
      <c r="AF35">
        <f t="shared" si="18"/>
        <v>507.88</v>
      </c>
      <c r="AH35" s="1">
        <v>0.53697799999999996</v>
      </c>
      <c r="AI35" s="8">
        <v>8.14</v>
      </c>
      <c r="AJ35">
        <f t="shared" si="19"/>
        <v>541.38</v>
      </c>
      <c r="AL35" s="1">
        <v>0.56152000000000002</v>
      </c>
      <c r="AM35" s="8">
        <v>15.34</v>
      </c>
      <c r="AN35">
        <f t="shared" si="20"/>
        <v>553.67000000000007</v>
      </c>
      <c r="AT35" s="61">
        <f t="shared" si="1"/>
        <v>0</v>
      </c>
      <c r="AU35" s="43">
        <f t="shared" si="2"/>
        <v>0</v>
      </c>
      <c r="AV35" s="35">
        <f t="shared" si="3"/>
        <v>0</v>
      </c>
      <c r="AW35" s="36">
        <f t="shared" si="21"/>
        <v>0</v>
      </c>
      <c r="AX35" s="35">
        <f t="shared" si="4"/>
        <v>0</v>
      </c>
      <c r="AY35" s="62">
        <f t="shared" si="5"/>
        <v>0</v>
      </c>
      <c r="AZ35" s="61">
        <f t="shared" si="6"/>
        <v>0</v>
      </c>
      <c r="BA35" s="43">
        <f t="shared" si="7"/>
        <v>0</v>
      </c>
      <c r="BB35" s="35">
        <f t="shared" si="71"/>
        <v>0</v>
      </c>
      <c r="BC35" s="36">
        <f t="shared" si="23"/>
        <v>0</v>
      </c>
      <c r="BD35" s="35">
        <f t="shared" si="24"/>
        <v>0</v>
      </c>
      <c r="BE35" s="62">
        <f t="shared" si="25"/>
        <v>0</v>
      </c>
      <c r="BF35" s="61">
        <f t="shared" si="26"/>
        <v>0</v>
      </c>
      <c r="BG35" s="43">
        <f t="shared" si="8"/>
        <v>0</v>
      </c>
      <c r="BH35" s="35">
        <f t="shared" si="27"/>
        <v>0</v>
      </c>
      <c r="BI35" s="36">
        <f t="shared" si="28"/>
        <v>0</v>
      </c>
      <c r="BJ35" s="35">
        <f t="shared" si="29"/>
        <v>0</v>
      </c>
      <c r="BK35" s="62">
        <f t="shared" si="30"/>
        <v>0</v>
      </c>
      <c r="BL35" s="61">
        <f t="shared" si="31"/>
        <v>0</v>
      </c>
      <c r="BM35" s="43">
        <f t="shared" si="32"/>
        <v>0</v>
      </c>
      <c r="BN35" s="35">
        <f t="shared" si="33"/>
        <v>0</v>
      </c>
      <c r="BO35" s="36">
        <f t="shared" si="34"/>
        <v>0</v>
      </c>
      <c r="BP35" s="35">
        <f t="shared" si="35"/>
        <v>0</v>
      </c>
      <c r="BQ35" s="62">
        <f t="shared" si="36"/>
        <v>0</v>
      </c>
      <c r="BR35" s="61">
        <f t="shared" si="37"/>
        <v>0</v>
      </c>
      <c r="BS35" s="43">
        <f t="shared" si="38"/>
        <v>0</v>
      </c>
      <c r="BT35" s="35">
        <f t="shared" si="39"/>
        <v>0</v>
      </c>
      <c r="BU35" s="36">
        <f t="shared" si="40"/>
        <v>0</v>
      </c>
      <c r="BV35" s="35">
        <f t="shared" si="41"/>
        <v>0</v>
      </c>
      <c r="BW35" s="62">
        <f t="shared" si="42"/>
        <v>0</v>
      </c>
      <c r="BX35" s="61">
        <f t="shared" si="43"/>
        <v>0</v>
      </c>
      <c r="BY35" s="43">
        <f t="shared" si="44"/>
        <v>0</v>
      </c>
      <c r="BZ35" s="35">
        <f t="shared" si="45"/>
        <v>0</v>
      </c>
      <c r="CA35" s="36">
        <f t="shared" si="46"/>
        <v>0</v>
      </c>
      <c r="CB35" s="35">
        <f t="shared" si="47"/>
        <v>0</v>
      </c>
      <c r="CC35" s="62">
        <f t="shared" si="48"/>
        <v>0</v>
      </c>
      <c r="CD35" s="61">
        <f t="shared" si="49"/>
        <v>0</v>
      </c>
      <c r="CE35" s="43">
        <f t="shared" si="9"/>
        <v>0</v>
      </c>
      <c r="CF35" s="35">
        <f t="shared" si="50"/>
        <v>0</v>
      </c>
      <c r="CG35" s="36">
        <f t="shared" si="51"/>
        <v>0</v>
      </c>
      <c r="CH35" s="35">
        <f t="shared" si="52"/>
        <v>0</v>
      </c>
      <c r="CI35" s="62">
        <f t="shared" si="70"/>
        <v>0</v>
      </c>
      <c r="CJ35" s="61">
        <f t="shared" si="53"/>
        <v>0</v>
      </c>
      <c r="CK35" s="43">
        <f t="shared" si="54"/>
        <v>0</v>
      </c>
      <c r="CL35" s="35">
        <f t="shared" si="55"/>
        <v>0</v>
      </c>
      <c r="CM35" s="36">
        <f t="shared" si="56"/>
        <v>0</v>
      </c>
      <c r="CN35" s="35">
        <f t="shared" si="57"/>
        <v>0</v>
      </c>
      <c r="CO35" s="62">
        <f t="shared" si="58"/>
        <v>0</v>
      </c>
      <c r="CP35" s="61">
        <f t="shared" si="59"/>
        <v>0</v>
      </c>
      <c r="CQ35" s="43">
        <f t="shared" si="60"/>
        <v>0</v>
      </c>
      <c r="CR35" s="35">
        <f t="shared" si="61"/>
        <v>0</v>
      </c>
      <c r="CS35" s="43">
        <f t="shared" si="62"/>
        <v>0</v>
      </c>
      <c r="CT35" s="43">
        <f t="shared" si="10"/>
        <v>0</v>
      </c>
      <c r="CU35" s="62">
        <f t="shared" si="63"/>
        <v>0</v>
      </c>
      <c r="CV35" s="61">
        <f t="shared" si="64"/>
        <v>0</v>
      </c>
      <c r="CW35" s="43">
        <f t="shared" si="65"/>
        <v>0</v>
      </c>
      <c r="CX35" s="35">
        <f t="shared" si="66"/>
        <v>0</v>
      </c>
      <c r="CY35" s="36">
        <f t="shared" si="67"/>
        <v>0</v>
      </c>
      <c r="CZ35" s="35">
        <f t="shared" si="68"/>
        <v>0</v>
      </c>
      <c r="DA35" s="62">
        <f t="shared" si="69"/>
        <v>0</v>
      </c>
    </row>
    <row r="36" spans="2:105" x14ac:dyDescent="0.3">
      <c r="B36" s="1">
        <v>0.49398799999999998</v>
      </c>
      <c r="C36" s="1">
        <v>-26.21</v>
      </c>
      <c r="D36">
        <f t="shared" si="11"/>
        <v>458.73</v>
      </c>
      <c r="F36" s="1">
        <v>0.48663099999999998</v>
      </c>
      <c r="G36" s="1">
        <v>-11.37</v>
      </c>
      <c r="H36">
        <f t="shared" si="12"/>
        <v>471.45</v>
      </c>
      <c r="J36" s="1">
        <v>0.48384700000000003</v>
      </c>
      <c r="K36" s="1">
        <v>-11.96</v>
      </c>
      <c r="L36">
        <f t="shared" si="13"/>
        <v>484.13</v>
      </c>
      <c r="N36" s="1">
        <v>0.48152499999999998</v>
      </c>
      <c r="O36" s="1">
        <v>-12.47</v>
      </c>
      <c r="P36">
        <f t="shared" si="14"/>
        <v>483.61999999999995</v>
      </c>
      <c r="R36" s="1">
        <v>0.484404</v>
      </c>
      <c r="S36" s="1">
        <v>-16.04</v>
      </c>
      <c r="T36">
        <f t="shared" si="15"/>
        <v>502.45</v>
      </c>
      <c r="V36" s="1">
        <v>0.49982599999999999</v>
      </c>
      <c r="W36" s="8">
        <v>-18.399999999999999</v>
      </c>
      <c r="X36">
        <f t="shared" si="16"/>
        <v>503.46000000000004</v>
      </c>
      <c r="Y36" s="9"/>
      <c r="Z36" s="8">
        <v>0.51787399999999995</v>
      </c>
      <c r="AA36" s="8">
        <v>-21.45</v>
      </c>
      <c r="AB36">
        <f t="shared" si="17"/>
        <v>504.34</v>
      </c>
      <c r="AC36" s="9"/>
      <c r="AD36" s="8">
        <v>0.53509099999999998</v>
      </c>
      <c r="AE36" s="8">
        <v>1.57</v>
      </c>
      <c r="AF36">
        <f t="shared" si="18"/>
        <v>531.08000000000004</v>
      </c>
      <c r="AH36" s="1">
        <v>0.552871</v>
      </c>
      <c r="AI36" s="8">
        <v>10.220000000000001</v>
      </c>
      <c r="AJ36">
        <f t="shared" si="19"/>
        <v>543.46</v>
      </c>
      <c r="AL36" s="1">
        <v>0.57813999999999999</v>
      </c>
      <c r="AM36" s="8">
        <v>17.48</v>
      </c>
      <c r="AN36">
        <f t="shared" si="20"/>
        <v>555.81000000000006</v>
      </c>
      <c r="AT36" s="61">
        <f t="shared" si="1"/>
        <v>0</v>
      </c>
      <c r="AU36" s="43">
        <f t="shared" si="2"/>
        <v>0</v>
      </c>
      <c r="AV36" s="35">
        <f t="shared" si="3"/>
        <v>0</v>
      </c>
      <c r="AW36" s="36">
        <f t="shared" si="21"/>
        <v>0</v>
      </c>
      <c r="AX36" s="35">
        <f t="shared" si="4"/>
        <v>0</v>
      </c>
      <c r="AY36" s="62">
        <f t="shared" si="5"/>
        <v>0</v>
      </c>
      <c r="AZ36" s="61">
        <f t="shared" si="6"/>
        <v>0</v>
      </c>
      <c r="BA36" s="43">
        <f t="shared" si="7"/>
        <v>0</v>
      </c>
      <c r="BB36" s="35">
        <f t="shared" si="71"/>
        <v>0</v>
      </c>
      <c r="BC36" s="36">
        <f t="shared" si="23"/>
        <v>0</v>
      </c>
      <c r="BD36" s="35">
        <f t="shared" si="24"/>
        <v>0</v>
      </c>
      <c r="BE36" s="62">
        <f t="shared" si="25"/>
        <v>0</v>
      </c>
      <c r="BF36" s="61">
        <f t="shared" si="26"/>
        <v>0</v>
      </c>
      <c r="BG36" s="43">
        <f t="shared" si="8"/>
        <v>0</v>
      </c>
      <c r="BH36" s="35">
        <f t="shared" si="27"/>
        <v>0</v>
      </c>
      <c r="BI36" s="36">
        <f t="shared" si="28"/>
        <v>0</v>
      </c>
      <c r="BJ36" s="35">
        <f t="shared" si="29"/>
        <v>0</v>
      </c>
      <c r="BK36" s="62">
        <f t="shared" si="30"/>
        <v>0</v>
      </c>
      <c r="BL36" s="61">
        <f t="shared" si="31"/>
        <v>0</v>
      </c>
      <c r="BM36" s="43">
        <f t="shared" si="32"/>
        <v>0</v>
      </c>
      <c r="BN36" s="35">
        <f t="shared" si="33"/>
        <v>0</v>
      </c>
      <c r="BO36" s="36">
        <f t="shared" si="34"/>
        <v>0</v>
      </c>
      <c r="BP36" s="35">
        <f t="shared" si="35"/>
        <v>0</v>
      </c>
      <c r="BQ36" s="62">
        <f t="shared" si="36"/>
        <v>0</v>
      </c>
      <c r="BR36" s="61">
        <f t="shared" si="37"/>
        <v>0</v>
      </c>
      <c r="BS36" s="43">
        <f t="shared" si="38"/>
        <v>0</v>
      </c>
      <c r="BT36" s="35">
        <f t="shared" si="39"/>
        <v>0</v>
      </c>
      <c r="BU36" s="36">
        <f t="shared" si="40"/>
        <v>0</v>
      </c>
      <c r="BV36" s="35">
        <f t="shared" si="41"/>
        <v>0</v>
      </c>
      <c r="BW36" s="62">
        <f t="shared" si="42"/>
        <v>0</v>
      </c>
      <c r="BX36" s="61">
        <f t="shared" si="43"/>
        <v>0</v>
      </c>
      <c r="BY36" s="43">
        <f t="shared" si="44"/>
        <v>0</v>
      </c>
      <c r="BZ36" s="35">
        <f t="shared" si="45"/>
        <v>0</v>
      </c>
      <c r="CA36" s="36">
        <f t="shared" si="46"/>
        <v>0</v>
      </c>
      <c r="CB36" s="35">
        <f t="shared" si="47"/>
        <v>0</v>
      </c>
      <c r="CC36" s="62">
        <f t="shared" si="48"/>
        <v>0</v>
      </c>
      <c r="CD36" s="61">
        <f t="shared" si="49"/>
        <v>0</v>
      </c>
      <c r="CE36" s="43">
        <f t="shared" si="9"/>
        <v>0</v>
      </c>
      <c r="CF36" s="35">
        <f t="shared" si="50"/>
        <v>0</v>
      </c>
      <c r="CG36" s="36">
        <f t="shared" si="51"/>
        <v>0</v>
      </c>
      <c r="CH36" s="35">
        <f t="shared" si="52"/>
        <v>0</v>
      </c>
      <c r="CI36" s="62">
        <f t="shared" si="70"/>
        <v>0</v>
      </c>
      <c r="CJ36" s="61">
        <f t="shared" si="53"/>
        <v>0</v>
      </c>
      <c r="CK36" s="43">
        <f t="shared" si="54"/>
        <v>0</v>
      </c>
      <c r="CL36" s="35">
        <f t="shared" si="55"/>
        <v>0</v>
      </c>
      <c r="CM36" s="36">
        <f t="shared" si="56"/>
        <v>0</v>
      </c>
      <c r="CN36" s="35">
        <f t="shared" si="57"/>
        <v>0</v>
      </c>
      <c r="CO36" s="62">
        <f t="shared" si="58"/>
        <v>0</v>
      </c>
      <c r="CP36" s="61">
        <f t="shared" si="59"/>
        <v>0</v>
      </c>
      <c r="CQ36" s="43">
        <f t="shared" si="60"/>
        <v>0</v>
      </c>
      <c r="CR36" s="35">
        <f t="shared" si="61"/>
        <v>0</v>
      </c>
      <c r="CS36" s="43">
        <f t="shared" si="62"/>
        <v>0</v>
      </c>
      <c r="CT36" s="43">
        <f t="shared" si="10"/>
        <v>0</v>
      </c>
      <c r="CU36" s="62">
        <f t="shared" si="63"/>
        <v>0</v>
      </c>
      <c r="CV36" s="61">
        <f t="shared" si="64"/>
        <v>0</v>
      </c>
      <c r="CW36" s="43">
        <f t="shared" si="65"/>
        <v>0</v>
      </c>
      <c r="CX36" s="35">
        <f t="shared" si="66"/>
        <v>0</v>
      </c>
      <c r="CY36" s="36">
        <f t="shared" si="67"/>
        <v>0</v>
      </c>
      <c r="CZ36" s="35">
        <f t="shared" si="68"/>
        <v>0</v>
      </c>
      <c r="DA36" s="62">
        <f t="shared" si="69"/>
        <v>0</v>
      </c>
    </row>
    <row r="37" spans="2:105" x14ac:dyDescent="0.3">
      <c r="B37" s="1">
        <v>0.50815999999999995</v>
      </c>
      <c r="C37" s="1">
        <v>-24.18</v>
      </c>
      <c r="D37">
        <f t="shared" si="11"/>
        <v>460.76</v>
      </c>
      <c r="F37" s="1">
        <v>0.50059200000000004</v>
      </c>
      <c r="G37" s="1">
        <v>-9.35</v>
      </c>
      <c r="H37">
        <f t="shared" si="12"/>
        <v>473.46999999999997</v>
      </c>
      <c r="J37" s="1">
        <v>0.49772899999999998</v>
      </c>
      <c r="K37" s="1">
        <v>-9.9700000000000006</v>
      </c>
      <c r="L37">
        <f t="shared" si="13"/>
        <v>486.11999999999995</v>
      </c>
      <c r="N37" s="1">
        <v>0.49533899999999997</v>
      </c>
      <c r="O37" s="1">
        <v>-10.53</v>
      </c>
      <c r="P37">
        <f t="shared" si="14"/>
        <v>485.56</v>
      </c>
      <c r="R37" s="1">
        <v>0.49830099999999999</v>
      </c>
      <c r="S37" s="1">
        <v>-18.47</v>
      </c>
      <c r="T37">
        <f t="shared" si="15"/>
        <v>500.02</v>
      </c>
      <c r="V37" s="1">
        <v>0.51416600000000001</v>
      </c>
      <c r="W37" s="8">
        <v>-20.95</v>
      </c>
      <c r="X37">
        <f t="shared" si="16"/>
        <v>500.91</v>
      </c>
      <c r="Y37" s="9"/>
      <c r="Z37" s="8">
        <v>0.53273099999999995</v>
      </c>
      <c r="AA37" s="8">
        <v>-24.18</v>
      </c>
      <c r="AB37">
        <f t="shared" si="17"/>
        <v>501.60999999999996</v>
      </c>
      <c r="AC37" s="9"/>
      <c r="AD37" s="8">
        <v>0.55044199999999999</v>
      </c>
      <c r="AE37" s="8">
        <v>3.69</v>
      </c>
      <c r="AF37">
        <f t="shared" si="18"/>
        <v>533.20000000000005</v>
      </c>
      <c r="AH37" s="1">
        <v>0.56873200000000002</v>
      </c>
      <c r="AI37" s="8">
        <v>12.37</v>
      </c>
      <c r="AJ37">
        <f t="shared" si="19"/>
        <v>545.61</v>
      </c>
      <c r="AL37" s="1">
        <v>0.59472599999999998</v>
      </c>
      <c r="AM37" s="8">
        <v>16.16</v>
      </c>
      <c r="AN37">
        <f t="shared" si="20"/>
        <v>554.49</v>
      </c>
      <c r="AT37" s="61">
        <f t="shared" si="1"/>
        <v>0</v>
      </c>
      <c r="AU37" s="43">
        <f t="shared" si="2"/>
        <v>0</v>
      </c>
      <c r="AV37" s="35">
        <f t="shared" si="3"/>
        <v>0</v>
      </c>
      <c r="AW37" s="36">
        <f t="shared" si="21"/>
        <v>0</v>
      </c>
      <c r="AX37" s="35">
        <f t="shared" si="4"/>
        <v>0</v>
      </c>
      <c r="AY37" s="62">
        <f t="shared" si="5"/>
        <v>0</v>
      </c>
      <c r="AZ37" s="61">
        <f t="shared" si="6"/>
        <v>0</v>
      </c>
      <c r="BA37" s="43">
        <f t="shared" si="7"/>
        <v>0</v>
      </c>
      <c r="BB37" s="35">
        <f t="shared" si="71"/>
        <v>0</v>
      </c>
      <c r="BC37" s="36">
        <f t="shared" si="23"/>
        <v>0</v>
      </c>
      <c r="BD37" s="35">
        <f t="shared" si="24"/>
        <v>0</v>
      </c>
      <c r="BE37" s="62">
        <f t="shared" si="25"/>
        <v>0</v>
      </c>
      <c r="BF37" s="61">
        <f t="shared" si="26"/>
        <v>0</v>
      </c>
      <c r="BG37" s="43">
        <f t="shared" si="8"/>
        <v>0</v>
      </c>
      <c r="BH37" s="35">
        <f t="shared" si="27"/>
        <v>0</v>
      </c>
      <c r="BI37" s="36">
        <f t="shared" si="28"/>
        <v>0</v>
      </c>
      <c r="BJ37" s="35">
        <f t="shared" si="29"/>
        <v>0</v>
      </c>
      <c r="BK37" s="62">
        <f t="shared" si="30"/>
        <v>0</v>
      </c>
      <c r="BL37" s="61">
        <f t="shared" si="31"/>
        <v>0</v>
      </c>
      <c r="BM37" s="43">
        <f t="shared" si="32"/>
        <v>0</v>
      </c>
      <c r="BN37" s="35">
        <f t="shared" si="33"/>
        <v>0</v>
      </c>
      <c r="BO37" s="36">
        <f t="shared" si="34"/>
        <v>0</v>
      </c>
      <c r="BP37" s="35">
        <f t="shared" si="35"/>
        <v>0</v>
      </c>
      <c r="BQ37" s="62">
        <f t="shared" si="36"/>
        <v>0</v>
      </c>
      <c r="BR37" s="61">
        <f t="shared" si="37"/>
        <v>0</v>
      </c>
      <c r="BS37" s="43">
        <f t="shared" si="38"/>
        <v>0</v>
      </c>
      <c r="BT37" s="35">
        <f t="shared" si="39"/>
        <v>0</v>
      </c>
      <c r="BU37" s="36">
        <f t="shared" si="40"/>
        <v>0</v>
      </c>
      <c r="BV37" s="35">
        <f t="shared" si="41"/>
        <v>0</v>
      </c>
      <c r="BW37" s="62">
        <f t="shared" si="42"/>
        <v>0</v>
      </c>
      <c r="BX37" s="61">
        <f t="shared" si="43"/>
        <v>0</v>
      </c>
      <c r="BY37" s="43">
        <f t="shared" si="44"/>
        <v>0</v>
      </c>
      <c r="BZ37" s="35">
        <f t="shared" si="45"/>
        <v>0</v>
      </c>
      <c r="CA37" s="36">
        <f t="shared" si="46"/>
        <v>0</v>
      </c>
      <c r="CB37" s="35">
        <f t="shared" si="47"/>
        <v>0</v>
      </c>
      <c r="CC37" s="62">
        <f t="shared" si="48"/>
        <v>0</v>
      </c>
      <c r="CD37" s="61">
        <f t="shared" si="49"/>
        <v>0</v>
      </c>
      <c r="CE37" s="43">
        <f t="shared" si="9"/>
        <v>0</v>
      </c>
      <c r="CF37" s="35">
        <f t="shared" si="50"/>
        <v>0</v>
      </c>
      <c r="CG37" s="36">
        <f t="shared" si="51"/>
        <v>0</v>
      </c>
      <c r="CH37" s="35">
        <f t="shared" si="52"/>
        <v>0</v>
      </c>
      <c r="CI37" s="62">
        <f t="shared" si="70"/>
        <v>0</v>
      </c>
      <c r="CJ37" s="61">
        <f t="shared" si="53"/>
        <v>0</v>
      </c>
      <c r="CK37" s="43">
        <f t="shared" si="54"/>
        <v>0</v>
      </c>
      <c r="CL37" s="35">
        <f t="shared" si="55"/>
        <v>0</v>
      </c>
      <c r="CM37" s="36">
        <f t="shared" si="56"/>
        <v>0</v>
      </c>
      <c r="CN37" s="35">
        <f t="shared" si="57"/>
        <v>0</v>
      </c>
      <c r="CO37" s="62">
        <f t="shared" si="58"/>
        <v>0</v>
      </c>
      <c r="CP37" s="61">
        <f t="shared" si="59"/>
        <v>0</v>
      </c>
      <c r="CQ37" s="43">
        <f t="shared" si="60"/>
        <v>0</v>
      </c>
      <c r="CR37" s="35">
        <f t="shared" si="61"/>
        <v>0</v>
      </c>
      <c r="CS37" s="43">
        <f t="shared" si="62"/>
        <v>0</v>
      </c>
      <c r="CT37" s="43">
        <f t="shared" si="10"/>
        <v>0</v>
      </c>
      <c r="CU37" s="62">
        <f t="shared" si="63"/>
        <v>0</v>
      </c>
      <c r="CV37" s="61">
        <f t="shared" si="64"/>
        <v>0</v>
      </c>
      <c r="CW37" s="43">
        <f t="shared" si="65"/>
        <v>0</v>
      </c>
      <c r="CX37" s="35">
        <f t="shared" si="66"/>
        <v>0</v>
      </c>
      <c r="CY37" s="36">
        <f t="shared" si="67"/>
        <v>0</v>
      </c>
      <c r="CZ37" s="35">
        <f t="shared" si="68"/>
        <v>0</v>
      </c>
      <c r="DA37" s="62">
        <f t="shared" si="69"/>
        <v>0</v>
      </c>
    </row>
    <row r="38" spans="2:105" x14ac:dyDescent="0.3">
      <c r="B38" s="1">
        <v>0.52233200000000002</v>
      </c>
      <c r="C38" s="1">
        <v>-22.2</v>
      </c>
      <c r="D38">
        <f t="shared" si="11"/>
        <v>462.74</v>
      </c>
      <c r="F38" s="1">
        <v>0.51455300000000004</v>
      </c>
      <c r="G38" s="1">
        <v>-7.33</v>
      </c>
      <c r="H38">
        <f t="shared" si="12"/>
        <v>475.49</v>
      </c>
      <c r="J38" s="1">
        <v>0.51161000000000001</v>
      </c>
      <c r="K38" s="1">
        <v>-7.9</v>
      </c>
      <c r="L38">
        <f t="shared" si="13"/>
        <v>488.19</v>
      </c>
      <c r="N38" s="1">
        <v>0.509154</v>
      </c>
      <c r="O38" s="1">
        <v>-12.6</v>
      </c>
      <c r="P38">
        <f t="shared" si="14"/>
        <v>483.48999999999995</v>
      </c>
      <c r="R38" s="1">
        <v>0.51219899999999996</v>
      </c>
      <c r="S38" s="1">
        <v>-20.94</v>
      </c>
      <c r="T38">
        <f t="shared" si="15"/>
        <v>497.55</v>
      </c>
      <c r="V38" s="1">
        <v>0.528505</v>
      </c>
      <c r="W38" s="8">
        <v>-23.51</v>
      </c>
      <c r="X38">
        <f t="shared" si="16"/>
        <v>498.35</v>
      </c>
      <c r="Y38" s="9"/>
      <c r="Z38" s="8">
        <v>0.54758799999999996</v>
      </c>
      <c r="AA38" s="8">
        <v>-2.81</v>
      </c>
      <c r="AB38">
        <f t="shared" si="17"/>
        <v>522.98</v>
      </c>
      <c r="AC38" s="9"/>
      <c r="AD38" s="8">
        <v>0.56579299999999999</v>
      </c>
      <c r="AE38" s="8">
        <v>5.92</v>
      </c>
      <c r="AF38">
        <f t="shared" si="18"/>
        <v>535.42999999999995</v>
      </c>
      <c r="AH38" s="1">
        <v>0.58459399999999995</v>
      </c>
      <c r="AI38" s="8">
        <v>14.65</v>
      </c>
      <c r="AJ38">
        <f t="shared" si="19"/>
        <v>547.89</v>
      </c>
      <c r="AL38" s="1">
        <v>0.61131199999999997</v>
      </c>
      <c r="AM38" s="8">
        <v>13.77</v>
      </c>
      <c r="AN38">
        <f t="shared" si="20"/>
        <v>552.1</v>
      </c>
      <c r="AT38" s="61">
        <f t="shared" si="1"/>
        <v>0</v>
      </c>
      <c r="AU38" s="43">
        <f t="shared" si="2"/>
        <v>0</v>
      </c>
      <c r="AV38" s="35">
        <f t="shared" si="3"/>
        <v>0</v>
      </c>
      <c r="AW38" s="36">
        <f t="shared" si="21"/>
        <v>0</v>
      </c>
      <c r="AX38" s="35">
        <f t="shared" si="4"/>
        <v>0</v>
      </c>
      <c r="AY38" s="62">
        <f t="shared" si="5"/>
        <v>0</v>
      </c>
      <c r="AZ38" s="61">
        <f t="shared" si="6"/>
        <v>0</v>
      </c>
      <c r="BA38" s="43">
        <f t="shared" si="7"/>
        <v>0</v>
      </c>
      <c r="BB38" s="35">
        <f t="shared" si="71"/>
        <v>0</v>
      </c>
      <c r="BC38" s="36">
        <f t="shared" si="23"/>
        <v>0</v>
      </c>
      <c r="BD38" s="35">
        <f t="shared" si="24"/>
        <v>0</v>
      </c>
      <c r="BE38" s="62">
        <f t="shared" si="25"/>
        <v>0</v>
      </c>
      <c r="BF38" s="61">
        <f t="shared" si="26"/>
        <v>0</v>
      </c>
      <c r="BG38" s="43">
        <f t="shared" si="8"/>
        <v>0</v>
      </c>
      <c r="BH38" s="35">
        <f t="shared" si="27"/>
        <v>0</v>
      </c>
      <c r="BI38" s="36">
        <f t="shared" si="28"/>
        <v>0</v>
      </c>
      <c r="BJ38" s="35">
        <f t="shared" si="29"/>
        <v>0</v>
      </c>
      <c r="BK38" s="62">
        <f t="shared" si="30"/>
        <v>0</v>
      </c>
      <c r="BL38" s="61">
        <f t="shared" si="31"/>
        <v>0</v>
      </c>
      <c r="BM38" s="43">
        <f t="shared" si="32"/>
        <v>0</v>
      </c>
      <c r="BN38" s="35">
        <f t="shared" si="33"/>
        <v>0</v>
      </c>
      <c r="BO38" s="36">
        <f t="shared" si="34"/>
        <v>0</v>
      </c>
      <c r="BP38" s="35">
        <f t="shared" si="35"/>
        <v>0</v>
      </c>
      <c r="BQ38" s="62">
        <f t="shared" si="36"/>
        <v>0</v>
      </c>
      <c r="BR38" s="61">
        <f t="shared" si="37"/>
        <v>0</v>
      </c>
      <c r="BS38" s="43">
        <f t="shared" si="38"/>
        <v>0</v>
      </c>
      <c r="BT38" s="35">
        <f t="shared" si="39"/>
        <v>0</v>
      </c>
      <c r="BU38" s="36">
        <f t="shared" si="40"/>
        <v>0</v>
      </c>
      <c r="BV38" s="35">
        <f t="shared" si="41"/>
        <v>0</v>
      </c>
      <c r="BW38" s="62">
        <f t="shared" si="42"/>
        <v>0</v>
      </c>
      <c r="BX38" s="61">
        <f t="shared" si="43"/>
        <v>0</v>
      </c>
      <c r="BY38" s="43">
        <f t="shared" si="44"/>
        <v>0</v>
      </c>
      <c r="BZ38" s="35">
        <f t="shared" si="45"/>
        <v>0</v>
      </c>
      <c r="CA38" s="36">
        <f t="shared" si="46"/>
        <v>0</v>
      </c>
      <c r="CB38" s="35">
        <f t="shared" si="47"/>
        <v>0</v>
      </c>
      <c r="CC38" s="62">
        <f t="shared" si="48"/>
        <v>0</v>
      </c>
      <c r="CD38" s="61">
        <f t="shared" si="49"/>
        <v>0</v>
      </c>
      <c r="CE38" s="43">
        <f t="shared" si="9"/>
        <v>0</v>
      </c>
      <c r="CF38" s="35">
        <f t="shared" si="50"/>
        <v>0</v>
      </c>
      <c r="CG38" s="36">
        <f t="shared" si="51"/>
        <v>0</v>
      </c>
      <c r="CH38" s="35">
        <f t="shared" si="52"/>
        <v>0</v>
      </c>
      <c r="CI38" s="62">
        <f t="shared" si="70"/>
        <v>0</v>
      </c>
      <c r="CJ38" s="61">
        <f t="shared" si="53"/>
        <v>0</v>
      </c>
      <c r="CK38" s="43">
        <f t="shared" si="54"/>
        <v>0</v>
      </c>
      <c r="CL38" s="35">
        <f t="shared" si="55"/>
        <v>0</v>
      </c>
      <c r="CM38" s="36">
        <f t="shared" si="56"/>
        <v>0</v>
      </c>
      <c r="CN38" s="35">
        <f t="shared" si="57"/>
        <v>0</v>
      </c>
      <c r="CO38" s="62">
        <f t="shared" si="58"/>
        <v>0</v>
      </c>
      <c r="CP38" s="61">
        <f t="shared" si="59"/>
        <v>0</v>
      </c>
      <c r="CQ38" s="43">
        <f t="shared" si="60"/>
        <v>0</v>
      </c>
      <c r="CR38" s="35">
        <f t="shared" si="61"/>
        <v>0</v>
      </c>
      <c r="CS38" s="43">
        <f t="shared" si="62"/>
        <v>0</v>
      </c>
      <c r="CT38" s="43">
        <f t="shared" si="10"/>
        <v>0</v>
      </c>
      <c r="CU38" s="62">
        <f t="shared" si="63"/>
        <v>0</v>
      </c>
      <c r="CV38" s="61">
        <f t="shared" si="64"/>
        <v>0</v>
      </c>
      <c r="CW38" s="43">
        <f t="shared" si="65"/>
        <v>0</v>
      </c>
      <c r="CX38" s="35">
        <f t="shared" si="66"/>
        <v>0</v>
      </c>
      <c r="CY38" s="36">
        <f t="shared" si="67"/>
        <v>0</v>
      </c>
      <c r="CZ38" s="35">
        <f t="shared" si="68"/>
        <v>0</v>
      </c>
      <c r="DA38" s="62">
        <f t="shared" si="69"/>
        <v>0</v>
      </c>
    </row>
    <row r="39" spans="2:105" x14ac:dyDescent="0.3">
      <c r="B39" s="1">
        <v>0.53650399999999998</v>
      </c>
      <c r="C39" s="1">
        <v>-20.2</v>
      </c>
      <c r="D39">
        <f t="shared" si="11"/>
        <v>464.74</v>
      </c>
      <c r="F39" s="1">
        <v>0.52851400000000004</v>
      </c>
      <c r="G39" s="1">
        <v>-5.3</v>
      </c>
      <c r="H39">
        <f t="shared" si="12"/>
        <v>477.52</v>
      </c>
      <c r="J39" s="1">
        <v>0.52549100000000004</v>
      </c>
      <c r="K39" s="1">
        <v>-5.84</v>
      </c>
      <c r="L39">
        <f t="shared" si="13"/>
        <v>490.25</v>
      </c>
      <c r="N39" s="1">
        <v>0.52296799999999999</v>
      </c>
      <c r="O39" s="1">
        <v>-14.84</v>
      </c>
      <c r="P39">
        <f t="shared" si="14"/>
        <v>481.25</v>
      </c>
      <c r="R39" s="1">
        <v>0.52609600000000001</v>
      </c>
      <c r="S39" s="1">
        <v>-23.32</v>
      </c>
      <c r="T39">
        <f t="shared" si="15"/>
        <v>495.17</v>
      </c>
      <c r="V39" s="1">
        <v>0.54284500000000002</v>
      </c>
      <c r="W39" s="8">
        <v>-26.07</v>
      </c>
      <c r="X39">
        <f t="shared" si="16"/>
        <v>495.79</v>
      </c>
      <c r="Y39" s="9"/>
      <c r="Z39" s="8">
        <v>0.562446</v>
      </c>
      <c r="AA39" s="8">
        <v>-0.65</v>
      </c>
      <c r="AB39">
        <f t="shared" si="17"/>
        <v>525.14</v>
      </c>
      <c r="AC39" s="9"/>
      <c r="AD39" s="8">
        <v>0.58114399999999999</v>
      </c>
      <c r="AE39" s="8">
        <v>8.15</v>
      </c>
      <c r="AF39">
        <f t="shared" si="18"/>
        <v>537.66</v>
      </c>
      <c r="AH39" s="1">
        <v>0.60045499999999996</v>
      </c>
      <c r="AI39" s="8">
        <v>14.94</v>
      </c>
      <c r="AJ39">
        <f t="shared" si="19"/>
        <v>548.18000000000006</v>
      </c>
      <c r="AL39" s="1">
        <v>0.62789799999999996</v>
      </c>
      <c r="AM39" s="8">
        <v>11.36</v>
      </c>
      <c r="AN39">
        <f t="shared" si="20"/>
        <v>549.69000000000005</v>
      </c>
      <c r="AT39" s="61">
        <f t="shared" ref="AT39:AT74" si="72">IF($AQ$4&gt;B39,0,1)</f>
        <v>0</v>
      </c>
      <c r="AU39" s="43">
        <f t="shared" si="2"/>
        <v>0</v>
      </c>
      <c r="AV39" s="35">
        <f t="shared" ref="AV39:AV74" si="73">IF($AT39=0,IF($AU39="min",B39,0),0)</f>
        <v>0</v>
      </c>
      <c r="AW39" s="36">
        <f t="shared" si="21"/>
        <v>0</v>
      </c>
      <c r="AX39" s="35">
        <f t="shared" ref="AX39:AX74" si="74">IF(AV38=0,0,B39)</f>
        <v>0</v>
      </c>
      <c r="AY39" s="62">
        <f t="shared" ref="AY39:AY70" si="75">IF(AX39=0,0,C39)</f>
        <v>0</v>
      </c>
      <c r="AZ39" s="61">
        <f t="shared" ref="AZ39:AZ74" si="76">IF($AQ$4&gt;F39,0,1)</f>
        <v>0</v>
      </c>
      <c r="BA39" s="43">
        <f t="shared" si="7"/>
        <v>0</v>
      </c>
      <c r="BB39" s="35">
        <f t="shared" si="71"/>
        <v>0</v>
      </c>
      <c r="BC39" s="36">
        <f t="shared" si="23"/>
        <v>0</v>
      </c>
      <c r="BD39" s="35">
        <f t="shared" si="24"/>
        <v>0</v>
      </c>
      <c r="BE39" s="62">
        <f t="shared" si="25"/>
        <v>0</v>
      </c>
      <c r="BF39" s="61">
        <f t="shared" si="26"/>
        <v>0</v>
      </c>
      <c r="BG39" s="43">
        <f t="shared" si="8"/>
        <v>0</v>
      </c>
      <c r="BH39" s="35">
        <f t="shared" si="27"/>
        <v>0</v>
      </c>
      <c r="BI39" s="36">
        <f t="shared" si="28"/>
        <v>0</v>
      </c>
      <c r="BJ39" s="35">
        <f t="shared" si="29"/>
        <v>0</v>
      </c>
      <c r="BK39" s="62">
        <f t="shared" si="30"/>
        <v>0</v>
      </c>
      <c r="BL39" s="61">
        <f t="shared" si="31"/>
        <v>0</v>
      </c>
      <c r="BM39" s="43">
        <f t="shared" si="32"/>
        <v>0</v>
      </c>
      <c r="BN39" s="35">
        <f t="shared" si="33"/>
        <v>0</v>
      </c>
      <c r="BO39" s="36">
        <f t="shared" si="34"/>
        <v>0</v>
      </c>
      <c r="BP39" s="35">
        <f t="shared" si="35"/>
        <v>0</v>
      </c>
      <c r="BQ39" s="62">
        <f t="shared" si="36"/>
        <v>0</v>
      </c>
      <c r="BR39" s="61">
        <f t="shared" si="37"/>
        <v>0</v>
      </c>
      <c r="BS39" s="43">
        <f t="shared" si="38"/>
        <v>0</v>
      </c>
      <c r="BT39" s="35">
        <f t="shared" si="39"/>
        <v>0</v>
      </c>
      <c r="BU39" s="36">
        <f t="shared" si="40"/>
        <v>0</v>
      </c>
      <c r="BV39" s="35">
        <f t="shared" si="41"/>
        <v>0</v>
      </c>
      <c r="BW39" s="62">
        <f t="shared" si="42"/>
        <v>0</v>
      </c>
      <c r="BX39" s="61">
        <f t="shared" si="43"/>
        <v>0</v>
      </c>
      <c r="BY39" s="43">
        <f t="shared" si="44"/>
        <v>0</v>
      </c>
      <c r="BZ39" s="35">
        <f t="shared" si="45"/>
        <v>0</v>
      </c>
      <c r="CA39" s="36">
        <f t="shared" si="46"/>
        <v>0</v>
      </c>
      <c r="CB39" s="35">
        <f t="shared" si="47"/>
        <v>0</v>
      </c>
      <c r="CC39" s="62">
        <f t="shared" si="48"/>
        <v>0</v>
      </c>
      <c r="CD39" s="61">
        <f t="shared" si="49"/>
        <v>0</v>
      </c>
      <c r="CE39" s="43">
        <f t="shared" si="9"/>
        <v>0</v>
      </c>
      <c r="CF39" s="35">
        <f t="shared" si="50"/>
        <v>0</v>
      </c>
      <c r="CG39" s="36">
        <f t="shared" si="51"/>
        <v>0</v>
      </c>
      <c r="CH39" s="35">
        <f t="shared" si="52"/>
        <v>0</v>
      </c>
      <c r="CI39" s="62">
        <f t="shared" si="70"/>
        <v>0</v>
      </c>
      <c r="CJ39" s="61">
        <f t="shared" si="53"/>
        <v>0</v>
      </c>
      <c r="CK39" s="43">
        <f t="shared" si="54"/>
        <v>0</v>
      </c>
      <c r="CL39" s="35">
        <f t="shared" si="55"/>
        <v>0</v>
      </c>
      <c r="CM39" s="36">
        <f t="shared" si="56"/>
        <v>0</v>
      </c>
      <c r="CN39" s="35">
        <f t="shared" si="57"/>
        <v>0</v>
      </c>
      <c r="CO39" s="62">
        <f t="shared" si="58"/>
        <v>0</v>
      </c>
      <c r="CP39" s="61">
        <f t="shared" si="59"/>
        <v>0</v>
      </c>
      <c r="CQ39" s="43">
        <f t="shared" si="60"/>
        <v>0</v>
      </c>
      <c r="CR39" s="35">
        <f t="shared" si="61"/>
        <v>0</v>
      </c>
      <c r="CS39" s="43">
        <f t="shared" si="62"/>
        <v>0</v>
      </c>
      <c r="CT39" s="43">
        <f t="shared" si="10"/>
        <v>0</v>
      </c>
      <c r="CU39" s="62">
        <f t="shared" si="63"/>
        <v>0</v>
      </c>
      <c r="CV39" s="61">
        <f t="shared" si="64"/>
        <v>0</v>
      </c>
      <c r="CW39" s="43">
        <f t="shared" si="65"/>
        <v>0</v>
      </c>
      <c r="CX39" s="35">
        <f t="shared" si="66"/>
        <v>0</v>
      </c>
      <c r="CY39" s="36">
        <f t="shared" si="67"/>
        <v>0</v>
      </c>
      <c r="CZ39" s="35">
        <f t="shared" si="68"/>
        <v>0</v>
      </c>
      <c r="DA39" s="62">
        <f t="shared" si="69"/>
        <v>0</v>
      </c>
    </row>
    <row r="40" spans="2:105" x14ac:dyDescent="0.3">
      <c r="B40" s="1">
        <v>0.55067600000000005</v>
      </c>
      <c r="C40" s="1">
        <v>-18.23</v>
      </c>
      <c r="D40">
        <f t="shared" si="11"/>
        <v>466.71</v>
      </c>
      <c r="F40" s="1">
        <v>0.54247500000000004</v>
      </c>
      <c r="G40" s="1">
        <v>-3.3</v>
      </c>
      <c r="H40">
        <f t="shared" si="12"/>
        <v>479.52</v>
      </c>
      <c r="J40" s="1">
        <v>0.53937199999999996</v>
      </c>
      <c r="K40" s="1">
        <v>-4.9000000000000004</v>
      </c>
      <c r="L40">
        <f t="shared" si="13"/>
        <v>491.19</v>
      </c>
      <c r="N40" s="1">
        <v>0.53678300000000001</v>
      </c>
      <c r="O40" s="1">
        <v>-17.11</v>
      </c>
      <c r="P40">
        <f t="shared" si="14"/>
        <v>478.97999999999996</v>
      </c>
      <c r="R40" s="1">
        <v>0.53999299999999995</v>
      </c>
      <c r="S40" s="1">
        <v>-25.7</v>
      </c>
      <c r="T40">
        <f t="shared" si="15"/>
        <v>492.79</v>
      </c>
      <c r="V40" s="1">
        <v>0.55718400000000001</v>
      </c>
      <c r="W40" s="8">
        <v>-28.63</v>
      </c>
      <c r="X40">
        <f t="shared" si="16"/>
        <v>493.23</v>
      </c>
      <c r="Y40" s="9"/>
      <c r="Z40" s="8">
        <v>0.57730300000000001</v>
      </c>
      <c r="AA40" s="8">
        <v>1.51</v>
      </c>
      <c r="AB40">
        <f t="shared" si="17"/>
        <v>527.29999999999995</v>
      </c>
      <c r="AC40" s="9"/>
      <c r="AD40" s="8">
        <v>0.59649600000000003</v>
      </c>
      <c r="AE40" s="8">
        <v>10.35</v>
      </c>
      <c r="AF40">
        <f t="shared" si="18"/>
        <v>539.86</v>
      </c>
      <c r="AH40" s="1">
        <v>0.61631599999999997</v>
      </c>
      <c r="AI40" s="8">
        <v>12.5</v>
      </c>
      <c r="AJ40">
        <f t="shared" si="19"/>
        <v>545.74</v>
      </c>
      <c r="AL40" s="1">
        <v>0.64448499999999997</v>
      </c>
      <c r="AM40" s="8">
        <v>8.9700000000000006</v>
      </c>
      <c r="AN40">
        <f t="shared" si="20"/>
        <v>547.30000000000007</v>
      </c>
      <c r="AT40" s="61">
        <f t="shared" si="72"/>
        <v>0</v>
      </c>
      <c r="AU40" s="43">
        <f t="shared" si="2"/>
        <v>0</v>
      </c>
      <c r="AV40" s="35">
        <f t="shared" si="73"/>
        <v>0</v>
      </c>
      <c r="AW40" s="36">
        <f t="shared" si="21"/>
        <v>0</v>
      </c>
      <c r="AX40" s="35">
        <f t="shared" si="74"/>
        <v>0</v>
      </c>
      <c r="AY40" s="62">
        <f t="shared" si="75"/>
        <v>0</v>
      </c>
      <c r="AZ40" s="61">
        <f t="shared" si="76"/>
        <v>0</v>
      </c>
      <c r="BA40" s="43">
        <f t="shared" si="7"/>
        <v>0</v>
      </c>
      <c r="BB40" s="35">
        <f t="shared" si="71"/>
        <v>0</v>
      </c>
      <c r="BC40" s="36">
        <f t="shared" si="23"/>
        <v>0</v>
      </c>
      <c r="BD40" s="35">
        <f t="shared" si="24"/>
        <v>0</v>
      </c>
      <c r="BE40" s="62">
        <f t="shared" si="25"/>
        <v>0</v>
      </c>
      <c r="BF40" s="61">
        <f t="shared" si="26"/>
        <v>0</v>
      </c>
      <c r="BG40" s="43">
        <f t="shared" si="8"/>
        <v>0</v>
      </c>
      <c r="BH40" s="35">
        <f t="shared" si="27"/>
        <v>0</v>
      </c>
      <c r="BI40" s="36">
        <f t="shared" si="28"/>
        <v>0</v>
      </c>
      <c r="BJ40" s="35">
        <f t="shared" si="29"/>
        <v>0</v>
      </c>
      <c r="BK40" s="62">
        <f t="shared" si="30"/>
        <v>0</v>
      </c>
      <c r="BL40" s="61">
        <f t="shared" si="31"/>
        <v>0</v>
      </c>
      <c r="BM40" s="43">
        <f t="shared" si="32"/>
        <v>0</v>
      </c>
      <c r="BN40" s="35">
        <f t="shared" si="33"/>
        <v>0</v>
      </c>
      <c r="BO40" s="36">
        <f t="shared" si="34"/>
        <v>0</v>
      </c>
      <c r="BP40" s="35">
        <f t="shared" si="35"/>
        <v>0</v>
      </c>
      <c r="BQ40" s="62">
        <f t="shared" si="36"/>
        <v>0</v>
      </c>
      <c r="BR40" s="61">
        <f t="shared" si="37"/>
        <v>0</v>
      </c>
      <c r="BS40" s="43">
        <f t="shared" si="38"/>
        <v>0</v>
      </c>
      <c r="BT40" s="35">
        <f t="shared" si="39"/>
        <v>0</v>
      </c>
      <c r="BU40" s="36">
        <f t="shared" si="40"/>
        <v>0</v>
      </c>
      <c r="BV40" s="35">
        <f t="shared" si="41"/>
        <v>0</v>
      </c>
      <c r="BW40" s="62">
        <f t="shared" si="42"/>
        <v>0</v>
      </c>
      <c r="BX40" s="61">
        <f t="shared" si="43"/>
        <v>0</v>
      </c>
      <c r="BY40" s="43">
        <f t="shared" si="44"/>
        <v>0</v>
      </c>
      <c r="BZ40" s="35">
        <f t="shared" si="45"/>
        <v>0</v>
      </c>
      <c r="CA40" s="36">
        <f t="shared" si="46"/>
        <v>0</v>
      </c>
      <c r="CB40" s="35">
        <f t="shared" si="47"/>
        <v>0</v>
      </c>
      <c r="CC40" s="62">
        <f t="shared" si="48"/>
        <v>0</v>
      </c>
      <c r="CD40" s="61">
        <f t="shared" si="49"/>
        <v>0</v>
      </c>
      <c r="CE40" s="43">
        <f t="shared" si="9"/>
        <v>0</v>
      </c>
      <c r="CF40" s="35">
        <f t="shared" si="50"/>
        <v>0</v>
      </c>
      <c r="CG40" s="36">
        <f t="shared" si="51"/>
        <v>0</v>
      </c>
      <c r="CH40" s="35">
        <f t="shared" si="52"/>
        <v>0</v>
      </c>
      <c r="CI40" s="62">
        <f t="shared" si="70"/>
        <v>0</v>
      </c>
      <c r="CJ40" s="61">
        <f t="shared" si="53"/>
        <v>0</v>
      </c>
      <c r="CK40" s="43">
        <f t="shared" si="54"/>
        <v>0</v>
      </c>
      <c r="CL40" s="35">
        <f t="shared" si="55"/>
        <v>0</v>
      </c>
      <c r="CM40" s="36">
        <f t="shared" si="56"/>
        <v>0</v>
      </c>
      <c r="CN40" s="35">
        <f t="shared" si="57"/>
        <v>0</v>
      </c>
      <c r="CO40" s="62">
        <f t="shared" si="58"/>
        <v>0</v>
      </c>
      <c r="CP40" s="61">
        <f t="shared" si="59"/>
        <v>0</v>
      </c>
      <c r="CQ40" s="43">
        <f t="shared" si="60"/>
        <v>0</v>
      </c>
      <c r="CR40" s="35">
        <f t="shared" si="61"/>
        <v>0</v>
      </c>
      <c r="CS40" s="43">
        <f t="shared" si="62"/>
        <v>0</v>
      </c>
      <c r="CT40" s="43">
        <f t="shared" si="10"/>
        <v>0</v>
      </c>
      <c r="CU40" s="62">
        <f t="shared" si="63"/>
        <v>0</v>
      </c>
      <c r="CV40" s="61">
        <f t="shared" si="64"/>
        <v>0</v>
      </c>
      <c r="CW40" s="43">
        <f t="shared" si="65"/>
        <v>0</v>
      </c>
      <c r="CX40" s="35">
        <f t="shared" si="66"/>
        <v>0</v>
      </c>
      <c r="CY40" s="36">
        <f t="shared" si="67"/>
        <v>0</v>
      </c>
      <c r="CZ40" s="35">
        <f t="shared" si="68"/>
        <v>0</v>
      </c>
      <c r="DA40" s="62">
        <f t="shared" si="69"/>
        <v>0</v>
      </c>
    </row>
    <row r="41" spans="2:105" x14ac:dyDescent="0.3">
      <c r="B41" s="1">
        <v>0.56484800000000002</v>
      </c>
      <c r="C41" s="1">
        <v>-16.3</v>
      </c>
      <c r="D41">
        <f t="shared" si="11"/>
        <v>468.64</v>
      </c>
      <c r="F41" s="1">
        <v>0.55643600000000004</v>
      </c>
      <c r="G41" s="1">
        <v>-1.35</v>
      </c>
      <c r="H41">
        <f t="shared" si="12"/>
        <v>481.46999999999997</v>
      </c>
      <c r="J41" s="1">
        <v>0.55325299999999999</v>
      </c>
      <c r="K41" s="1">
        <v>-7.05</v>
      </c>
      <c r="L41">
        <f t="shared" si="13"/>
        <v>489.03999999999996</v>
      </c>
      <c r="N41" s="1">
        <v>0.550597</v>
      </c>
      <c r="O41" s="1">
        <v>-19.399999999999999</v>
      </c>
      <c r="P41">
        <f t="shared" si="14"/>
        <v>476.69</v>
      </c>
      <c r="R41" s="1">
        <v>0.55388999999999999</v>
      </c>
      <c r="S41" s="1">
        <v>-28.11</v>
      </c>
      <c r="T41">
        <f t="shared" si="15"/>
        <v>490.38</v>
      </c>
      <c r="V41" s="1">
        <v>0.57152400000000003</v>
      </c>
      <c r="W41" s="8">
        <v>-5.1100000000000003</v>
      </c>
      <c r="X41">
        <f t="shared" si="16"/>
        <v>516.75</v>
      </c>
      <c r="Y41" s="9"/>
      <c r="Z41" s="8">
        <v>0.59216000000000002</v>
      </c>
      <c r="AA41" s="8">
        <v>3.6</v>
      </c>
      <c r="AB41">
        <f t="shared" si="17"/>
        <v>529.39</v>
      </c>
      <c r="AC41" s="9"/>
      <c r="AD41" s="8">
        <v>0.61184700000000003</v>
      </c>
      <c r="AE41" s="8">
        <v>12.49</v>
      </c>
      <c r="AF41">
        <f t="shared" si="18"/>
        <v>542</v>
      </c>
      <c r="AH41" s="1">
        <v>0.63217800000000002</v>
      </c>
      <c r="AI41" s="8">
        <v>10.199999999999999</v>
      </c>
      <c r="AJ41">
        <f t="shared" si="19"/>
        <v>543.44000000000005</v>
      </c>
      <c r="AL41" s="1">
        <v>0.66107099999999996</v>
      </c>
      <c r="AM41" s="8">
        <v>6.54</v>
      </c>
      <c r="AN41">
        <f t="shared" si="20"/>
        <v>544.87</v>
      </c>
      <c r="AT41" s="61">
        <f t="shared" si="72"/>
        <v>0</v>
      </c>
      <c r="AU41" s="43">
        <f t="shared" si="2"/>
        <v>0</v>
      </c>
      <c r="AV41" s="35">
        <f t="shared" si="73"/>
        <v>0</v>
      </c>
      <c r="AW41" s="36">
        <f t="shared" si="21"/>
        <v>0</v>
      </c>
      <c r="AX41" s="35">
        <f t="shared" si="74"/>
        <v>0</v>
      </c>
      <c r="AY41" s="62">
        <f t="shared" si="75"/>
        <v>0</v>
      </c>
      <c r="AZ41" s="61">
        <f t="shared" si="76"/>
        <v>0</v>
      </c>
      <c r="BA41" s="43">
        <f t="shared" si="7"/>
        <v>0</v>
      </c>
      <c r="BB41" s="35">
        <f t="shared" si="71"/>
        <v>0</v>
      </c>
      <c r="BC41" s="36">
        <f t="shared" si="23"/>
        <v>0</v>
      </c>
      <c r="BD41" s="35">
        <f t="shared" si="24"/>
        <v>0</v>
      </c>
      <c r="BE41" s="62">
        <f t="shared" si="25"/>
        <v>0</v>
      </c>
      <c r="BF41" s="61">
        <f t="shared" si="26"/>
        <v>0</v>
      </c>
      <c r="BG41" s="43">
        <f t="shared" si="8"/>
        <v>0</v>
      </c>
      <c r="BH41" s="35">
        <f t="shared" si="27"/>
        <v>0</v>
      </c>
      <c r="BI41" s="36">
        <f t="shared" si="28"/>
        <v>0</v>
      </c>
      <c r="BJ41" s="35">
        <f t="shared" si="29"/>
        <v>0</v>
      </c>
      <c r="BK41" s="62">
        <f t="shared" si="30"/>
        <v>0</v>
      </c>
      <c r="BL41" s="61">
        <f t="shared" si="31"/>
        <v>0</v>
      </c>
      <c r="BM41" s="43">
        <f t="shared" si="32"/>
        <v>0</v>
      </c>
      <c r="BN41" s="35">
        <f t="shared" si="33"/>
        <v>0</v>
      </c>
      <c r="BO41" s="36">
        <f t="shared" si="34"/>
        <v>0</v>
      </c>
      <c r="BP41" s="35">
        <f t="shared" si="35"/>
        <v>0</v>
      </c>
      <c r="BQ41" s="62">
        <f t="shared" si="36"/>
        <v>0</v>
      </c>
      <c r="BR41" s="61">
        <f t="shared" si="37"/>
        <v>0</v>
      </c>
      <c r="BS41" s="43">
        <f t="shared" si="38"/>
        <v>0</v>
      </c>
      <c r="BT41" s="35">
        <f t="shared" si="39"/>
        <v>0</v>
      </c>
      <c r="BU41" s="36">
        <f t="shared" si="40"/>
        <v>0</v>
      </c>
      <c r="BV41" s="35">
        <f t="shared" si="41"/>
        <v>0</v>
      </c>
      <c r="BW41" s="62">
        <f t="shared" si="42"/>
        <v>0</v>
      </c>
      <c r="BX41" s="61">
        <f t="shared" si="43"/>
        <v>0</v>
      </c>
      <c r="BY41" s="43">
        <f t="shared" si="44"/>
        <v>0</v>
      </c>
      <c r="BZ41" s="35">
        <f t="shared" si="45"/>
        <v>0</v>
      </c>
      <c r="CA41" s="36">
        <f t="shared" si="46"/>
        <v>0</v>
      </c>
      <c r="CB41" s="35">
        <f t="shared" si="47"/>
        <v>0</v>
      </c>
      <c r="CC41" s="62">
        <f t="shared" si="48"/>
        <v>0</v>
      </c>
      <c r="CD41" s="61">
        <f t="shared" si="49"/>
        <v>0</v>
      </c>
      <c r="CE41" s="43">
        <f t="shared" si="9"/>
        <v>0</v>
      </c>
      <c r="CF41" s="35">
        <f t="shared" si="50"/>
        <v>0</v>
      </c>
      <c r="CG41" s="36">
        <f t="shared" si="51"/>
        <v>0</v>
      </c>
      <c r="CH41" s="35">
        <f t="shared" si="52"/>
        <v>0</v>
      </c>
      <c r="CI41" s="62">
        <f t="shared" si="70"/>
        <v>0</v>
      </c>
      <c r="CJ41" s="61">
        <f t="shared" si="53"/>
        <v>0</v>
      </c>
      <c r="CK41" s="43">
        <f t="shared" si="54"/>
        <v>0</v>
      </c>
      <c r="CL41" s="35">
        <f t="shared" si="55"/>
        <v>0</v>
      </c>
      <c r="CM41" s="36">
        <f t="shared" si="56"/>
        <v>0</v>
      </c>
      <c r="CN41" s="35">
        <f t="shared" si="57"/>
        <v>0</v>
      </c>
      <c r="CO41" s="62">
        <f t="shared" si="58"/>
        <v>0</v>
      </c>
      <c r="CP41" s="61">
        <f t="shared" si="59"/>
        <v>0</v>
      </c>
      <c r="CQ41" s="43">
        <f t="shared" si="60"/>
        <v>0</v>
      </c>
      <c r="CR41" s="35">
        <f t="shared" si="61"/>
        <v>0</v>
      </c>
      <c r="CS41" s="43">
        <f t="shared" si="62"/>
        <v>0</v>
      </c>
      <c r="CT41" s="43">
        <f t="shared" si="10"/>
        <v>0</v>
      </c>
      <c r="CU41" s="62">
        <f t="shared" si="63"/>
        <v>0</v>
      </c>
      <c r="CV41" s="61">
        <f t="shared" si="64"/>
        <v>0</v>
      </c>
      <c r="CW41" s="43">
        <f t="shared" si="65"/>
        <v>0</v>
      </c>
      <c r="CX41" s="35">
        <f t="shared" si="66"/>
        <v>0</v>
      </c>
      <c r="CY41" s="36">
        <f t="shared" si="67"/>
        <v>0</v>
      </c>
      <c r="CZ41" s="35">
        <f t="shared" si="68"/>
        <v>0</v>
      </c>
      <c r="DA41" s="62">
        <f t="shared" si="69"/>
        <v>0</v>
      </c>
    </row>
    <row r="42" spans="2:105" x14ac:dyDescent="0.3">
      <c r="B42" s="1">
        <v>0.57901999999999998</v>
      </c>
      <c r="C42" s="1">
        <v>-14.3</v>
      </c>
      <c r="D42">
        <f t="shared" si="11"/>
        <v>470.64</v>
      </c>
      <c r="F42" s="1">
        <v>0.57039700000000004</v>
      </c>
      <c r="G42" s="1">
        <v>0.62</v>
      </c>
      <c r="H42">
        <f t="shared" si="12"/>
        <v>483.44</v>
      </c>
      <c r="J42" s="1">
        <v>0.56713400000000003</v>
      </c>
      <c r="K42" s="1">
        <v>-9.17</v>
      </c>
      <c r="L42">
        <f t="shared" si="13"/>
        <v>486.91999999999996</v>
      </c>
      <c r="N42" s="1">
        <v>0.56441200000000002</v>
      </c>
      <c r="O42" s="1">
        <v>-21.66</v>
      </c>
      <c r="P42">
        <f t="shared" si="14"/>
        <v>474.42999999999995</v>
      </c>
      <c r="R42" s="1">
        <v>0.56778700000000004</v>
      </c>
      <c r="S42" s="1">
        <v>-30.5</v>
      </c>
      <c r="T42">
        <f t="shared" si="15"/>
        <v>487.99</v>
      </c>
      <c r="V42" s="1">
        <v>0.58586300000000002</v>
      </c>
      <c r="W42" s="8">
        <v>-3</v>
      </c>
      <c r="X42">
        <f t="shared" si="16"/>
        <v>518.86</v>
      </c>
      <c r="Y42" s="9"/>
      <c r="Z42" s="8">
        <v>0.60701700000000003</v>
      </c>
      <c r="AA42" s="8">
        <v>5.72</v>
      </c>
      <c r="AB42">
        <f t="shared" si="17"/>
        <v>531.51</v>
      </c>
      <c r="AC42" s="9"/>
      <c r="AD42" s="8">
        <v>0.62719800000000003</v>
      </c>
      <c r="AE42" s="8">
        <v>10.65</v>
      </c>
      <c r="AF42">
        <f t="shared" si="18"/>
        <v>540.16</v>
      </c>
      <c r="AH42" s="1">
        <v>0.64803900000000003</v>
      </c>
      <c r="AI42" s="8">
        <v>7.94</v>
      </c>
      <c r="AJ42">
        <f t="shared" si="19"/>
        <v>541.18000000000006</v>
      </c>
      <c r="AL42" s="1">
        <v>0.67765699999999995</v>
      </c>
      <c r="AM42" s="8">
        <v>4.1399999999999997</v>
      </c>
      <c r="AN42">
        <f t="shared" si="20"/>
        <v>542.47</v>
      </c>
      <c r="AT42" s="61">
        <f t="shared" si="72"/>
        <v>0</v>
      </c>
      <c r="AU42" s="43">
        <f t="shared" si="2"/>
        <v>0</v>
      </c>
      <c r="AV42" s="35">
        <f t="shared" si="73"/>
        <v>0</v>
      </c>
      <c r="AW42" s="36">
        <f t="shared" si="21"/>
        <v>0</v>
      </c>
      <c r="AX42" s="35">
        <f t="shared" si="74"/>
        <v>0</v>
      </c>
      <c r="AY42" s="62">
        <f t="shared" si="75"/>
        <v>0</v>
      </c>
      <c r="AZ42" s="61">
        <f t="shared" si="76"/>
        <v>0</v>
      </c>
      <c r="BA42" s="43">
        <f t="shared" si="7"/>
        <v>0</v>
      </c>
      <c r="BB42" s="35">
        <f t="shared" si="71"/>
        <v>0</v>
      </c>
      <c r="BC42" s="36">
        <f t="shared" si="23"/>
        <v>0</v>
      </c>
      <c r="BD42" s="35">
        <f t="shared" si="24"/>
        <v>0</v>
      </c>
      <c r="BE42" s="62">
        <f t="shared" si="25"/>
        <v>0</v>
      </c>
      <c r="BF42" s="61">
        <f t="shared" si="26"/>
        <v>0</v>
      </c>
      <c r="BG42" s="43">
        <f t="shared" si="8"/>
        <v>0</v>
      </c>
      <c r="BH42" s="35">
        <f t="shared" si="27"/>
        <v>0</v>
      </c>
      <c r="BI42" s="36">
        <f t="shared" si="28"/>
        <v>0</v>
      </c>
      <c r="BJ42" s="35">
        <f t="shared" si="29"/>
        <v>0</v>
      </c>
      <c r="BK42" s="62">
        <f t="shared" si="30"/>
        <v>0</v>
      </c>
      <c r="BL42" s="61">
        <f t="shared" si="31"/>
        <v>0</v>
      </c>
      <c r="BM42" s="43">
        <f t="shared" si="32"/>
        <v>0</v>
      </c>
      <c r="BN42" s="35">
        <f t="shared" si="33"/>
        <v>0</v>
      </c>
      <c r="BO42" s="36">
        <f t="shared" si="34"/>
        <v>0</v>
      </c>
      <c r="BP42" s="35">
        <f t="shared" si="35"/>
        <v>0</v>
      </c>
      <c r="BQ42" s="62">
        <f t="shared" si="36"/>
        <v>0</v>
      </c>
      <c r="BR42" s="61">
        <f t="shared" si="37"/>
        <v>0</v>
      </c>
      <c r="BS42" s="43">
        <f t="shared" si="38"/>
        <v>0</v>
      </c>
      <c r="BT42" s="35">
        <f t="shared" si="39"/>
        <v>0</v>
      </c>
      <c r="BU42" s="36">
        <f t="shared" si="40"/>
        <v>0</v>
      </c>
      <c r="BV42" s="35">
        <f t="shared" si="41"/>
        <v>0</v>
      </c>
      <c r="BW42" s="62">
        <f t="shared" si="42"/>
        <v>0</v>
      </c>
      <c r="BX42" s="61">
        <f t="shared" si="43"/>
        <v>0</v>
      </c>
      <c r="BY42" s="43">
        <f t="shared" si="44"/>
        <v>0</v>
      </c>
      <c r="BZ42" s="35">
        <f t="shared" si="45"/>
        <v>0</v>
      </c>
      <c r="CA42" s="36">
        <f t="shared" si="46"/>
        <v>0</v>
      </c>
      <c r="CB42" s="35">
        <f t="shared" si="47"/>
        <v>0</v>
      </c>
      <c r="CC42" s="62">
        <f t="shared" si="48"/>
        <v>0</v>
      </c>
      <c r="CD42" s="61">
        <f t="shared" si="49"/>
        <v>0</v>
      </c>
      <c r="CE42" s="43">
        <f t="shared" si="9"/>
        <v>0</v>
      </c>
      <c r="CF42" s="35">
        <f t="shared" si="50"/>
        <v>0</v>
      </c>
      <c r="CG42" s="36">
        <f t="shared" si="51"/>
        <v>0</v>
      </c>
      <c r="CH42" s="35">
        <f t="shared" si="52"/>
        <v>0</v>
      </c>
      <c r="CI42" s="62">
        <f t="shared" si="70"/>
        <v>0</v>
      </c>
      <c r="CJ42" s="61">
        <f t="shared" si="53"/>
        <v>0</v>
      </c>
      <c r="CK42" s="43">
        <f t="shared" si="54"/>
        <v>0</v>
      </c>
      <c r="CL42" s="35">
        <f t="shared" si="55"/>
        <v>0</v>
      </c>
      <c r="CM42" s="36">
        <f t="shared" si="56"/>
        <v>0</v>
      </c>
      <c r="CN42" s="35">
        <f t="shared" si="57"/>
        <v>0</v>
      </c>
      <c r="CO42" s="62">
        <f t="shared" si="58"/>
        <v>0</v>
      </c>
      <c r="CP42" s="61">
        <f t="shared" si="59"/>
        <v>0</v>
      </c>
      <c r="CQ42" s="43">
        <f t="shared" si="60"/>
        <v>0</v>
      </c>
      <c r="CR42" s="35">
        <f t="shared" si="61"/>
        <v>0</v>
      </c>
      <c r="CS42" s="43">
        <f t="shared" si="62"/>
        <v>0</v>
      </c>
      <c r="CT42" s="43">
        <f t="shared" si="10"/>
        <v>0</v>
      </c>
      <c r="CU42" s="62">
        <f t="shared" si="63"/>
        <v>0</v>
      </c>
      <c r="CV42" s="61">
        <f t="shared" si="64"/>
        <v>0</v>
      </c>
      <c r="CW42" s="43">
        <f t="shared" si="65"/>
        <v>0</v>
      </c>
      <c r="CX42" s="35">
        <f t="shared" si="66"/>
        <v>0</v>
      </c>
      <c r="CY42" s="36">
        <f t="shared" si="67"/>
        <v>0</v>
      </c>
      <c r="CZ42" s="35">
        <f t="shared" si="68"/>
        <v>0</v>
      </c>
      <c r="DA42" s="62">
        <f t="shared" si="69"/>
        <v>0</v>
      </c>
    </row>
    <row r="43" spans="2:105" x14ac:dyDescent="0.3">
      <c r="B43" s="1">
        <v>0.593163</v>
      </c>
      <c r="C43" s="1">
        <v>-12.24</v>
      </c>
      <c r="D43">
        <f t="shared" si="11"/>
        <v>472.7</v>
      </c>
      <c r="F43" s="8"/>
      <c r="G43" s="8"/>
      <c r="H43">
        <f t="shared" si="12"/>
        <v>482.82</v>
      </c>
      <c r="J43" s="1">
        <v>0.58098700000000003</v>
      </c>
      <c r="K43" s="1">
        <v>-11.3</v>
      </c>
      <c r="L43">
        <f t="shared" si="13"/>
        <v>484.78999999999996</v>
      </c>
      <c r="N43" s="1">
        <v>0.57819799999999999</v>
      </c>
      <c r="O43" s="1">
        <v>-23.92</v>
      </c>
      <c r="P43">
        <f t="shared" si="14"/>
        <v>472.16999999999996</v>
      </c>
      <c r="R43" s="1">
        <v>0.58165599999999995</v>
      </c>
      <c r="S43" s="1">
        <v>-32.94</v>
      </c>
      <c r="T43">
        <f t="shared" si="15"/>
        <v>485.55</v>
      </c>
      <c r="V43" s="1">
        <v>0.60017399999999999</v>
      </c>
      <c r="W43" s="8">
        <v>-0.75</v>
      </c>
      <c r="X43">
        <f t="shared" si="16"/>
        <v>521.11</v>
      </c>
      <c r="Y43" s="9"/>
      <c r="Z43" s="8">
        <v>0.62184499999999998</v>
      </c>
      <c r="AA43" s="8">
        <v>7.98</v>
      </c>
      <c r="AB43">
        <f t="shared" si="17"/>
        <v>533.77</v>
      </c>
      <c r="AC43" s="9"/>
      <c r="AD43" s="8">
        <v>0.64251800000000003</v>
      </c>
      <c r="AE43" s="8">
        <v>8.14</v>
      </c>
      <c r="AF43">
        <f t="shared" si="18"/>
        <v>537.65</v>
      </c>
      <c r="AH43" s="1">
        <v>0.66386800000000001</v>
      </c>
      <c r="AI43" s="8">
        <v>5.63</v>
      </c>
      <c r="AJ43">
        <f t="shared" si="19"/>
        <v>538.87</v>
      </c>
      <c r="AL43" s="1">
        <v>0.69420999999999999</v>
      </c>
      <c r="AM43" s="8">
        <v>1.73</v>
      </c>
      <c r="AN43">
        <f t="shared" si="20"/>
        <v>540.06000000000006</v>
      </c>
      <c r="AT43" s="61">
        <f t="shared" si="72"/>
        <v>0</v>
      </c>
      <c r="AU43" s="43">
        <f t="shared" si="2"/>
        <v>0</v>
      </c>
      <c r="AV43" s="35">
        <f t="shared" si="73"/>
        <v>0</v>
      </c>
      <c r="AW43" s="36">
        <f t="shared" si="21"/>
        <v>0</v>
      </c>
      <c r="AX43" s="35">
        <f t="shared" si="74"/>
        <v>0</v>
      </c>
      <c r="AY43" s="62">
        <f t="shared" si="75"/>
        <v>0</v>
      </c>
      <c r="AZ43" s="61">
        <f t="shared" si="76"/>
        <v>0</v>
      </c>
      <c r="BA43" s="43">
        <f t="shared" si="7"/>
        <v>0</v>
      </c>
      <c r="BB43" s="35">
        <f t="shared" si="71"/>
        <v>0</v>
      </c>
      <c r="BC43" s="36">
        <f t="shared" si="23"/>
        <v>0</v>
      </c>
      <c r="BD43" s="35">
        <f t="shared" si="24"/>
        <v>0</v>
      </c>
      <c r="BE43" s="62">
        <f t="shared" si="25"/>
        <v>0</v>
      </c>
      <c r="BF43" s="61">
        <f t="shared" si="26"/>
        <v>0</v>
      </c>
      <c r="BG43" s="43">
        <f t="shared" si="8"/>
        <v>0</v>
      </c>
      <c r="BH43" s="35">
        <f t="shared" si="27"/>
        <v>0</v>
      </c>
      <c r="BI43" s="36">
        <f t="shared" si="28"/>
        <v>0</v>
      </c>
      <c r="BJ43" s="35">
        <f t="shared" si="29"/>
        <v>0</v>
      </c>
      <c r="BK43" s="62">
        <f t="shared" si="30"/>
        <v>0</v>
      </c>
      <c r="BL43" s="61">
        <f t="shared" si="31"/>
        <v>0</v>
      </c>
      <c r="BM43" s="43">
        <f t="shared" si="32"/>
        <v>0</v>
      </c>
      <c r="BN43" s="35">
        <f t="shared" si="33"/>
        <v>0</v>
      </c>
      <c r="BO43" s="36">
        <f t="shared" si="34"/>
        <v>0</v>
      </c>
      <c r="BP43" s="35">
        <f t="shared" si="35"/>
        <v>0</v>
      </c>
      <c r="BQ43" s="62">
        <f t="shared" si="36"/>
        <v>0</v>
      </c>
      <c r="BR43" s="61">
        <f t="shared" si="37"/>
        <v>0</v>
      </c>
      <c r="BS43" s="43">
        <f t="shared" si="38"/>
        <v>0</v>
      </c>
      <c r="BT43" s="35">
        <f t="shared" si="39"/>
        <v>0</v>
      </c>
      <c r="BU43" s="36">
        <f t="shared" si="40"/>
        <v>0</v>
      </c>
      <c r="BV43" s="35">
        <f t="shared" si="41"/>
        <v>0</v>
      </c>
      <c r="BW43" s="62">
        <f t="shared" si="42"/>
        <v>0</v>
      </c>
      <c r="BX43" s="61">
        <f t="shared" si="43"/>
        <v>0</v>
      </c>
      <c r="BY43" s="43">
        <f t="shared" si="44"/>
        <v>0</v>
      </c>
      <c r="BZ43" s="35">
        <f t="shared" si="45"/>
        <v>0</v>
      </c>
      <c r="CA43" s="36">
        <f t="shared" si="46"/>
        <v>0</v>
      </c>
      <c r="CB43" s="35">
        <f t="shared" si="47"/>
        <v>0</v>
      </c>
      <c r="CC43" s="62">
        <f t="shared" si="48"/>
        <v>0</v>
      </c>
      <c r="CD43" s="61">
        <f t="shared" si="49"/>
        <v>0</v>
      </c>
      <c r="CE43" s="43">
        <f t="shared" si="9"/>
        <v>0</v>
      </c>
      <c r="CF43" s="35">
        <f t="shared" si="50"/>
        <v>0</v>
      </c>
      <c r="CG43" s="36">
        <f t="shared" si="51"/>
        <v>0</v>
      </c>
      <c r="CH43" s="35">
        <f t="shared" si="52"/>
        <v>0</v>
      </c>
      <c r="CI43" s="62">
        <f t="shared" si="70"/>
        <v>0</v>
      </c>
      <c r="CJ43" s="61">
        <f t="shared" si="53"/>
        <v>0</v>
      </c>
      <c r="CK43" s="43">
        <f t="shared" si="54"/>
        <v>0</v>
      </c>
      <c r="CL43" s="35">
        <f t="shared" si="55"/>
        <v>0</v>
      </c>
      <c r="CM43" s="36">
        <f t="shared" si="56"/>
        <v>0</v>
      </c>
      <c r="CN43" s="35">
        <f t="shared" si="57"/>
        <v>0</v>
      </c>
      <c r="CO43" s="62">
        <f t="shared" si="58"/>
        <v>0</v>
      </c>
      <c r="CP43" s="61">
        <f t="shared" si="59"/>
        <v>0</v>
      </c>
      <c r="CQ43" s="43">
        <f t="shared" si="60"/>
        <v>0</v>
      </c>
      <c r="CR43" s="35">
        <f t="shared" si="61"/>
        <v>0</v>
      </c>
      <c r="CS43" s="43">
        <f t="shared" si="62"/>
        <v>0</v>
      </c>
      <c r="CT43" s="43">
        <f t="shared" si="10"/>
        <v>0</v>
      </c>
      <c r="CU43" s="62">
        <f t="shared" si="63"/>
        <v>0</v>
      </c>
      <c r="CV43" s="61">
        <f t="shared" si="64"/>
        <v>0</v>
      </c>
      <c r="CW43" s="43">
        <f t="shared" si="65"/>
        <v>0</v>
      </c>
      <c r="CX43" s="35">
        <f t="shared" si="66"/>
        <v>0</v>
      </c>
      <c r="CY43" s="36">
        <f t="shared" si="67"/>
        <v>0</v>
      </c>
      <c r="CZ43" s="35">
        <f t="shared" si="68"/>
        <v>0</v>
      </c>
      <c r="DA43" s="62">
        <f t="shared" si="69"/>
        <v>0</v>
      </c>
    </row>
    <row r="44" spans="2:105" x14ac:dyDescent="0.3">
      <c r="B44" s="1">
        <v>0.60733499999999996</v>
      </c>
      <c r="C44" s="1">
        <v>-10.25</v>
      </c>
      <c r="D44">
        <f t="shared" si="11"/>
        <v>474.69</v>
      </c>
      <c r="F44" s="1">
        <v>0.59829100000000002</v>
      </c>
      <c r="G44" s="1">
        <v>-0.79</v>
      </c>
      <c r="H44">
        <f t="shared" si="12"/>
        <v>482.03</v>
      </c>
      <c r="J44" s="1">
        <v>0.59486799999999995</v>
      </c>
      <c r="K44" s="1">
        <v>-13.44</v>
      </c>
      <c r="L44">
        <f t="shared" si="13"/>
        <v>482.65</v>
      </c>
      <c r="N44" s="1">
        <v>0.59201300000000001</v>
      </c>
      <c r="O44" s="1">
        <v>-26.17</v>
      </c>
      <c r="P44">
        <f t="shared" si="14"/>
        <v>469.91999999999996</v>
      </c>
      <c r="R44" s="1">
        <v>0.595553</v>
      </c>
      <c r="S44" s="1">
        <v>-7.95</v>
      </c>
      <c r="T44">
        <f t="shared" si="15"/>
        <v>510.54</v>
      </c>
      <c r="V44" s="1">
        <v>0.61451299999999998</v>
      </c>
      <c r="W44" s="8">
        <v>1.45</v>
      </c>
      <c r="X44">
        <f t="shared" si="16"/>
        <v>523.31000000000006</v>
      </c>
      <c r="Y44" s="9"/>
      <c r="Z44" s="8">
        <v>0.63670199999999999</v>
      </c>
      <c r="AA44" s="8">
        <v>9.48</v>
      </c>
      <c r="AB44">
        <f t="shared" si="17"/>
        <v>535.27</v>
      </c>
      <c r="AC44" s="9"/>
      <c r="AD44" s="8">
        <v>0.65786900000000004</v>
      </c>
      <c r="AE44" s="8">
        <v>5.98</v>
      </c>
      <c r="AF44">
        <f t="shared" si="18"/>
        <v>535.49</v>
      </c>
      <c r="AH44" s="1">
        <v>0.67972999999999995</v>
      </c>
      <c r="AI44" s="8">
        <v>3.31</v>
      </c>
      <c r="AJ44">
        <f t="shared" si="19"/>
        <v>536.54999999999995</v>
      </c>
      <c r="AL44" s="1">
        <v>0.71079599999999998</v>
      </c>
      <c r="AM44" s="1">
        <v>-0.71</v>
      </c>
      <c r="AN44">
        <f t="shared" si="20"/>
        <v>537.62</v>
      </c>
      <c r="AT44" s="61">
        <f t="shared" si="72"/>
        <v>0</v>
      </c>
      <c r="AU44" s="43">
        <f t="shared" si="2"/>
        <v>0</v>
      </c>
      <c r="AV44" s="35">
        <f t="shared" si="73"/>
        <v>0</v>
      </c>
      <c r="AW44" s="36">
        <f t="shared" si="21"/>
        <v>0</v>
      </c>
      <c r="AX44" s="35">
        <f t="shared" si="74"/>
        <v>0</v>
      </c>
      <c r="AY44" s="62">
        <f t="shared" si="75"/>
        <v>0</v>
      </c>
      <c r="AZ44" s="61">
        <f t="shared" si="76"/>
        <v>0</v>
      </c>
      <c r="BA44" s="43">
        <f t="shared" si="7"/>
        <v>0</v>
      </c>
      <c r="BB44" s="35">
        <f t="shared" si="71"/>
        <v>0</v>
      </c>
      <c r="BC44" s="36">
        <f t="shared" si="23"/>
        <v>0</v>
      </c>
      <c r="BD44" s="35">
        <f t="shared" si="24"/>
        <v>0</v>
      </c>
      <c r="BE44" s="62">
        <f t="shared" si="25"/>
        <v>0</v>
      </c>
      <c r="BF44" s="61">
        <f t="shared" si="26"/>
        <v>0</v>
      </c>
      <c r="BG44" s="43">
        <f t="shared" si="8"/>
        <v>0</v>
      </c>
      <c r="BH44" s="35">
        <f t="shared" si="27"/>
        <v>0</v>
      </c>
      <c r="BI44" s="36">
        <f t="shared" si="28"/>
        <v>0</v>
      </c>
      <c r="BJ44" s="35">
        <f t="shared" si="29"/>
        <v>0</v>
      </c>
      <c r="BK44" s="62">
        <f t="shared" si="30"/>
        <v>0</v>
      </c>
      <c r="BL44" s="61">
        <f t="shared" si="31"/>
        <v>0</v>
      </c>
      <c r="BM44" s="43">
        <f t="shared" si="32"/>
        <v>0</v>
      </c>
      <c r="BN44" s="35">
        <f t="shared" si="33"/>
        <v>0</v>
      </c>
      <c r="BO44" s="36">
        <f t="shared" si="34"/>
        <v>0</v>
      </c>
      <c r="BP44" s="35">
        <f t="shared" si="35"/>
        <v>0</v>
      </c>
      <c r="BQ44" s="62">
        <f t="shared" si="36"/>
        <v>0</v>
      </c>
      <c r="BR44" s="61">
        <f t="shared" si="37"/>
        <v>0</v>
      </c>
      <c r="BS44" s="43">
        <f t="shared" si="38"/>
        <v>0</v>
      </c>
      <c r="BT44" s="35">
        <f t="shared" si="39"/>
        <v>0</v>
      </c>
      <c r="BU44" s="36">
        <f t="shared" si="40"/>
        <v>0</v>
      </c>
      <c r="BV44" s="35">
        <f t="shared" si="41"/>
        <v>0</v>
      </c>
      <c r="BW44" s="62">
        <f t="shared" si="42"/>
        <v>0</v>
      </c>
      <c r="BX44" s="61">
        <f t="shared" si="43"/>
        <v>0</v>
      </c>
      <c r="BY44" s="43">
        <f t="shared" si="44"/>
        <v>0</v>
      </c>
      <c r="BZ44" s="35">
        <f t="shared" si="45"/>
        <v>0</v>
      </c>
      <c r="CA44" s="36">
        <f t="shared" si="46"/>
        <v>0</v>
      </c>
      <c r="CB44" s="35">
        <f t="shared" si="47"/>
        <v>0</v>
      </c>
      <c r="CC44" s="62">
        <f t="shared" si="48"/>
        <v>0</v>
      </c>
      <c r="CD44" s="61">
        <f t="shared" si="49"/>
        <v>0</v>
      </c>
      <c r="CE44" s="43">
        <f t="shared" si="9"/>
        <v>0</v>
      </c>
      <c r="CF44" s="35">
        <f t="shared" si="50"/>
        <v>0</v>
      </c>
      <c r="CG44" s="36">
        <f t="shared" si="51"/>
        <v>0</v>
      </c>
      <c r="CH44" s="35">
        <f t="shared" si="52"/>
        <v>0</v>
      </c>
      <c r="CI44" s="62">
        <f t="shared" si="70"/>
        <v>0</v>
      </c>
      <c r="CJ44" s="61">
        <f t="shared" si="53"/>
        <v>0</v>
      </c>
      <c r="CK44" s="43">
        <f t="shared" si="54"/>
        <v>0</v>
      </c>
      <c r="CL44" s="35">
        <f t="shared" si="55"/>
        <v>0</v>
      </c>
      <c r="CM44" s="36">
        <f t="shared" si="56"/>
        <v>0</v>
      </c>
      <c r="CN44" s="35">
        <f t="shared" si="57"/>
        <v>0</v>
      </c>
      <c r="CO44" s="62">
        <f t="shared" si="58"/>
        <v>0</v>
      </c>
      <c r="CP44" s="61">
        <f t="shared" si="59"/>
        <v>0</v>
      </c>
      <c r="CQ44" s="43">
        <f t="shared" si="60"/>
        <v>0</v>
      </c>
      <c r="CR44" s="35">
        <f t="shared" si="61"/>
        <v>0</v>
      </c>
      <c r="CS44" s="43">
        <f t="shared" si="62"/>
        <v>0</v>
      </c>
      <c r="CT44" s="43">
        <f t="shared" si="10"/>
        <v>0</v>
      </c>
      <c r="CU44" s="62">
        <f t="shared" si="63"/>
        <v>0</v>
      </c>
      <c r="CV44" s="61">
        <f t="shared" si="64"/>
        <v>0</v>
      </c>
      <c r="CW44" s="43">
        <f t="shared" si="65"/>
        <v>0</v>
      </c>
      <c r="CX44" s="35">
        <f t="shared" si="66"/>
        <v>0</v>
      </c>
      <c r="CY44" s="36">
        <f t="shared" si="67"/>
        <v>0</v>
      </c>
      <c r="CZ44" s="35">
        <f t="shared" si="68"/>
        <v>0</v>
      </c>
      <c r="DA44" s="62">
        <f t="shared" si="69"/>
        <v>0</v>
      </c>
    </row>
    <row r="45" spans="2:105" x14ac:dyDescent="0.3">
      <c r="B45" s="1">
        <v>0.62147799999999997</v>
      </c>
      <c r="C45" s="1">
        <v>-8.27</v>
      </c>
      <c r="D45">
        <f t="shared" si="11"/>
        <v>476.67</v>
      </c>
      <c r="F45" s="1">
        <v>0.61222399999999999</v>
      </c>
      <c r="G45" s="1">
        <v>-2.75</v>
      </c>
      <c r="H45">
        <f t="shared" si="12"/>
        <v>480.07</v>
      </c>
      <c r="J45" s="1">
        <v>0.60872099999999996</v>
      </c>
      <c r="K45" s="1">
        <v>-15.53</v>
      </c>
      <c r="L45">
        <f t="shared" si="13"/>
        <v>480.56</v>
      </c>
      <c r="N45" s="1">
        <v>0.60579899999999998</v>
      </c>
      <c r="O45" s="1">
        <v>-28.42</v>
      </c>
      <c r="P45">
        <f t="shared" si="14"/>
        <v>467.66999999999996</v>
      </c>
      <c r="R45" s="1">
        <v>0.60942200000000002</v>
      </c>
      <c r="S45" s="1">
        <v>-5.84</v>
      </c>
      <c r="T45">
        <f t="shared" si="15"/>
        <v>512.65</v>
      </c>
      <c r="V45" s="1">
        <v>0.62882400000000005</v>
      </c>
      <c r="W45" s="8">
        <v>3.61</v>
      </c>
      <c r="X45">
        <f t="shared" si="16"/>
        <v>525.47</v>
      </c>
      <c r="Y45" s="9"/>
      <c r="Z45" s="8">
        <v>0.65152900000000002</v>
      </c>
      <c r="AA45" s="8">
        <v>7.13</v>
      </c>
      <c r="AB45">
        <f t="shared" si="17"/>
        <v>532.91999999999996</v>
      </c>
      <c r="AC45" s="9"/>
      <c r="AD45" s="8">
        <v>0.67318999999999996</v>
      </c>
      <c r="AE45" s="8">
        <v>3.82</v>
      </c>
      <c r="AF45">
        <f t="shared" si="18"/>
        <v>533.33000000000004</v>
      </c>
      <c r="AH45" s="1">
        <v>0.69555900000000004</v>
      </c>
      <c r="AI45" s="8">
        <v>1.0900000000000001</v>
      </c>
      <c r="AJ45">
        <f t="shared" si="19"/>
        <v>534.33000000000004</v>
      </c>
      <c r="AL45" s="1">
        <v>0.72734900000000002</v>
      </c>
      <c r="AM45" s="1">
        <v>-3.06</v>
      </c>
      <c r="AN45">
        <f t="shared" si="20"/>
        <v>535.2700000000001</v>
      </c>
      <c r="AT45" s="61">
        <f t="shared" si="72"/>
        <v>0</v>
      </c>
      <c r="AU45" s="43">
        <f t="shared" si="2"/>
        <v>0</v>
      </c>
      <c r="AV45" s="35">
        <f t="shared" si="73"/>
        <v>0</v>
      </c>
      <c r="AW45" s="36">
        <f t="shared" si="21"/>
        <v>0</v>
      </c>
      <c r="AX45" s="35">
        <f t="shared" si="74"/>
        <v>0</v>
      </c>
      <c r="AY45" s="62">
        <f t="shared" si="75"/>
        <v>0</v>
      </c>
      <c r="AZ45" s="61">
        <f t="shared" si="76"/>
        <v>0</v>
      </c>
      <c r="BA45" s="43">
        <f t="shared" si="7"/>
        <v>0</v>
      </c>
      <c r="BB45" s="35">
        <f t="shared" si="71"/>
        <v>0</v>
      </c>
      <c r="BC45" s="36">
        <f t="shared" si="23"/>
        <v>0</v>
      </c>
      <c r="BD45" s="35">
        <f t="shared" si="24"/>
        <v>0</v>
      </c>
      <c r="BE45" s="62">
        <f t="shared" si="25"/>
        <v>0</v>
      </c>
      <c r="BF45" s="61">
        <f t="shared" si="26"/>
        <v>0</v>
      </c>
      <c r="BG45" s="43">
        <f t="shared" si="8"/>
        <v>0</v>
      </c>
      <c r="BH45" s="35">
        <f t="shared" si="27"/>
        <v>0</v>
      </c>
      <c r="BI45" s="36">
        <f t="shared" si="28"/>
        <v>0</v>
      </c>
      <c r="BJ45" s="35">
        <f t="shared" si="29"/>
        <v>0</v>
      </c>
      <c r="BK45" s="62">
        <f t="shared" si="30"/>
        <v>0</v>
      </c>
      <c r="BL45" s="61">
        <f t="shared" si="31"/>
        <v>0</v>
      </c>
      <c r="BM45" s="43">
        <f t="shared" si="32"/>
        <v>0</v>
      </c>
      <c r="BN45" s="35">
        <f t="shared" si="33"/>
        <v>0</v>
      </c>
      <c r="BO45" s="36">
        <f t="shared" si="34"/>
        <v>0</v>
      </c>
      <c r="BP45" s="35">
        <f t="shared" si="35"/>
        <v>0</v>
      </c>
      <c r="BQ45" s="62">
        <f t="shared" si="36"/>
        <v>0</v>
      </c>
      <c r="BR45" s="61">
        <f t="shared" si="37"/>
        <v>0</v>
      </c>
      <c r="BS45" s="43">
        <f t="shared" si="38"/>
        <v>0</v>
      </c>
      <c r="BT45" s="35">
        <f t="shared" si="39"/>
        <v>0</v>
      </c>
      <c r="BU45" s="36">
        <f t="shared" si="40"/>
        <v>0</v>
      </c>
      <c r="BV45" s="35">
        <f t="shared" si="41"/>
        <v>0</v>
      </c>
      <c r="BW45" s="62">
        <f t="shared" si="42"/>
        <v>0</v>
      </c>
      <c r="BX45" s="61">
        <f t="shared" si="43"/>
        <v>0</v>
      </c>
      <c r="BY45" s="43">
        <f t="shared" si="44"/>
        <v>0</v>
      </c>
      <c r="BZ45" s="35">
        <f t="shared" si="45"/>
        <v>0</v>
      </c>
      <c r="CA45" s="36">
        <f t="shared" si="46"/>
        <v>0</v>
      </c>
      <c r="CB45" s="35">
        <f t="shared" si="47"/>
        <v>0</v>
      </c>
      <c r="CC45" s="62">
        <f t="shared" si="48"/>
        <v>0</v>
      </c>
      <c r="CD45" s="61">
        <f t="shared" si="49"/>
        <v>0</v>
      </c>
      <c r="CE45" s="43">
        <f t="shared" si="9"/>
        <v>0</v>
      </c>
      <c r="CF45" s="35">
        <f t="shared" si="50"/>
        <v>0</v>
      </c>
      <c r="CG45" s="36">
        <f t="shared" si="51"/>
        <v>0</v>
      </c>
      <c r="CH45" s="35">
        <f t="shared" si="52"/>
        <v>0</v>
      </c>
      <c r="CI45" s="62">
        <f t="shared" si="70"/>
        <v>0</v>
      </c>
      <c r="CJ45" s="61">
        <f t="shared" si="53"/>
        <v>0</v>
      </c>
      <c r="CK45" s="43">
        <f t="shared" si="54"/>
        <v>0</v>
      </c>
      <c r="CL45" s="35">
        <f t="shared" si="55"/>
        <v>0</v>
      </c>
      <c r="CM45" s="36">
        <f t="shared" si="56"/>
        <v>0</v>
      </c>
      <c r="CN45" s="35">
        <f t="shared" si="57"/>
        <v>0</v>
      </c>
      <c r="CO45" s="62">
        <f t="shared" si="58"/>
        <v>0</v>
      </c>
      <c r="CP45" s="61">
        <f t="shared" si="59"/>
        <v>0</v>
      </c>
      <c r="CQ45" s="43">
        <f t="shared" si="60"/>
        <v>0</v>
      </c>
      <c r="CR45" s="35">
        <f t="shared" si="61"/>
        <v>0</v>
      </c>
      <c r="CS45" s="43">
        <f t="shared" si="62"/>
        <v>0</v>
      </c>
      <c r="CT45" s="43">
        <f t="shared" si="10"/>
        <v>0</v>
      </c>
      <c r="CU45" s="62">
        <f t="shared" si="63"/>
        <v>0</v>
      </c>
      <c r="CV45" s="61">
        <f t="shared" si="64"/>
        <v>0</v>
      </c>
      <c r="CW45" s="43">
        <f t="shared" si="65"/>
        <v>0</v>
      </c>
      <c r="CX45" s="35">
        <f t="shared" si="66"/>
        <v>0</v>
      </c>
      <c r="CY45" s="36">
        <f t="shared" si="67"/>
        <v>0</v>
      </c>
      <c r="CZ45" s="35">
        <f t="shared" si="68"/>
        <v>0</v>
      </c>
      <c r="DA45" s="62">
        <f t="shared" si="69"/>
        <v>0</v>
      </c>
    </row>
    <row r="46" spans="2:105" x14ac:dyDescent="0.3">
      <c r="B46" s="1">
        <v>0.63562200000000002</v>
      </c>
      <c r="C46" s="1">
        <v>-7.5</v>
      </c>
      <c r="D46">
        <f t="shared" si="11"/>
        <v>477.44</v>
      </c>
      <c r="F46" s="1">
        <v>0.62615600000000005</v>
      </c>
      <c r="G46" s="1">
        <v>-4.72</v>
      </c>
      <c r="H46">
        <f t="shared" si="12"/>
        <v>478.09999999999997</v>
      </c>
      <c r="J46" s="1">
        <v>0.62257399999999996</v>
      </c>
      <c r="K46" s="1">
        <v>-17.62</v>
      </c>
      <c r="L46">
        <f t="shared" si="13"/>
        <v>478.46999999999997</v>
      </c>
      <c r="N46" s="1">
        <v>0.61958599999999997</v>
      </c>
      <c r="O46" s="1">
        <v>-30.69</v>
      </c>
      <c r="P46">
        <f t="shared" si="14"/>
        <v>465.4</v>
      </c>
      <c r="R46" s="1">
        <v>0.62329100000000004</v>
      </c>
      <c r="S46" s="1">
        <v>-3.75</v>
      </c>
      <c r="T46">
        <f t="shared" si="15"/>
        <v>514.74</v>
      </c>
      <c r="V46" s="1">
        <v>0.64313399999999998</v>
      </c>
      <c r="W46" s="8">
        <v>5.74</v>
      </c>
      <c r="X46">
        <f t="shared" si="16"/>
        <v>527.6</v>
      </c>
      <c r="Y46" s="9"/>
      <c r="Z46" s="8">
        <v>0.66635699999999998</v>
      </c>
      <c r="AA46" s="8">
        <v>3.6</v>
      </c>
      <c r="AB46">
        <f t="shared" si="17"/>
        <v>529.39</v>
      </c>
      <c r="AC46" s="9"/>
      <c r="AD46" s="8">
        <v>0.68850999999999996</v>
      </c>
      <c r="AE46" s="8">
        <v>1.65</v>
      </c>
      <c r="AF46">
        <f t="shared" si="18"/>
        <v>531.16</v>
      </c>
      <c r="AH46" s="1">
        <v>0.71138800000000002</v>
      </c>
      <c r="AI46" s="1">
        <v>-1.1499999999999999</v>
      </c>
      <c r="AJ46">
        <f t="shared" si="19"/>
        <v>532.09</v>
      </c>
      <c r="AL46" s="1">
        <v>0.74390199999999995</v>
      </c>
      <c r="AM46" s="1">
        <v>-5.44</v>
      </c>
      <c r="AN46">
        <f t="shared" si="20"/>
        <v>532.89</v>
      </c>
      <c r="AT46" s="61">
        <f t="shared" si="72"/>
        <v>0</v>
      </c>
      <c r="AU46" s="43">
        <f t="shared" si="2"/>
        <v>0</v>
      </c>
      <c r="AV46" s="35">
        <f t="shared" si="73"/>
        <v>0</v>
      </c>
      <c r="AW46" s="36">
        <f t="shared" si="21"/>
        <v>0</v>
      </c>
      <c r="AX46" s="35">
        <f t="shared" si="74"/>
        <v>0</v>
      </c>
      <c r="AY46" s="62">
        <f t="shared" si="75"/>
        <v>0</v>
      </c>
      <c r="AZ46" s="61">
        <f t="shared" si="76"/>
        <v>0</v>
      </c>
      <c r="BA46" s="43">
        <f t="shared" si="7"/>
        <v>0</v>
      </c>
      <c r="BB46" s="35">
        <f t="shared" si="71"/>
        <v>0</v>
      </c>
      <c r="BC46" s="36">
        <f t="shared" si="23"/>
        <v>0</v>
      </c>
      <c r="BD46" s="35">
        <f t="shared" si="24"/>
        <v>0</v>
      </c>
      <c r="BE46" s="62">
        <f t="shared" si="25"/>
        <v>0</v>
      </c>
      <c r="BF46" s="61">
        <f t="shared" si="26"/>
        <v>0</v>
      </c>
      <c r="BG46" s="43">
        <f t="shared" si="8"/>
        <v>0</v>
      </c>
      <c r="BH46" s="35">
        <f t="shared" si="27"/>
        <v>0</v>
      </c>
      <c r="BI46" s="36">
        <f t="shared" si="28"/>
        <v>0</v>
      </c>
      <c r="BJ46" s="35">
        <f t="shared" si="29"/>
        <v>0</v>
      </c>
      <c r="BK46" s="62">
        <f t="shared" si="30"/>
        <v>0</v>
      </c>
      <c r="BL46" s="61">
        <f t="shared" si="31"/>
        <v>0</v>
      </c>
      <c r="BM46" s="43">
        <f t="shared" si="32"/>
        <v>0</v>
      </c>
      <c r="BN46" s="35">
        <f t="shared" si="33"/>
        <v>0</v>
      </c>
      <c r="BO46" s="36">
        <f t="shared" si="34"/>
        <v>0</v>
      </c>
      <c r="BP46" s="35">
        <f t="shared" si="35"/>
        <v>0</v>
      </c>
      <c r="BQ46" s="62">
        <f t="shared" si="36"/>
        <v>0</v>
      </c>
      <c r="BR46" s="61">
        <f t="shared" si="37"/>
        <v>0</v>
      </c>
      <c r="BS46" s="43">
        <f t="shared" si="38"/>
        <v>0</v>
      </c>
      <c r="BT46" s="35">
        <f t="shared" si="39"/>
        <v>0</v>
      </c>
      <c r="BU46" s="36">
        <f t="shared" si="40"/>
        <v>0</v>
      </c>
      <c r="BV46" s="35">
        <f t="shared" si="41"/>
        <v>0</v>
      </c>
      <c r="BW46" s="62">
        <f t="shared" si="42"/>
        <v>0</v>
      </c>
      <c r="BX46" s="61">
        <f t="shared" si="43"/>
        <v>0</v>
      </c>
      <c r="BY46" s="43">
        <f t="shared" si="44"/>
        <v>0</v>
      </c>
      <c r="BZ46" s="35">
        <f t="shared" si="45"/>
        <v>0</v>
      </c>
      <c r="CA46" s="36">
        <f t="shared" si="46"/>
        <v>0</v>
      </c>
      <c r="CB46" s="35">
        <f t="shared" si="47"/>
        <v>0</v>
      </c>
      <c r="CC46" s="62">
        <f t="shared" si="48"/>
        <v>0</v>
      </c>
      <c r="CD46" s="61">
        <f t="shared" si="49"/>
        <v>0</v>
      </c>
      <c r="CE46" s="43">
        <f t="shared" si="9"/>
        <v>0</v>
      </c>
      <c r="CF46" s="35">
        <f t="shared" si="50"/>
        <v>0</v>
      </c>
      <c r="CG46" s="36">
        <f t="shared" si="51"/>
        <v>0</v>
      </c>
      <c r="CH46" s="35">
        <f t="shared" si="52"/>
        <v>0</v>
      </c>
      <c r="CI46" s="62">
        <f t="shared" si="70"/>
        <v>0</v>
      </c>
      <c r="CJ46" s="61">
        <f t="shared" si="53"/>
        <v>0</v>
      </c>
      <c r="CK46" s="43">
        <f t="shared" si="54"/>
        <v>0</v>
      </c>
      <c r="CL46" s="35">
        <f t="shared" si="55"/>
        <v>0</v>
      </c>
      <c r="CM46" s="36">
        <f t="shared" si="56"/>
        <v>0</v>
      </c>
      <c r="CN46" s="35">
        <f t="shared" si="57"/>
        <v>0</v>
      </c>
      <c r="CO46" s="62">
        <f t="shared" si="58"/>
        <v>0</v>
      </c>
      <c r="CP46" s="61">
        <f t="shared" si="59"/>
        <v>0</v>
      </c>
      <c r="CQ46" s="43">
        <f t="shared" si="60"/>
        <v>0</v>
      </c>
      <c r="CR46" s="35">
        <f t="shared" si="61"/>
        <v>0</v>
      </c>
      <c r="CS46" s="43">
        <f t="shared" si="62"/>
        <v>0</v>
      </c>
      <c r="CT46" s="43">
        <f t="shared" si="10"/>
        <v>0</v>
      </c>
      <c r="CU46" s="62">
        <f t="shared" si="63"/>
        <v>0</v>
      </c>
      <c r="CV46" s="61">
        <f t="shared" si="64"/>
        <v>0</v>
      </c>
      <c r="CW46" s="43">
        <f t="shared" si="65"/>
        <v>0</v>
      </c>
      <c r="CX46" s="35">
        <f t="shared" si="66"/>
        <v>0</v>
      </c>
      <c r="CY46" s="36">
        <f t="shared" si="67"/>
        <v>0</v>
      </c>
      <c r="CZ46" s="35">
        <f t="shared" si="68"/>
        <v>0</v>
      </c>
      <c r="DA46" s="62">
        <f t="shared" si="69"/>
        <v>0</v>
      </c>
    </row>
    <row r="47" spans="2:105" x14ac:dyDescent="0.3">
      <c r="B47" s="1">
        <v>0.64976500000000004</v>
      </c>
      <c r="C47" s="1">
        <v>-9.36</v>
      </c>
      <c r="D47">
        <f t="shared" si="11"/>
        <v>475.58</v>
      </c>
      <c r="F47" s="1">
        <v>0.64008900000000002</v>
      </c>
      <c r="G47" s="1">
        <v>-6.66</v>
      </c>
      <c r="H47">
        <f t="shared" si="12"/>
        <v>476.15999999999997</v>
      </c>
      <c r="J47" s="1">
        <v>0.63642699999999996</v>
      </c>
      <c r="K47" s="1">
        <v>-19.72</v>
      </c>
      <c r="L47">
        <f t="shared" si="13"/>
        <v>476.37</v>
      </c>
      <c r="N47" s="1">
        <v>0.63337200000000005</v>
      </c>
      <c r="O47" s="1">
        <v>-5.33</v>
      </c>
      <c r="P47">
        <f t="shared" si="14"/>
        <v>490.76</v>
      </c>
      <c r="R47" s="1">
        <v>0.63715999999999995</v>
      </c>
      <c r="S47" s="1">
        <v>-1.66</v>
      </c>
      <c r="T47">
        <f t="shared" si="15"/>
        <v>516.83000000000004</v>
      </c>
      <c r="V47" s="1">
        <v>0.65744499999999995</v>
      </c>
      <c r="W47" s="8">
        <v>6.64</v>
      </c>
      <c r="X47">
        <f t="shared" si="16"/>
        <v>528.5</v>
      </c>
      <c r="Y47" s="9"/>
      <c r="Z47" s="8">
        <v>0.68118400000000001</v>
      </c>
      <c r="AA47" s="8">
        <v>5.72</v>
      </c>
      <c r="AB47">
        <f t="shared" si="17"/>
        <v>531.51</v>
      </c>
      <c r="AC47" s="9"/>
      <c r="AD47" s="8">
        <v>0.70382999999999996</v>
      </c>
      <c r="AE47" s="8">
        <v>-0.45</v>
      </c>
      <c r="AF47">
        <f t="shared" si="18"/>
        <v>529.05999999999995</v>
      </c>
      <c r="AH47" s="1">
        <v>0.727217</v>
      </c>
      <c r="AI47" s="1">
        <v>-3.38</v>
      </c>
      <c r="AJ47">
        <f t="shared" si="19"/>
        <v>529.86</v>
      </c>
      <c r="AL47" s="1">
        <v>0.76045399999999996</v>
      </c>
      <c r="AM47" s="1">
        <v>-7.87</v>
      </c>
      <c r="AN47">
        <f t="shared" si="20"/>
        <v>530.46</v>
      </c>
      <c r="AT47" s="61">
        <f t="shared" si="72"/>
        <v>0</v>
      </c>
      <c r="AU47" s="43">
        <f t="shared" si="2"/>
        <v>0</v>
      </c>
      <c r="AV47" s="35">
        <f t="shared" si="73"/>
        <v>0</v>
      </c>
      <c r="AW47" s="36">
        <f t="shared" si="21"/>
        <v>0</v>
      </c>
      <c r="AX47" s="35">
        <f t="shared" si="74"/>
        <v>0</v>
      </c>
      <c r="AY47" s="62">
        <f t="shared" si="75"/>
        <v>0</v>
      </c>
      <c r="AZ47" s="61">
        <f t="shared" si="76"/>
        <v>0</v>
      </c>
      <c r="BA47" s="43">
        <f t="shared" si="7"/>
        <v>0</v>
      </c>
      <c r="BB47" s="35">
        <f t="shared" si="71"/>
        <v>0</v>
      </c>
      <c r="BC47" s="36">
        <f t="shared" si="23"/>
        <v>0</v>
      </c>
      <c r="BD47" s="35">
        <f t="shared" si="24"/>
        <v>0</v>
      </c>
      <c r="BE47" s="62">
        <f t="shared" si="25"/>
        <v>0</v>
      </c>
      <c r="BF47" s="61">
        <f t="shared" si="26"/>
        <v>0</v>
      </c>
      <c r="BG47" s="43">
        <f t="shared" si="8"/>
        <v>0</v>
      </c>
      <c r="BH47" s="35">
        <f t="shared" si="27"/>
        <v>0</v>
      </c>
      <c r="BI47" s="36">
        <f t="shared" si="28"/>
        <v>0</v>
      </c>
      <c r="BJ47" s="35">
        <f t="shared" si="29"/>
        <v>0</v>
      </c>
      <c r="BK47" s="62">
        <f t="shared" si="30"/>
        <v>0</v>
      </c>
      <c r="BL47" s="61">
        <f t="shared" si="31"/>
        <v>0</v>
      </c>
      <c r="BM47" s="43">
        <f t="shared" si="32"/>
        <v>0</v>
      </c>
      <c r="BN47" s="35">
        <f t="shared" si="33"/>
        <v>0</v>
      </c>
      <c r="BO47" s="36">
        <f t="shared" si="34"/>
        <v>0</v>
      </c>
      <c r="BP47" s="35">
        <f t="shared" si="35"/>
        <v>0</v>
      </c>
      <c r="BQ47" s="62">
        <f t="shared" si="36"/>
        <v>0</v>
      </c>
      <c r="BR47" s="61">
        <f t="shared" si="37"/>
        <v>0</v>
      </c>
      <c r="BS47" s="43">
        <f t="shared" si="38"/>
        <v>0</v>
      </c>
      <c r="BT47" s="35">
        <f t="shared" si="39"/>
        <v>0</v>
      </c>
      <c r="BU47" s="36">
        <f t="shared" si="40"/>
        <v>0</v>
      </c>
      <c r="BV47" s="35">
        <f t="shared" si="41"/>
        <v>0</v>
      </c>
      <c r="BW47" s="62">
        <f t="shared" si="42"/>
        <v>0</v>
      </c>
      <c r="BX47" s="61">
        <f t="shared" si="43"/>
        <v>0</v>
      </c>
      <c r="BY47" s="43">
        <f t="shared" si="44"/>
        <v>0</v>
      </c>
      <c r="BZ47" s="35">
        <f t="shared" si="45"/>
        <v>0</v>
      </c>
      <c r="CA47" s="36">
        <f t="shared" si="46"/>
        <v>0</v>
      </c>
      <c r="CB47" s="35">
        <f t="shared" si="47"/>
        <v>0</v>
      </c>
      <c r="CC47" s="62">
        <f t="shared" si="48"/>
        <v>0</v>
      </c>
      <c r="CD47" s="61">
        <f t="shared" si="49"/>
        <v>0</v>
      </c>
      <c r="CE47" s="43">
        <f t="shared" si="9"/>
        <v>0</v>
      </c>
      <c r="CF47" s="35">
        <f t="shared" si="50"/>
        <v>0</v>
      </c>
      <c r="CG47" s="36">
        <f t="shared" si="51"/>
        <v>0</v>
      </c>
      <c r="CH47" s="35">
        <f t="shared" si="52"/>
        <v>0</v>
      </c>
      <c r="CI47" s="62">
        <f t="shared" si="70"/>
        <v>0</v>
      </c>
      <c r="CJ47" s="61">
        <f t="shared" si="53"/>
        <v>0</v>
      </c>
      <c r="CK47" s="43">
        <f t="shared" si="54"/>
        <v>0</v>
      </c>
      <c r="CL47" s="35">
        <f t="shared" si="55"/>
        <v>0</v>
      </c>
      <c r="CM47" s="36">
        <f t="shared" si="56"/>
        <v>0</v>
      </c>
      <c r="CN47" s="35">
        <f t="shared" si="57"/>
        <v>0</v>
      </c>
      <c r="CO47" s="62">
        <f t="shared" si="58"/>
        <v>0</v>
      </c>
      <c r="CP47" s="61">
        <f t="shared" si="59"/>
        <v>0</v>
      </c>
      <c r="CQ47" s="43">
        <f t="shared" si="60"/>
        <v>0</v>
      </c>
      <c r="CR47" s="35">
        <f t="shared" si="61"/>
        <v>0</v>
      </c>
      <c r="CS47" s="43">
        <f t="shared" si="62"/>
        <v>0</v>
      </c>
      <c r="CT47" s="43">
        <f t="shared" si="10"/>
        <v>0</v>
      </c>
      <c r="CU47" s="62">
        <f t="shared" si="63"/>
        <v>0</v>
      </c>
      <c r="CV47" s="61">
        <f t="shared" si="64"/>
        <v>0</v>
      </c>
      <c r="CW47" s="43">
        <f t="shared" si="65"/>
        <v>0</v>
      </c>
      <c r="CX47" s="35">
        <f t="shared" si="66"/>
        <v>0</v>
      </c>
      <c r="CY47" s="36">
        <f t="shared" si="67"/>
        <v>0</v>
      </c>
      <c r="CZ47" s="35">
        <f t="shared" si="68"/>
        <v>0</v>
      </c>
      <c r="DA47" s="62">
        <f t="shared" si="69"/>
        <v>0</v>
      </c>
    </row>
    <row r="48" spans="2:105" x14ac:dyDescent="0.3">
      <c r="B48" s="1">
        <v>0.66390899999999997</v>
      </c>
      <c r="C48" s="1">
        <v>-11.22</v>
      </c>
      <c r="D48">
        <f t="shared" si="11"/>
        <v>473.71999999999997</v>
      </c>
      <c r="F48" s="1">
        <v>0.65402199999999999</v>
      </c>
      <c r="G48" s="1">
        <v>-8.69</v>
      </c>
      <c r="H48">
        <f t="shared" si="12"/>
        <v>474.13</v>
      </c>
      <c r="J48" s="1">
        <v>0.65027999999999997</v>
      </c>
      <c r="K48" s="1">
        <v>-21.82</v>
      </c>
      <c r="L48">
        <f t="shared" si="13"/>
        <v>474.27</v>
      </c>
      <c r="N48" s="1">
        <v>0.64715900000000004</v>
      </c>
      <c r="O48" s="1">
        <v>-3.31</v>
      </c>
      <c r="P48">
        <f t="shared" si="14"/>
        <v>492.78</v>
      </c>
      <c r="R48" s="1">
        <v>0.65102899999999997</v>
      </c>
      <c r="S48" s="8">
        <v>0.39</v>
      </c>
      <c r="T48">
        <f t="shared" si="15"/>
        <v>518.88</v>
      </c>
      <c r="V48" s="1">
        <v>0.67175600000000002</v>
      </c>
      <c r="W48" s="8">
        <v>4.38</v>
      </c>
      <c r="X48">
        <f t="shared" si="16"/>
        <v>526.24</v>
      </c>
      <c r="Y48" s="9"/>
      <c r="Z48" s="8">
        <v>0.69601100000000005</v>
      </c>
      <c r="AA48" s="8">
        <v>0.35</v>
      </c>
      <c r="AB48">
        <f t="shared" si="17"/>
        <v>526.14</v>
      </c>
      <c r="AC48" s="9"/>
      <c r="AD48" s="8">
        <v>0.71914999999999996</v>
      </c>
      <c r="AE48" s="8">
        <v>-2.66</v>
      </c>
      <c r="AF48">
        <f t="shared" si="18"/>
        <v>526.85</v>
      </c>
      <c r="AH48" s="1">
        <v>0.74304700000000001</v>
      </c>
      <c r="AI48" s="1">
        <v>-5.69</v>
      </c>
      <c r="AJ48">
        <f t="shared" si="19"/>
        <v>527.54999999999995</v>
      </c>
      <c r="AL48" s="1">
        <v>0.777007</v>
      </c>
      <c r="AM48" s="1">
        <v>-10.25</v>
      </c>
      <c r="AN48">
        <f t="shared" si="20"/>
        <v>528.08000000000004</v>
      </c>
      <c r="AT48" s="61">
        <f t="shared" si="72"/>
        <v>0</v>
      </c>
      <c r="AU48" s="43">
        <f t="shared" si="2"/>
        <v>0</v>
      </c>
      <c r="AV48" s="35">
        <f t="shared" si="73"/>
        <v>0</v>
      </c>
      <c r="AW48" s="36">
        <f t="shared" si="21"/>
        <v>0</v>
      </c>
      <c r="AX48" s="35">
        <f t="shared" si="74"/>
        <v>0</v>
      </c>
      <c r="AY48" s="62">
        <f t="shared" si="75"/>
        <v>0</v>
      </c>
      <c r="AZ48" s="61">
        <f t="shared" si="76"/>
        <v>0</v>
      </c>
      <c r="BA48" s="43">
        <f t="shared" si="7"/>
        <v>0</v>
      </c>
      <c r="BB48" s="35">
        <f t="shared" si="71"/>
        <v>0</v>
      </c>
      <c r="BC48" s="36">
        <f t="shared" si="23"/>
        <v>0</v>
      </c>
      <c r="BD48" s="35">
        <f t="shared" si="24"/>
        <v>0</v>
      </c>
      <c r="BE48" s="62">
        <f t="shared" si="25"/>
        <v>0</v>
      </c>
      <c r="BF48" s="61">
        <f t="shared" si="26"/>
        <v>0</v>
      </c>
      <c r="BG48" s="43">
        <f t="shared" si="8"/>
        <v>0</v>
      </c>
      <c r="BH48" s="35">
        <f t="shared" si="27"/>
        <v>0</v>
      </c>
      <c r="BI48" s="36">
        <f t="shared" si="28"/>
        <v>0</v>
      </c>
      <c r="BJ48" s="35">
        <f t="shared" si="29"/>
        <v>0</v>
      </c>
      <c r="BK48" s="62">
        <f t="shared" si="30"/>
        <v>0</v>
      </c>
      <c r="BL48" s="61">
        <f t="shared" si="31"/>
        <v>0</v>
      </c>
      <c r="BM48" s="43">
        <f t="shared" si="32"/>
        <v>0</v>
      </c>
      <c r="BN48" s="35">
        <f t="shared" si="33"/>
        <v>0</v>
      </c>
      <c r="BO48" s="36">
        <f t="shared" si="34"/>
        <v>0</v>
      </c>
      <c r="BP48" s="35">
        <f t="shared" si="35"/>
        <v>0</v>
      </c>
      <c r="BQ48" s="62">
        <f t="shared" si="36"/>
        <v>0</v>
      </c>
      <c r="BR48" s="61">
        <f t="shared" si="37"/>
        <v>0</v>
      </c>
      <c r="BS48" s="43">
        <f t="shared" si="38"/>
        <v>0</v>
      </c>
      <c r="BT48" s="35">
        <f t="shared" si="39"/>
        <v>0</v>
      </c>
      <c r="BU48" s="36">
        <f t="shared" si="40"/>
        <v>0</v>
      </c>
      <c r="BV48" s="35">
        <f t="shared" si="41"/>
        <v>0</v>
      </c>
      <c r="BW48" s="62">
        <f t="shared" si="42"/>
        <v>0</v>
      </c>
      <c r="BX48" s="61">
        <f t="shared" si="43"/>
        <v>0</v>
      </c>
      <c r="BY48" s="43">
        <f t="shared" si="44"/>
        <v>0</v>
      </c>
      <c r="BZ48" s="35">
        <f t="shared" si="45"/>
        <v>0</v>
      </c>
      <c r="CA48" s="36">
        <f t="shared" si="46"/>
        <v>0</v>
      </c>
      <c r="CB48" s="35">
        <f t="shared" si="47"/>
        <v>0</v>
      </c>
      <c r="CC48" s="62">
        <f t="shared" si="48"/>
        <v>0</v>
      </c>
      <c r="CD48" s="61">
        <f t="shared" si="49"/>
        <v>0</v>
      </c>
      <c r="CE48" s="43">
        <f t="shared" si="9"/>
        <v>0</v>
      </c>
      <c r="CF48" s="35">
        <f t="shared" si="50"/>
        <v>0</v>
      </c>
      <c r="CG48" s="36">
        <f t="shared" si="51"/>
        <v>0</v>
      </c>
      <c r="CH48" s="35">
        <f t="shared" si="52"/>
        <v>0</v>
      </c>
      <c r="CI48" s="62">
        <f t="shared" si="70"/>
        <v>0</v>
      </c>
      <c r="CJ48" s="61">
        <f t="shared" si="53"/>
        <v>0</v>
      </c>
      <c r="CK48" s="43">
        <f t="shared" si="54"/>
        <v>0</v>
      </c>
      <c r="CL48" s="35">
        <f t="shared" si="55"/>
        <v>0</v>
      </c>
      <c r="CM48" s="36">
        <f t="shared" si="56"/>
        <v>0</v>
      </c>
      <c r="CN48" s="35">
        <f t="shared" si="57"/>
        <v>0</v>
      </c>
      <c r="CO48" s="62">
        <f t="shared" si="58"/>
        <v>0</v>
      </c>
      <c r="CP48" s="61">
        <f t="shared" si="59"/>
        <v>0</v>
      </c>
      <c r="CQ48" s="43">
        <f t="shared" si="60"/>
        <v>0</v>
      </c>
      <c r="CR48" s="35">
        <f t="shared" si="61"/>
        <v>0</v>
      </c>
      <c r="CS48" s="43">
        <f t="shared" si="62"/>
        <v>0</v>
      </c>
      <c r="CT48" s="43">
        <f t="shared" si="10"/>
        <v>0</v>
      </c>
      <c r="CU48" s="62">
        <f t="shared" si="63"/>
        <v>0</v>
      </c>
      <c r="CV48" s="61">
        <f t="shared" si="64"/>
        <v>0</v>
      </c>
      <c r="CW48" s="43">
        <f t="shared" si="65"/>
        <v>0</v>
      </c>
      <c r="CX48" s="35">
        <f t="shared" si="66"/>
        <v>0</v>
      </c>
      <c r="CY48" s="36">
        <f t="shared" si="67"/>
        <v>0</v>
      </c>
      <c r="CZ48" s="35">
        <f t="shared" si="68"/>
        <v>0</v>
      </c>
      <c r="DA48" s="62">
        <f t="shared" si="69"/>
        <v>0</v>
      </c>
    </row>
    <row r="49" spans="2:105" x14ac:dyDescent="0.3">
      <c r="B49" s="1">
        <v>0.67805199999999999</v>
      </c>
      <c r="C49" s="1">
        <v>-13.08</v>
      </c>
      <c r="D49">
        <f t="shared" si="11"/>
        <v>471.86</v>
      </c>
      <c r="F49" s="1">
        <v>0.66795499999999997</v>
      </c>
      <c r="G49" s="1">
        <v>-10.68</v>
      </c>
      <c r="H49">
        <f t="shared" si="12"/>
        <v>472.14</v>
      </c>
      <c r="J49" s="1">
        <v>0.66413299999999997</v>
      </c>
      <c r="K49" s="1">
        <v>-23.92</v>
      </c>
      <c r="L49">
        <f t="shared" si="13"/>
        <v>472.16999999999996</v>
      </c>
      <c r="N49" s="1">
        <v>0.66094600000000003</v>
      </c>
      <c r="O49" s="1">
        <v>-1.27</v>
      </c>
      <c r="P49">
        <f t="shared" si="14"/>
        <v>494.82</v>
      </c>
      <c r="R49" s="1">
        <v>0.66489799999999999</v>
      </c>
      <c r="S49" s="8">
        <v>2.4700000000000002</v>
      </c>
      <c r="T49">
        <f t="shared" si="15"/>
        <v>520.96</v>
      </c>
      <c r="V49" s="1">
        <v>0.68606599999999995</v>
      </c>
      <c r="W49" s="8">
        <v>2.21</v>
      </c>
      <c r="X49">
        <f t="shared" si="16"/>
        <v>524.07000000000005</v>
      </c>
      <c r="Y49" s="9"/>
      <c r="Z49" s="8">
        <v>0.71083799999999997</v>
      </c>
      <c r="AA49" s="8">
        <v>-1.7</v>
      </c>
      <c r="AB49">
        <f t="shared" si="17"/>
        <v>524.08999999999992</v>
      </c>
      <c r="AC49" s="9"/>
      <c r="AD49" s="8">
        <v>0.73446999999999996</v>
      </c>
      <c r="AE49" s="8">
        <v>-4.79</v>
      </c>
      <c r="AF49">
        <f t="shared" si="18"/>
        <v>524.72</v>
      </c>
      <c r="AH49" s="1">
        <v>0.758876</v>
      </c>
      <c r="AI49" s="1">
        <v>-7.96</v>
      </c>
      <c r="AJ49">
        <f t="shared" si="19"/>
        <v>525.28</v>
      </c>
      <c r="AL49" s="1">
        <v>0.79356000000000004</v>
      </c>
      <c r="AM49" s="1">
        <v>-12.63</v>
      </c>
      <c r="AN49">
        <f t="shared" si="20"/>
        <v>525.70000000000005</v>
      </c>
      <c r="AT49" s="61">
        <f t="shared" si="72"/>
        <v>0</v>
      </c>
      <c r="AU49" s="43">
        <f t="shared" si="2"/>
        <v>0</v>
      </c>
      <c r="AV49" s="35">
        <f t="shared" si="73"/>
        <v>0</v>
      </c>
      <c r="AW49" s="36">
        <f t="shared" si="21"/>
        <v>0</v>
      </c>
      <c r="AX49" s="35">
        <f t="shared" si="74"/>
        <v>0</v>
      </c>
      <c r="AY49" s="62">
        <f t="shared" si="75"/>
        <v>0</v>
      </c>
      <c r="AZ49" s="61">
        <f t="shared" si="76"/>
        <v>0</v>
      </c>
      <c r="BA49" s="43">
        <f t="shared" si="7"/>
        <v>0</v>
      </c>
      <c r="BB49" s="35">
        <f t="shared" si="71"/>
        <v>0</v>
      </c>
      <c r="BC49" s="36">
        <f t="shared" si="23"/>
        <v>0</v>
      </c>
      <c r="BD49" s="35">
        <f t="shared" si="24"/>
        <v>0</v>
      </c>
      <c r="BE49" s="62">
        <f t="shared" si="25"/>
        <v>0</v>
      </c>
      <c r="BF49" s="61">
        <f t="shared" si="26"/>
        <v>0</v>
      </c>
      <c r="BG49" s="43">
        <f t="shared" si="8"/>
        <v>0</v>
      </c>
      <c r="BH49" s="35">
        <f t="shared" si="27"/>
        <v>0</v>
      </c>
      <c r="BI49" s="36">
        <f t="shared" si="28"/>
        <v>0</v>
      </c>
      <c r="BJ49" s="35">
        <f t="shared" si="29"/>
        <v>0</v>
      </c>
      <c r="BK49" s="62">
        <f t="shared" si="30"/>
        <v>0</v>
      </c>
      <c r="BL49" s="61">
        <f t="shared" si="31"/>
        <v>0</v>
      </c>
      <c r="BM49" s="43">
        <f t="shared" si="32"/>
        <v>0</v>
      </c>
      <c r="BN49" s="35">
        <f t="shared" si="33"/>
        <v>0</v>
      </c>
      <c r="BO49" s="36">
        <f t="shared" si="34"/>
        <v>0</v>
      </c>
      <c r="BP49" s="35">
        <f t="shared" si="35"/>
        <v>0</v>
      </c>
      <c r="BQ49" s="62">
        <f t="shared" si="36"/>
        <v>0</v>
      </c>
      <c r="BR49" s="61">
        <f t="shared" si="37"/>
        <v>0</v>
      </c>
      <c r="BS49" s="43">
        <f t="shared" si="38"/>
        <v>0</v>
      </c>
      <c r="BT49" s="35">
        <f t="shared" si="39"/>
        <v>0</v>
      </c>
      <c r="BU49" s="36">
        <f t="shared" si="40"/>
        <v>0</v>
      </c>
      <c r="BV49" s="35">
        <f t="shared" si="41"/>
        <v>0</v>
      </c>
      <c r="BW49" s="62">
        <f t="shared" si="42"/>
        <v>0</v>
      </c>
      <c r="BX49" s="61">
        <f t="shared" si="43"/>
        <v>0</v>
      </c>
      <c r="BY49" s="43">
        <f t="shared" si="44"/>
        <v>0</v>
      </c>
      <c r="BZ49" s="35">
        <f t="shared" si="45"/>
        <v>0</v>
      </c>
      <c r="CA49" s="36">
        <f t="shared" si="46"/>
        <v>0</v>
      </c>
      <c r="CB49" s="35">
        <f t="shared" si="47"/>
        <v>0</v>
      </c>
      <c r="CC49" s="62">
        <f t="shared" si="48"/>
        <v>0</v>
      </c>
      <c r="CD49" s="61">
        <f t="shared" si="49"/>
        <v>0</v>
      </c>
      <c r="CE49" s="43">
        <f t="shared" si="9"/>
        <v>0</v>
      </c>
      <c r="CF49" s="35">
        <f t="shared" si="50"/>
        <v>0</v>
      </c>
      <c r="CG49" s="36">
        <f t="shared" si="51"/>
        <v>0</v>
      </c>
      <c r="CH49" s="35">
        <f t="shared" si="52"/>
        <v>0</v>
      </c>
      <c r="CI49" s="62">
        <f t="shared" si="70"/>
        <v>0</v>
      </c>
      <c r="CJ49" s="61">
        <f t="shared" si="53"/>
        <v>0</v>
      </c>
      <c r="CK49" s="43">
        <f t="shared" si="54"/>
        <v>0</v>
      </c>
      <c r="CL49" s="35">
        <f t="shared" si="55"/>
        <v>0</v>
      </c>
      <c r="CM49" s="36">
        <f t="shared" si="56"/>
        <v>0</v>
      </c>
      <c r="CN49" s="35">
        <f t="shared" si="57"/>
        <v>0</v>
      </c>
      <c r="CO49" s="62">
        <f t="shared" si="58"/>
        <v>0</v>
      </c>
      <c r="CP49" s="61">
        <f t="shared" si="59"/>
        <v>0</v>
      </c>
      <c r="CQ49" s="43">
        <f t="shared" si="60"/>
        <v>0</v>
      </c>
      <c r="CR49" s="35">
        <f t="shared" si="61"/>
        <v>0</v>
      </c>
      <c r="CS49" s="43">
        <f t="shared" si="62"/>
        <v>0</v>
      </c>
      <c r="CT49" s="43">
        <f t="shared" si="10"/>
        <v>0</v>
      </c>
      <c r="CU49" s="62">
        <f t="shared" si="63"/>
        <v>0</v>
      </c>
      <c r="CV49" s="61">
        <f t="shared" si="64"/>
        <v>0</v>
      </c>
      <c r="CW49" s="43">
        <f t="shared" si="65"/>
        <v>0</v>
      </c>
      <c r="CX49" s="35">
        <f t="shared" si="66"/>
        <v>0</v>
      </c>
      <c r="CY49" s="36">
        <f t="shared" si="67"/>
        <v>0</v>
      </c>
      <c r="CZ49" s="35">
        <f t="shared" si="68"/>
        <v>0</v>
      </c>
      <c r="DA49" s="62">
        <f t="shared" si="69"/>
        <v>0</v>
      </c>
    </row>
    <row r="50" spans="2:105" x14ac:dyDescent="0.3">
      <c r="B50" s="1">
        <v>0.69216699999999998</v>
      </c>
      <c r="C50" s="1">
        <v>-14.91</v>
      </c>
      <c r="D50">
        <f t="shared" si="11"/>
        <v>470.03</v>
      </c>
      <c r="F50" s="1">
        <v>0.68185899999999999</v>
      </c>
      <c r="G50" s="1">
        <v>-12.64</v>
      </c>
      <c r="H50">
        <f t="shared" si="12"/>
        <v>470.18</v>
      </c>
      <c r="J50" s="1">
        <v>0.67795799999999995</v>
      </c>
      <c r="K50" s="1">
        <v>0.68</v>
      </c>
      <c r="L50">
        <f t="shared" si="13"/>
        <v>496.77</v>
      </c>
      <c r="N50" s="1">
        <v>0.67470399999999997</v>
      </c>
      <c r="O50" s="1">
        <v>0.56000000000000005</v>
      </c>
      <c r="P50">
        <f t="shared" si="14"/>
        <v>496.65</v>
      </c>
      <c r="R50" s="1">
        <v>0.67873899999999998</v>
      </c>
      <c r="S50" s="8">
        <v>3.82</v>
      </c>
      <c r="T50">
        <f t="shared" si="15"/>
        <v>522.31000000000006</v>
      </c>
      <c r="V50" s="1">
        <v>0.70034799999999997</v>
      </c>
      <c r="W50" s="8">
        <v>-0.01</v>
      </c>
      <c r="X50">
        <f t="shared" si="16"/>
        <v>521.85</v>
      </c>
      <c r="Y50" s="9"/>
      <c r="Z50" s="8">
        <v>0.72563599999999995</v>
      </c>
      <c r="AA50" s="8">
        <v>-3.72</v>
      </c>
      <c r="AB50">
        <f t="shared" si="17"/>
        <v>522.06999999999994</v>
      </c>
      <c r="AC50" s="9"/>
      <c r="AD50" s="8">
        <v>0.74975999999999998</v>
      </c>
      <c r="AE50" s="8">
        <v>-6.91</v>
      </c>
      <c r="AF50">
        <f t="shared" si="18"/>
        <v>522.6</v>
      </c>
      <c r="AH50" s="1">
        <v>0.77467299999999994</v>
      </c>
      <c r="AI50" s="1">
        <v>-10.23</v>
      </c>
      <c r="AJ50">
        <f t="shared" si="19"/>
        <v>523.01</v>
      </c>
      <c r="AL50" s="1">
        <v>0.81007899999999999</v>
      </c>
      <c r="AM50" s="1">
        <v>-15</v>
      </c>
      <c r="AN50">
        <f t="shared" si="20"/>
        <v>523.33000000000004</v>
      </c>
      <c r="AT50" s="61">
        <f t="shared" si="72"/>
        <v>0</v>
      </c>
      <c r="AU50" s="43">
        <f t="shared" si="2"/>
        <v>0</v>
      </c>
      <c r="AV50" s="35">
        <f t="shared" si="73"/>
        <v>0</v>
      </c>
      <c r="AW50" s="36">
        <f t="shared" si="21"/>
        <v>0</v>
      </c>
      <c r="AX50" s="35">
        <f t="shared" si="74"/>
        <v>0</v>
      </c>
      <c r="AY50" s="62">
        <f t="shared" si="75"/>
        <v>0</v>
      </c>
      <c r="AZ50" s="61">
        <f t="shared" si="76"/>
        <v>0</v>
      </c>
      <c r="BA50" s="43">
        <f t="shared" si="7"/>
        <v>0</v>
      </c>
      <c r="BB50" s="35">
        <f t="shared" si="71"/>
        <v>0</v>
      </c>
      <c r="BC50" s="36">
        <f t="shared" si="23"/>
        <v>0</v>
      </c>
      <c r="BD50" s="35">
        <f t="shared" si="24"/>
        <v>0</v>
      </c>
      <c r="BE50" s="62">
        <f t="shared" si="25"/>
        <v>0</v>
      </c>
      <c r="BF50" s="61">
        <f t="shared" si="26"/>
        <v>0</v>
      </c>
      <c r="BG50" s="43">
        <f t="shared" si="8"/>
        <v>0</v>
      </c>
      <c r="BH50" s="35">
        <f t="shared" si="27"/>
        <v>0</v>
      </c>
      <c r="BI50" s="36">
        <f t="shared" si="28"/>
        <v>0</v>
      </c>
      <c r="BJ50" s="35">
        <f t="shared" si="29"/>
        <v>0</v>
      </c>
      <c r="BK50" s="62">
        <f t="shared" si="30"/>
        <v>0</v>
      </c>
      <c r="BL50" s="61">
        <f t="shared" si="31"/>
        <v>0</v>
      </c>
      <c r="BM50" s="43">
        <f t="shared" si="32"/>
        <v>0</v>
      </c>
      <c r="BN50" s="35">
        <f t="shared" si="33"/>
        <v>0</v>
      </c>
      <c r="BO50" s="36">
        <f t="shared" si="34"/>
        <v>0</v>
      </c>
      <c r="BP50" s="35">
        <f t="shared" si="35"/>
        <v>0</v>
      </c>
      <c r="BQ50" s="62">
        <f t="shared" si="36"/>
        <v>0</v>
      </c>
      <c r="BR50" s="61">
        <f t="shared" si="37"/>
        <v>0</v>
      </c>
      <c r="BS50" s="43">
        <f t="shared" si="38"/>
        <v>0</v>
      </c>
      <c r="BT50" s="35">
        <f t="shared" si="39"/>
        <v>0</v>
      </c>
      <c r="BU50" s="36">
        <f t="shared" si="40"/>
        <v>0</v>
      </c>
      <c r="BV50" s="35">
        <f t="shared" si="41"/>
        <v>0</v>
      </c>
      <c r="BW50" s="62">
        <f t="shared" si="42"/>
        <v>0</v>
      </c>
      <c r="BX50" s="61">
        <f t="shared" si="43"/>
        <v>0</v>
      </c>
      <c r="BY50" s="43">
        <f t="shared" si="44"/>
        <v>0</v>
      </c>
      <c r="BZ50" s="35">
        <f t="shared" si="45"/>
        <v>0</v>
      </c>
      <c r="CA50" s="36">
        <f t="shared" si="46"/>
        <v>0</v>
      </c>
      <c r="CB50" s="35">
        <f t="shared" si="47"/>
        <v>0</v>
      </c>
      <c r="CC50" s="62">
        <f t="shared" si="48"/>
        <v>0</v>
      </c>
      <c r="CD50" s="61">
        <f t="shared" si="49"/>
        <v>0</v>
      </c>
      <c r="CE50" s="43">
        <f t="shared" si="9"/>
        <v>0</v>
      </c>
      <c r="CF50" s="35">
        <f t="shared" si="50"/>
        <v>0</v>
      </c>
      <c r="CG50" s="36">
        <f t="shared" si="51"/>
        <v>0</v>
      </c>
      <c r="CH50" s="35">
        <f t="shared" si="52"/>
        <v>0</v>
      </c>
      <c r="CI50" s="62">
        <f t="shared" si="70"/>
        <v>0</v>
      </c>
      <c r="CJ50" s="61">
        <f t="shared" si="53"/>
        <v>0</v>
      </c>
      <c r="CK50" s="43">
        <f t="shared" si="54"/>
        <v>0</v>
      </c>
      <c r="CL50" s="35">
        <f t="shared" si="55"/>
        <v>0</v>
      </c>
      <c r="CM50" s="36">
        <f t="shared" si="56"/>
        <v>0</v>
      </c>
      <c r="CN50" s="35">
        <f t="shared" si="57"/>
        <v>0</v>
      </c>
      <c r="CO50" s="62">
        <f t="shared" si="58"/>
        <v>0</v>
      </c>
      <c r="CP50" s="61">
        <f t="shared" si="59"/>
        <v>0</v>
      </c>
      <c r="CQ50" s="43">
        <f t="shared" si="60"/>
        <v>0</v>
      </c>
      <c r="CR50" s="35">
        <f t="shared" si="61"/>
        <v>0</v>
      </c>
      <c r="CS50" s="43">
        <f t="shared" si="62"/>
        <v>0</v>
      </c>
      <c r="CT50" s="43">
        <f t="shared" si="10"/>
        <v>0</v>
      </c>
      <c r="CU50" s="62">
        <f t="shared" si="63"/>
        <v>0</v>
      </c>
      <c r="CV50" s="61">
        <f t="shared" si="64"/>
        <v>0</v>
      </c>
      <c r="CW50" s="43">
        <f t="shared" si="65"/>
        <v>0</v>
      </c>
      <c r="CX50" s="35">
        <f t="shared" si="66"/>
        <v>0</v>
      </c>
      <c r="CY50" s="36">
        <f t="shared" si="67"/>
        <v>0</v>
      </c>
      <c r="CZ50" s="35">
        <f t="shared" si="68"/>
        <v>0</v>
      </c>
      <c r="DA50" s="62">
        <f t="shared" si="69"/>
        <v>0</v>
      </c>
    </row>
    <row r="51" spans="2:105" x14ac:dyDescent="0.3">
      <c r="B51" s="1">
        <v>0.70630999999999999</v>
      </c>
      <c r="C51" s="1">
        <v>-16.809999999999999</v>
      </c>
      <c r="D51">
        <f t="shared" si="11"/>
        <v>468.13</v>
      </c>
      <c r="F51" s="1">
        <v>0.69579199999999997</v>
      </c>
      <c r="G51" s="1">
        <v>-14.6</v>
      </c>
      <c r="H51">
        <f t="shared" si="12"/>
        <v>468.21999999999997</v>
      </c>
      <c r="J51" s="1">
        <v>0.69181199999999998</v>
      </c>
      <c r="K51" s="8">
        <v>2.72</v>
      </c>
      <c r="L51">
        <f t="shared" si="13"/>
        <v>498.81</v>
      </c>
      <c r="N51" s="1">
        <v>0.68849099999999996</v>
      </c>
      <c r="O51" s="8">
        <v>2.68</v>
      </c>
      <c r="P51">
        <f t="shared" si="14"/>
        <v>498.77</v>
      </c>
      <c r="R51" s="1">
        <v>0.692608</v>
      </c>
      <c r="S51" s="8">
        <v>1.8</v>
      </c>
      <c r="T51">
        <f t="shared" si="15"/>
        <v>520.29</v>
      </c>
      <c r="V51" s="1">
        <v>0.71465800000000002</v>
      </c>
      <c r="W51" s="8">
        <v>-2.2799999999999998</v>
      </c>
      <c r="X51">
        <f t="shared" si="16"/>
        <v>519.58000000000004</v>
      </c>
      <c r="Y51" s="9"/>
      <c r="Z51" s="8">
        <v>0.74046299999999998</v>
      </c>
      <c r="AA51" s="8">
        <v>-5.75</v>
      </c>
      <c r="AB51">
        <f t="shared" si="17"/>
        <v>520.04</v>
      </c>
      <c r="AC51" s="9"/>
      <c r="AD51" s="8">
        <v>0.76507999999999998</v>
      </c>
      <c r="AE51" s="8">
        <v>-9.0500000000000007</v>
      </c>
      <c r="AF51">
        <f t="shared" si="18"/>
        <v>520.46</v>
      </c>
      <c r="AH51" s="1">
        <v>0.79050200000000004</v>
      </c>
      <c r="AI51" s="1">
        <v>-12.49</v>
      </c>
      <c r="AJ51">
        <f t="shared" si="19"/>
        <v>520.75</v>
      </c>
      <c r="AL51" s="1">
        <v>0.82663200000000003</v>
      </c>
      <c r="AM51" s="1">
        <v>-17.38</v>
      </c>
      <c r="AN51">
        <f t="shared" si="20"/>
        <v>520.95000000000005</v>
      </c>
      <c r="AP51" s="15"/>
      <c r="AQ51" s="15"/>
      <c r="AT51" s="61">
        <f t="shared" si="72"/>
        <v>0</v>
      </c>
      <c r="AU51" s="43">
        <f t="shared" si="2"/>
        <v>0</v>
      </c>
      <c r="AV51" s="35">
        <f t="shared" si="73"/>
        <v>0</v>
      </c>
      <c r="AW51" s="36">
        <f t="shared" si="21"/>
        <v>0</v>
      </c>
      <c r="AX51" s="35">
        <f t="shared" si="74"/>
        <v>0</v>
      </c>
      <c r="AY51" s="62">
        <f t="shared" si="75"/>
        <v>0</v>
      </c>
      <c r="AZ51" s="61">
        <f t="shared" si="76"/>
        <v>0</v>
      </c>
      <c r="BA51" s="43">
        <f t="shared" si="7"/>
        <v>0</v>
      </c>
      <c r="BB51" s="35">
        <f t="shared" si="71"/>
        <v>0</v>
      </c>
      <c r="BC51" s="36">
        <f t="shared" si="23"/>
        <v>0</v>
      </c>
      <c r="BD51" s="35">
        <f t="shared" si="24"/>
        <v>0</v>
      </c>
      <c r="BE51" s="62">
        <f t="shared" si="25"/>
        <v>0</v>
      </c>
      <c r="BF51" s="61">
        <f t="shared" si="26"/>
        <v>0</v>
      </c>
      <c r="BG51" s="43">
        <f t="shared" si="8"/>
        <v>0</v>
      </c>
      <c r="BH51" s="35">
        <f t="shared" si="27"/>
        <v>0</v>
      </c>
      <c r="BI51" s="36">
        <f t="shared" si="28"/>
        <v>0</v>
      </c>
      <c r="BJ51" s="35">
        <f t="shared" si="29"/>
        <v>0</v>
      </c>
      <c r="BK51" s="62">
        <f t="shared" si="30"/>
        <v>0</v>
      </c>
      <c r="BL51" s="61">
        <f t="shared" si="31"/>
        <v>0</v>
      </c>
      <c r="BM51" s="43">
        <f t="shared" si="32"/>
        <v>0</v>
      </c>
      <c r="BN51" s="35">
        <f t="shared" si="33"/>
        <v>0</v>
      </c>
      <c r="BO51" s="36">
        <f t="shared" si="34"/>
        <v>0</v>
      </c>
      <c r="BP51" s="35">
        <f t="shared" si="35"/>
        <v>0</v>
      </c>
      <c r="BQ51" s="62">
        <f t="shared" si="36"/>
        <v>0</v>
      </c>
      <c r="BR51" s="61">
        <f t="shared" si="37"/>
        <v>0</v>
      </c>
      <c r="BS51" s="43">
        <f t="shared" si="38"/>
        <v>0</v>
      </c>
      <c r="BT51" s="35">
        <f t="shared" si="39"/>
        <v>0</v>
      </c>
      <c r="BU51" s="36">
        <f t="shared" si="40"/>
        <v>0</v>
      </c>
      <c r="BV51" s="35">
        <f t="shared" si="41"/>
        <v>0</v>
      </c>
      <c r="BW51" s="62">
        <f t="shared" si="42"/>
        <v>0</v>
      </c>
      <c r="BX51" s="61">
        <f t="shared" si="43"/>
        <v>0</v>
      </c>
      <c r="BY51" s="43">
        <f t="shared" si="44"/>
        <v>0</v>
      </c>
      <c r="BZ51" s="35">
        <f t="shared" si="45"/>
        <v>0</v>
      </c>
      <c r="CA51" s="36">
        <f t="shared" si="46"/>
        <v>0</v>
      </c>
      <c r="CB51" s="35">
        <f t="shared" si="47"/>
        <v>0</v>
      </c>
      <c r="CC51" s="62">
        <f t="shared" si="48"/>
        <v>0</v>
      </c>
      <c r="CD51" s="61">
        <f t="shared" si="49"/>
        <v>0</v>
      </c>
      <c r="CE51" s="43">
        <f t="shared" si="9"/>
        <v>0</v>
      </c>
      <c r="CF51" s="35">
        <f t="shared" si="50"/>
        <v>0</v>
      </c>
      <c r="CG51" s="36">
        <f t="shared" si="51"/>
        <v>0</v>
      </c>
      <c r="CH51" s="35">
        <f t="shared" si="52"/>
        <v>0</v>
      </c>
      <c r="CI51" s="62">
        <f t="shared" si="70"/>
        <v>0</v>
      </c>
      <c r="CJ51" s="61">
        <f t="shared" si="53"/>
        <v>0</v>
      </c>
      <c r="CK51" s="43">
        <f t="shared" si="54"/>
        <v>0</v>
      </c>
      <c r="CL51" s="35">
        <f t="shared" si="55"/>
        <v>0</v>
      </c>
      <c r="CM51" s="36">
        <f t="shared" si="56"/>
        <v>0</v>
      </c>
      <c r="CN51" s="35">
        <f t="shared" si="57"/>
        <v>0</v>
      </c>
      <c r="CO51" s="62">
        <f t="shared" si="58"/>
        <v>0</v>
      </c>
      <c r="CP51" s="61">
        <f t="shared" si="59"/>
        <v>0</v>
      </c>
      <c r="CQ51" s="43">
        <f t="shared" si="60"/>
        <v>0</v>
      </c>
      <c r="CR51" s="35">
        <f t="shared" si="61"/>
        <v>0</v>
      </c>
      <c r="CS51" s="43">
        <f t="shared" si="62"/>
        <v>0</v>
      </c>
      <c r="CT51" s="43">
        <f t="shared" si="10"/>
        <v>0</v>
      </c>
      <c r="CU51" s="62">
        <f t="shared" si="63"/>
        <v>0</v>
      </c>
      <c r="CV51" s="61">
        <f t="shared" si="64"/>
        <v>0</v>
      </c>
      <c r="CW51" s="43">
        <f t="shared" si="65"/>
        <v>0</v>
      </c>
      <c r="CX51" s="35">
        <f t="shared" si="66"/>
        <v>0</v>
      </c>
      <c r="CY51" s="36">
        <f t="shared" si="67"/>
        <v>0</v>
      </c>
      <c r="CZ51" s="35">
        <f t="shared" si="68"/>
        <v>0</v>
      </c>
      <c r="DA51" s="62">
        <f t="shared" si="69"/>
        <v>0</v>
      </c>
    </row>
    <row r="52" spans="2:105" x14ac:dyDescent="0.3">
      <c r="B52" s="1">
        <v>0.72042499999999998</v>
      </c>
      <c r="C52" s="1">
        <v>-18.62</v>
      </c>
      <c r="D52">
        <f t="shared" si="11"/>
        <v>466.32</v>
      </c>
      <c r="F52" s="1">
        <v>0.70969700000000002</v>
      </c>
      <c r="G52" s="1">
        <v>-16.600000000000001</v>
      </c>
      <c r="H52">
        <f t="shared" si="12"/>
        <v>466.21999999999997</v>
      </c>
      <c r="J52" s="1">
        <v>0.70563699999999996</v>
      </c>
      <c r="K52" s="8">
        <v>4.74</v>
      </c>
      <c r="L52">
        <f t="shared" si="13"/>
        <v>500.83</v>
      </c>
      <c r="N52" s="1">
        <v>0.70224900000000001</v>
      </c>
      <c r="O52" s="8">
        <v>4.7300000000000004</v>
      </c>
      <c r="P52">
        <f t="shared" si="14"/>
        <v>500.82</v>
      </c>
      <c r="R52" s="1">
        <v>0.70644899999999999</v>
      </c>
      <c r="S52" s="8">
        <v>-0.28999999999999998</v>
      </c>
      <c r="T52">
        <f t="shared" si="15"/>
        <v>518.20000000000005</v>
      </c>
      <c r="V52" s="1">
        <v>0.72894000000000003</v>
      </c>
      <c r="W52" s="8">
        <v>-4.28</v>
      </c>
      <c r="X52">
        <f t="shared" si="16"/>
        <v>517.58000000000004</v>
      </c>
      <c r="Y52" s="9"/>
      <c r="Z52" s="8">
        <v>0.75526000000000004</v>
      </c>
      <c r="AA52" s="8">
        <v>-7.75</v>
      </c>
      <c r="AB52">
        <f t="shared" si="17"/>
        <v>518.04</v>
      </c>
      <c r="AC52" s="9"/>
      <c r="AD52" s="8">
        <v>0.78036899999999998</v>
      </c>
      <c r="AE52" s="8">
        <v>-11.2</v>
      </c>
      <c r="AF52">
        <f t="shared" si="18"/>
        <v>518.30999999999995</v>
      </c>
      <c r="AH52" s="1">
        <v>0.80630000000000002</v>
      </c>
      <c r="AI52" s="1">
        <v>-14.77</v>
      </c>
      <c r="AJ52">
        <f t="shared" si="19"/>
        <v>518.47</v>
      </c>
      <c r="AL52" s="1">
        <v>0.84315099999999998</v>
      </c>
      <c r="AM52" s="1">
        <v>-17.989999999999998</v>
      </c>
      <c r="AN52">
        <f t="shared" si="20"/>
        <v>520.34</v>
      </c>
      <c r="AP52" s="15"/>
      <c r="AQ52" s="15"/>
      <c r="AT52" s="61">
        <f t="shared" si="72"/>
        <v>0</v>
      </c>
      <c r="AU52" s="43">
        <f t="shared" si="2"/>
        <v>0</v>
      </c>
      <c r="AV52" s="35">
        <f t="shared" si="73"/>
        <v>0</v>
      </c>
      <c r="AW52" s="36">
        <f t="shared" si="21"/>
        <v>0</v>
      </c>
      <c r="AX52" s="35">
        <f t="shared" si="74"/>
        <v>0</v>
      </c>
      <c r="AY52" s="62">
        <f t="shared" si="75"/>
        <v>0</v>
      </c>
      <c r="AZ52" s="61">
        <f t="shared" si="76"/>
        <v>0</v>
      </c>
      <c r="BA52" s="43">
        <f t="shared" si="7"/>
        <v>0</v>
      </c>
      <c r="BB52" s="35">
        <f t="shared" si="71"/>
        <v>0</v>
      </c>
      <c r="BC52" s="36">
        <f t="shared" si="23"/>
        <v>0</v>
      </c>
      <c r="BD52" s="35">
        <f t="shared" si="24"/>
        <v>0</v>
      </c>
      <c r="BE52" s="62">
        <f t="shared" si="25"/>
        <v>0</v>
      </c>
      <c r="BF52" s="61">
        <f t="shared" si="26"/>
        <v>0</v>
      </c>
      <c r="BG52" s="43">
        <f t="shared" si="8"/>
        <v>0</v>
      </c>
      <c r="BH52" s="35">
        <f t="shared" si="27"/>
        <v>0</v>
      </c>
      <c r="BI52" s="36">
        <f t="shared" si="28"/>
        <v>0</v>
      </c>
      <c r="BJ52" s="35">
        <f t="shared" si="29"/>
        <v>0</v>
      </c>
      <c r="BK52" s="62">
        <f t="shared" si="30"/>
        <v>0</v>
      </c>
      <c r="BL52" s="61">
        <f t="shared" si="31"/>
        <v>0</v>
      </c>
      <c r="BM52" s="43">
        <f t="shared" si="32"/>
        <v>0</v>
      </c>
      <c r="BN52" s="35">
        <f t="shared" si="33"/>
        <v>0</v>
      </c>
      <c r="BO52" s="36">
        <f t="shared" si="34"/>
        <v>0</v>
      </c>
      <c r="BP52" s="35">
        <f t="shared" si="35"/>
        <v>0</v>
      </c>
      <c r="BQ52" s="62">
        <f t="shared" si="36"/>
        <v>0</v>
      </c>
      <c r="BR52" s="61">
        <f t="shared" si="37"/>
        <v>0</v>
      </c>
      <c r="BS52" s="43">
        <f t="shared" si="38"/>
        <v>0</v>
      </c>
      <c r="BT52" s="35">
        <f t="shared" si="39"/>
        <v>0</v>
      </c>
      <c r="BU52" s="36">
        <f t="shared" si="40"/>
        <v>0</v>
      </c>
      <c r="BV52" s="35">
        <f t="shared" si="41"/>
        <v>0</v>
      </c>
      <c r="BW52" s="62">
        <f t="shared" si="42"/>
        <v>0</v>
      </c>
      <c r="BX52" s="61">
        <f t="shared" si="43"/>
        <v>0</v>
      </c>
      <c r="BY52" s="43">
        <f t="shared" si="44"/>
        <v>0</v>
      </c>
      <c r="BZ52" s="35">
        <f t="shared" si="45"/>
        <v>0</v>
      </c>
      <c r="CA52" s="36">
        <f t="shared" si="46"/>
        <v>0</v>
      </c>
      <c r="CB52" s="35">
        <f t="shared" si="47"/>
        <v>0</v>
      </c>
      <c r="CC52" s="62">
        <f t="shared" si="48"/>
        <v>0</v>
      </c>
      <c r="CD52" s="61">
        <f t="shared" si="49"/>
        <v>0</v>
      </c>
      <c r="CE52" s="43">
        <f t="shared" si="9"/>
        <v>0</v>
      </c>
      <c r="CF52" s="35">
        <f t="shared" si="50"/>
        <v>0</v>
      </c>
      <c r="CG52" s="36">
        <f t="shared" si="51"/>
        <v>0</v>
      </c>
      <c r="CH52" s="35">
        <f t="shared" si="52"/>
        <v>0</v>
      </c>
      <c r="CI52" s="62">
        <f t="shared" si="70"/>
        <v>0</v>
      </c>
      <c r="CJ52" s="61">
        <f t="shared" si="53"/>
        <v>0</v>
      </c>
      <c r="CK52" s="43">
        <f t="shared" si="54"/>
        <v>0</v>
      </c>
      <c r="CL52" s="35">
        <f t="shared" si="55"/>
        <v>0</v>
      </c>
      <c r="CM52" s="36">
        <f t="shared" si="56"/>
        <v>0</v>
      </c>
      <c r="CN52" s="35">
        <f t="shared" si="57"/>
        <v>0</v>
      </c>
      <c r="CO52" s="62">
        <f t="shared" si="58"/>
        <v>0</v>
      </c>
      <c r="CP52" s="61">
        <f t="shared" si="59"/>
        <v>0</v>
      </c>
      <c r="CQ52" s="43">
        <f t="shared" si="60"/>
        <v>0</v>
      </c>
      <c r="CR52" s="35">
        <f t="shared" si="61"/>
        <v>0</v>
      </c>
      <c r="CS52" s="43">
        <f t="shared" si="62"/>
        <v>0</v>
      </c>
      <c r="CT52" s="43">
        <f t="shared" si="10"/>
        <v>0</v>
      </c>
      <c r="CU52" s="62">
        <f t="shared" si="63"/>
        <v>0</v>
      </c>
      <c r="CV52" s="61">
        <f t="shared" si="64"/>
        <v>0</v>
      </c>
      <c r="CW52" s="43">
        <f t="shared" si="65"/>
        <v>0</v>
      </c>
      <c r="CX52" s="35">
        <f t="shared" si="66"/>
        <v>0</v>
      </c>
      <c r="CY52" s="36">
        <f t="shared" si="67"/>
        <v>0</v>
      </c>
      <c r="CZ52" s="35">
        <f t="shared" si="68"/>
        <v>0</v>
      </c>
      <c r="DA52" s="62">
        <f t="shared" si="69"/>
        <v>0</v>
      </c>
    </row>
    <row r="53" spans="2:105" x14ac:dyDescent="0.3">
      <c r="B53" s="1">
        <v>0.734568</v>
      </c>
      <c r="C53" s="1">
        <v>-20.440000000000001</v>
      </c>
      <c r="D53">
        <f t="shared" si="11"/>
        <v>464.5</v>
      </c>
      <c r="F53" s="1">
        <v>0.72362899999999997</v>
      </c>
      <c r="G53" s="8">
        <v>6.99</v>
      </c>
      <c r="H53">
        <f t="shared" si="12"/>
        <v>489.81</v>
      </c>
      <c r="J53" s="1">
        <v>0.71948999999999996</v>
      </c>
      <c r="K53" s="8">
        <v>6.8</v>
      </c>
      <c r="L53">
        <f t="shared" si="13"/>
        <v>502.89</v>
      </c>
      <c r="N53" s="1">
        <v>0.71603600000000001</v>
      </c>
      <c r="O53" s="8">
        <v>6.8</v>
      </c>
      <c r="P53">
        <f t="shared" si="14"/>
        <v>502.89</v>
      </c>
      <c r="R53" s="1">
        <v>0.72031800000000001</v>
      </c>
      <c r="S53" s="8">
        <v>-2.3199999999999998</v>
      </c>
      <c r="T53">
        <f t="shared" si="15"/>
        <v>516.16999999999996</v>
      </c>
      <c r="V53" s="1">
        <v>0.74324999999999997</v>
      </c>
      <c r="W53" s="8">
        <v>-6.15</v>
      </c>
      <c r="X53">
        <f t="shared" si="16"/>
        <v>515.71</v>
      </c>
      <c r="Y53" s="9"/>
      <c r="Z53" s="8">
        <v>0.77008699999999997</v>
      </c>
      <c r="AA53" s="8">
        <v>-9.74</v>
      </c>
      <c r="AB53">
        <f t="shared" si="17"/>
        <v>516.04999999999995</v>
      </c>
      <c r="AC53" s="9"/>
      <c r="AD53" s="8">
        <v>0.79568899999999998</v>
      </c>
      <c r="AE53" s="8">
        <v>-13.35</v>
      </c>
      <c r="AF53">
        <f t="shared" si="18"/>
        <v>516.16</v>
      </c>
      <c r="AH53" s="1">
        <v>0.822129</v>
      </c>
      <c r="AI53" s="1">
        <v>-17.03</v>
      </c>
      <c r="AJ53">
        <f t="shared" si="19"/>
        <v>516.21</v>
      </c>
      <c r="AL53" s="1">
        <v>0.85970400000000002</v>
      </c>
      <c r="AM53" s="1">
        <v>-16.29</v>
      </c>
      <c r="AN53">
        <f t="shared" si="20"/>
        <v>522.04000000000008</v>
      </c>
      <c r="AP53" s="15"/>
      <c r="AQ53" s="15"/>
      <c r="AT53" s="61">
        <f t="shared" si="72"/>
        <v>0</v>
      </c>
      <c r="AU53" s="43">
        <f t="shared" si="2"/>
        <v>0</v>
      </c>
      <c r="AV53" s="35">
        <f t="shared" si="73"/>
        <v>0</v>
      </c>
      <c r="AW53" s="36">
        <f t="shared" si="21"/>
        <v>0</v>
      </c>
      <c r="AX53" s="35">
        <f t="shared" si="74"/>
        <v>0</v>
      </c>
      <c r="AY53" s="62">
        <f t="shared" si="75"/>
        <v>0</v>
      </c>
      <c r="AZ53" s="61">
        <f t="shared" si="76"/>
        <v>0</v>
      </c>
      <c r="BA53" s="43">
        <f t="shared" si="7"/>
        <v>0</v>
      </c>
      <c r="BB53" s="35">
        <f t="shared" si="71"/>
        <v>0</v>
      </c>
      <c r="BC53" s="36">
        <f t="shared" si="23"/>
        <v>0</v>
      </c>
      <c r="BD53" s="35">
        <f t="shared" si="24"/>
        <v>0</v>
      </c>
      <c r="BE53" s="62">
        <f t="shared" si="25"/>
        <v>0</v>
      </c>
      <c r="BF53" s="61">
        <f t="shared" si="26"/>
        <v>0</v>
      </c>
      <c r="BG53" s="43">
        <f t="shared" si="8"/>
        <v>0</v>
      </c>
      <c r="BH53" s="35">
        <f t="shared" si="27"/>
        <v>0</v>
      </c>
      <c r="BI53" s="36">
        <f t="shared" si="28"/>
        <v>0</v>
      </c>
      <c r="BJ53" s="35">
        <f t="shared" si="29"/>
        <v>0</v>
      </c>
      <c r="BK53" s="62">
        <f t="shared" si="30"/>
        <v>0</v>
      </c>
      <c r="BL53" s="61">
        <f t="shared" si="31"/>
        <v>0</v>
      </c>
      <c r="BM53" s="43">
        <f t="shared" si="32"/>
        <v>0</v>
      </c>
      <c r="BN53" s="35">
        <f t="shared" si="33"/>
        <v>0</v>
      </c>
      <c r="BO53" s="36">
        <f t="shared" si="34"/>
        <v>0</v>
      </c>
      <c r="BP53" s="35">
        <f t="shared" si="35"/>
        <v>0</v>
      </c>
      <c r="BQ53" s="62">
        <f t="shared" si="36"/>
        <v>0</v>
      </c>
      <c r="BR53" s="61">
        <f t="shared" si="37"/>
        <v>0</v>
      </c>
      <c r="BS53" s="43">
        <f t="shared" si="38"/>
        <v>0</v>
      </c>
      <c r="BT53" s="35">
        <f t="shared" si="39"/>
        <v>0</v>
      </c>
      <c r="BU53" s="36">
        <f t="shared" si="40"/>
        <v>0</v>
      </c>
      <c r="BV53" s="35">
        <f t="shared" si="41"/>
        <v>0</v>
      </c>
      <c r="BW53" s="62">
        <f t="shared" si="42"/>
        <v>0</v>
      </c>
      <c r="BX53" s="61">
        <f t="shared" si="43"/>
        <v>0</v>
      </c>
      <c r="BY53" s="43">
        <f t="shared" si="44"/>
        <v>0</v>
      </c>
      <c r="BZ53" s="35">
        <f t="shared" si="45"/>
        <v>0</v>
      </c>
      <c r="CA53" s="36">
        <f t="shared" si="46"/>
        <v>0</v>
      </c>
      <c r="CB53" s="35">
        <f t="shared" si="47"/>
        <v>0</v>
      </c>
      <c r="CC53" s="62">
        <f t="shared" si="48"/>
        <v>0</v>
      </c>
      <c r="CD53" s="61">
        <f t="shared" si="49"/>
        <v>0</v>
      </c>
      <c r="CE53" s="43">
        <f t="shared" si="9"/>
        <v>0</v>
      </c>
      <c r="CF53" s="35">
        <f t="shared" si="50"/>
        <v>0</v>
      </c>
      <c r="CG53" s="36">
        <f t="shared" si="51"/>
        <v>0</v>
      </c>
      <c r="CH53" s="35">
        <f t="shared" si="52"/>
        <v>0</v>
      </c>
      <c r="CI53" s="62">
        <f t="shared" si="70"/>
        <v>0</v>
      </c>
      <c r="CJ53" s="61">
        <f t="shared" si="53"/>
        <v>0</v>
      </c>
      <c r="CK53" s="43">
        <f t="shared" si="54"/>
        <v>0</v>
      </c>
      <c r="CL53" s="35">
        <f t="shared" si="55"/>
        <v>0</v>
      </c>
      <c r="CM53" s="36">
        <f t="shared" si="56"/>
        <v>0</v>
      </c>
      <c r="CN53" s="35">
        <f t="shared" si="57"/>
        <v>0</v>
      </c>
      <c r="CO53" s="62">
        <f t="shared" si="58"/>
        <v>0</v>
      </c>
      <c r="CP53" s="61">
        <f t="shared" si="59"/>
        <v>0</v>
      </c>
      <c r="CQ53" s="43">
        <f t="shared" si="60"/>
        <v>0</v>
      </c>
      <c r="CR53" s="35">
        <f t="shared" si="61"/>
        <v>0</v>
      </c>
      <c r="CS53" s="43">
        <f t="shared" si="62"/>
        <v>0</v>
      </c>
      <c r="CT53" s="43">
        <f t="shared" si="10"/>
        <v>0</v>
      </c>
      <c r="CU53" s="62">
        <f t="shared" si="63"/>
        <v>0</v>
      </c>
      <c r="CV53" s="61">
        <f t="shared" si="64"/>
        <v>0</v>
      </c>
      <c r="CW53" s="43">
        <f t="shared" si="65"/>
        <v>0</v>
      </c>
      <c r="CX53" s="35">
        <f t="shared" si="66"/>
        <v>0</v>
      </c>
      <c r="CY53" s="36">
        <f t="shared" si="67"/>
        <v>0</v>
      </c>
      <c r="CZ53" s="35">
        <f t="shared" si="68"/>
        <v>0</v>
      </c>
      <c r="DA53" s="62">
        <f t="shared" si="69"/>
        <v>0</v>
      </c>
    </row>
    <row r="54" spans="2:105" x14ac:dyDescent="0.3">
      <c r="B54" s="1">
        <v>0.74868299999999999</v>
      </c>
      <c r="C54" s="1">
        <v>-22.25</v>
      </c>
      <c r="D54">
        <f t="shared" si="11"/>
        <v>462.69</v>
      </c>
      <c r="F54" s="1">
        <v>0.73753400000000002</v>
      </c>
      <c r="G54" s="8">
        <v>9</v>
      </c>
      <c r="H54">
        <f t="shared" si="12"/>
        <v>491.82</v>
      </c>
      <c r="J54" s="1">
        <v>0.73331500000000005</v>
      </c>
      <c r="K54" s="8">
        <v>8.9499999999999993</v>
      </c>
      <c r="L54">
        <f t="shared" si="13"/>
        <v>505.03999999999996</v>
      </c>
      <c r="N54" s="1">
        <v>0.72979499999999997</v>
      </c>
      <c r="O54" s="8">
        <v>5.68</v>
      </c>
      <c r="P54">
        <f t="shared" si="14"/>
        <v>501.77</v>
      </c>
      <c r="R54" s="1">
        <v>0.73415900000000001</v>
      </c>
      <c r="S54" s="1">
        <v>-4.3499999999999996</v>
      </c>
      <c r="T54">
        <f t="shared" si="15"/>
        <v>514.14</v>
      </c>
      <c r="V54" s="1">
        <v>0.75753199999999998</v>
      </c>
      <c r="W54" s="8">
        <v>-8.01</v>
      </c>
      <c r="X54">
        <f t="shared" si="16"/>
        <v>513.85</v>
      </c>
      <c r="Y54" s="9"/>
      <c r="Z54" s="8">
        <v>0.78488500000000005</v>
      </c>
      <c r="AA54" s="8">
        <v>-11.72</v>
      </c>
      <c r="AB54">
        <f t="shared" si="17"/>
        <v>514.06999999999994</v>
      </c>
      <c r="AC54" s="9"/>
      <c r="AD54" s="8">
        <v>0.81097799999999998</v>
      </c>
      <c r="AE54" s="8">
        <v>-15.44</v>
      </c>
      <c r="AF54">
        <f t="shared" si="18"/>
        <v>514.06999999999994</v>
      </c>
      <c r="AH54" s="1">
        <v>0.83792599999999995</v>
      </c>
      <c r="AI54" s="1">
        <v>-19.260000000000002</v>
      </c>
      <c r="AJ54">
        <f t="shared" si="19"/>
        <v>513.98</v>
      </c>
      <c r="AL54" s="1">
        <v>0.87622299999999997</v>
      </c>
      <c r="AM54" s="1">
        <v>-14.7</v>
      </c>
      <c r="AN54">
        <f t="shared" si="20"/>
        <v>523.63</v>
      </c>
      <c r="AP54" s="15"/>
      <c r="AQ54" s="15"/>
      <c r="AT54" s="61">
        <f t="shared" si="72"/>
        <v>0</v>
      </c>
      <c r="AU54" s="43">
        <f t="shared" si="2"/>
        <v>0</v>
      </c>
      <c r="AV54" s="35">
        <f t="shared" si="73"/>
        <v>0</v>
      </c>
      <c r="AW54" s="36">
        <f t="shared" si="21"/>
        <v>0</v>
      </c>
      <c r="AX54" s="35">
        <f t="shared" si="74"/>
        <v>0</v>
      </c>
      <c r="AY54" s="62">
        <f t="shared" si="75"/>
        <v>0</v>
      </c>
      <c r="AZ54" s="61">
        <f t="shared" si="76"/>
        <v>0</v>
      </c>
      <c r="BA54" s="43">
        <f t="shared" si="7"/>
        <v>0</v>
      </c>
      <c r="BB54" s="35">
        <f t="shared" si="71"/>
        <v>0</v>
      </c>
      <c r="BC54" s="36">
        <f t="shared" si="23"/>
        <v>0</v>
      </c>
      <c r="BD54" s="35">
        <f t="shared" si="24"/>
        <v>0</v>
      </c>
      <c r="BE54" s="62">
        <f t="shared" si="25"/>
        <v>0</v>
      </c>
      <c r="BF54" s="61">
        <f t="shared" si="26"/>
        <v>0</v>
      </c>
      <c r="BG54" s="43">
        <f t="shared" si="8"/>
        <v>0</v>
      </c>
      <c r="BH54" s="35">
        <f t="shared" si="27"/>
        <v>0</v>
      </c>
      <c r="BI54" s="36">
        <f t="shared" si="28"/>
        <v>0</v>
      </c>
      <c r="BJ54" s="35">
        <f t="shared" si="29"/>
        <v>0</v>
      </c>
      <c r="BK54" s="62">
        <f t="shared" si="30"/>
        <v>0</v>
      </c>
      <c r="BL54" s="61">
        <f t="shared" si="31"/>
        <v>0</v>
      </c>
      <c r="BM54" s="43">
        <f t="shared" si="32"/>
        <v>0</v>
      </c>
      <c r="BN54" s="35">
        <f t="shared" si="33"/>
        <v>0</v>
      </c>
      <c r="BO54" s="36">
        <f t="shared" si="34"/>
        <v>0</v>
      </c>
      <c r="BP54" s="35">
        <f t="shared" si="35"/>
        <v>0</v>
      </c>
      <c r="BQ54" s="62">
        <f t="shared" si="36"/>
        <v>0</v>
      </c>
      <c r="BR54" s="61">
        <f t="shared" si="37"/>
        <v>0</v>
      </c>
      <c r="BS54" s="43">
        <f t="shared" si="38"/>
        <v>0</v>
      </c>
      <c r="BT54" s="35">
        <f t="shared" si="39"/>
        <v>0</v>
      </c>
      <c r="BU54" s="36">
        <f t="shared" si="40"/>
        <v>0</v>
      </c>
      <c r="BV54" s="35">
        <f t="shared" si="41"/>
        <v>0</v>
      </c>
      <c r="BW54" s="62">
        <f t="shared" si="42"/>
        <v>0</v>
      </c>
      <c r="BX54" s="61">
        <f t="shared" si="43"/>
        <v>0</v>
      </c>
      <c r="BY54" s="43">
        <f t="shared" si="44"/>
        <v>0</v>
      </c>
      <c r="BZ54" s="35">
        <f t="shared" si="45"/>
        <v>0</v>
      </c>
      <c r="CA54" s="36">
        <f t="shared" si="46"/>
        <v>0</v>
      </c>
      <c r="CB54" s="35">
        <f t="shared" si="47"/>
        <v>0</v>
      </c>
      <c r="CC54" s="62">
        <f t="shared" si="48"/>
        <v>0</v>
      </c>
      <c r="CD54" s="61">
        <f t="shared" si="49"/>
        <v>0</v>
      </c>
      <c r="CE54" s="43">
        <f t="shared" si="9"/>
        <v>0</v>
      </c>
      <c r="CF54" s="35">
        <f t="shared" si="50"/>
        <v>0</v>
      </c>
      <c r="CG54" s="36">
        <f t="shared" si="51"/>
        <v>0</v>
      </c>
      <c r="CH54" s="35">
        <f t="shared" si="52"/>
        <v>0</v>
      </c>
      <c r="CI54" s="62">
        <f t="shared" si="70"/>
        <v>0</v>
      </c>
      <c r="CJ54" s="61">
        <f t="shared" si="53"/>
        <v>0</v>
      </c>
      <c r="CK54" s="43">
        <f t="shared" si="54"/>
        <v>0</v>
      </c>
      <c r="CL54" s="35">
        <f t="shared" si="55"/>
        <v>0</v>
      </c>
      <c r="CM54" s="36">
        <f t="shared" si="56"/>
        <v>0</v>
      </c>
      <c r="CN54" s="35">
        <f t="shared" si="57"/>
        <v>0</v>
      </c>
      <c r="CO54" s="62">
        <f t="shared" si="58"/>
        <v>0</v>
      </c>
      <c r="CP54" s="61">
        <f t="shared" si="59"/>
        <v>0</v>
      </c>
      <c r="CQ54" s="43">
        <f t="shared" si="60"/>
        <v>0</v>
      </c>
      <c r="CR54" s="35">
        <f t="shared" si="61"/>
        <v>0</v>
      </c>
      <c r="CS54" s="43">
        <f t="shared" si="62"/>
        <v>0</v>
      </c>
      <c r="CT54" s="43">
        <f t="shared" si="10"/>
        <v>0</v>
      </c>
      <c r="CU54" s="62">
        <f t="shared" si="63"/>
        <v>0</v>
      </c>
      <c r="CV54" s="61">
        <f t="shared" si="64"/>
        <v>0</v>
      </c>
      <c r="CW54" s="43">
        <f t="shared" si="65"/>
        <v>0</v>
      </c>
      <c r="CX54" s="35">
        <f t="shared" si="66"/>
        <v>0</v>
      </c>
      <c r="CY54" s="36">
        <f t="shared" si="67"/>
        <v>0</v>
      </c>
      <c r="CZ54" s="35">
        <f t="shared" si="68"/>
        <v>0</v>
      </c>
      <c r="DA54" s="62">
        <f t="shared" si="69"/>
        <v>0</v>
      </c>
    </row>
    <row r="55" spans="2:105" x14ac:dyDescent="0.3">
      <c r="B55" s="1">
        <v>0.76279799999999998</v>
      </c>
      <c r="C55" s="1">
        <v>-24.04</v>
      </c>
      <c r="D55">
        <f t="shared" si="11"/>
        <v>460.9</v>
      </c>
      <c r="F55" s="1">
        <v>0.75143800000000005</v>
      </c>
      <c r="G55" s="8">
        <v>11.09</v>
      </c>
      <c r="H55">
        <f t="shared" si="12"/>
        <v>493.90999999999997</v>
      </c>
      <c r="J55" s="1">
        <v>0.74714000000000003</v>
      </c>
      <c r="K55" s="8">
        <v>11.1</v>
      </c>
      <c r="L55">
        <f t="shared" si="13"/>
        <v>507.19</v>
      </c>
      <c r="N55" s="1">
        <v>0.74355300000000002</v>
      </c>
      <c r="O55" s="8">
        <v>3.76</v>
      </c>
      <c r="P55">
        <f t="shared" si="14"/>
        <v>499.84999999999997</v>
      </c>
      <c r="R55" s="1">
        <v>0.748</v>
      </c>
      <c r="S55" s="1">
        <v>-6.44</v>
      </c>
      <c r="T55">
        <f t="shared" si="15"/>
        <v>512.04999999999995</v>
      </c>
      <c r="V55" s="1">
        <v>0.77181299999999997</v>
      </c>
      <c r="W55" s="8">
        <v>-9.8800000000000008</v>
      </c>
      <c r="X55">
        <f t="shared" si="16"/>
        <v>511.98</v>
      </c>
      <c r="Y55" s="9"/>
      <c r="Z55" s="8">
        <v>0.799682</v>
      </c>
      <c r="AA55" s="8">
        <v>-13.7</v>
      </c>
      <c r="AB55">
        <f t="shared" si="17"/>
        <v>512.08999999999992</v>
      </c>
      <c r="AC55" s="9"/>
      <c r="AD55" s="8">
        <v>0.826268</v>
      </c>
      <c r="AE55" s="8">
        <v>-17.54</v>
      </c>
      <c r="AF55">
        <f t="shared" si="18"/>
        <v>511.96999999999997</v>
      </c>
      <c r="AH55" s="1">
        <v>0.85372300000000001</v>
      </c>
      <c r="AI55" s="1">
        <v>-19.54</v>
      </c>
      <c r="AJ55">
        <f t="shared" si="19"/>
        <v>513.70000000000005</v>
      </c>
      <c r="AL55" s="1">
        <v>0.89274200000000004</v>
      </c>
      <c r="AM55" s="1">
        <v>-12.78</v>
      </c>
      <c r="AN55">
        <f t="shared" si="20"/>
        <v>525.55000000000007</v>
      </c>
      <c r="AP55" s="15"/>
      <c r="AQ55" s="15"/>
      <c r="AT55" s="61">
        <f t="shared" si="72"/>
        <v>0</v>
      </c>
      <c r="AU55" s="43">
        <f t="shared" si="2"/>
        <v>0</v>
      </c>
      <c r="AV55" s="35">
        <f t="shared" si="73"/>
        <v>0</v>
      </c>
      <c r="AW55" s="36">
        <f t="shared" si="21"/>
        <v>0</v>
      </c>
      <c r="AX55" s="35">
        <f t="shared" si="74"/>
        <v>0</v>
      </c>
      <c r="AY55" s="62">
        <f t="shared" si="75"/>
        <v>0</v>
      </c>
      <c r="AZ55" s="61">
        <f t="shared" si="76"/>
        <v>0</v>
      </c>
      <c r="BA55" s="43">
        <f t="shared" si="7"/>
        <v>0</v>
      </c>
      <c r="BB55" s="35">
        <f t="shared" si="71"/>
        <v>0</v>
      </c>
      <c r="BC55" s="36">
        <f t="shared" si="23"/>
        <v>0</v>
      </c>
      <c r="BD55" s="35">
        <f t="shared" si="24"/>
        <v>0</v>
      </c>
      <c r="BE55" s="62">
        <f t="shared" si="25"/>
        <v>0</v>
      </c>
      <c r="BF55" s="61">
        <f t="shared" si="26"/>
        <v>0</v>
      </c>
      <c r="BG55" s="43">
        <f t="shared" si="8"/>
        <v>0</v>
      </c>
      <c r="BH55" s="35">
        <f t="shared" si="27"/>
        <v>0</v>
      </c>
      <c r="BI55" s="36">
        <f t="shared" si="28"/>
        <v>0</v>
      </c>
      <c r="BJ55" s="35">
        <f t="shared" si="29"/>
        <v>0</v>
      </c>
      <c r="BK55" s="62">
        <f t="shared" si="30"/>
        <v>0</v>
      </c>
      <c r="BL55" s="61">
        <f t="shared" si="31"/>
        <v>0</v>
      </c>
      <c r="BM55" s="43">
        <f t="shared" si="32"/>
        <v>0</v>
      </c>
      <c r="BN55" s="35">
        <f t="shared" si="33"/>
        <v>0</v>
      </c>
      <c r="BO55" s="36">
        <f t="shared" si="34"/>
        <v>0</v>
      </c>
      <c r="BP55" s="35">
        <f t="shared" si="35"/>
        <v>0</v>
      </c>
      <c r="BQ55" s="62">
        <f t="shared" si="36"/>
        <v>0</v>
      </c>
      <c r="BR55" s="61">
        <f t="shared" si="37"/>
        <v>0</v>
      </c>
      <c r="BS55" s="43">
        <f t="shared" si="38"/>
        <v>0</v>
      </c>
      <c r="BT55" s="35">
        <f t="shared" si="39"/>
        <v>0</v>
      </c>
      <c r="BU55" s="36">
        <f t="shared" si="40"/>
        <v>0</v>
      </c>
      <c r="BV55" s="35">
        <f t="shared" si="41"/>
        <v>0</v>
      </c>
      <c r="BW55" s="62">
        <f t="shared" si="42"/>
        <v>0</v>
      </c>
      <c r="BX55" s="61">
        <f t="shared" si="43"/>
        <v>0</v>
      </c>
      <c r="BY55" s="43">
        <f t="shared" si="44"/>
        <v>0</v>
      </c>
      <c r="BZ55" s="35">
        <f t="shared" si="45"/>
        <v>0</v>
      </c>
      <c r="CA55" s="36">
        <f t="shared" si="46"/>
        <v>0</v>
      </c>
      <c r="CB55" s="35">
        <f t="shared" si="47"/>
        <v>0</v>
      </c>
      <c r="CC55" s="62">
        <f t="shared" si="48"/>
        <v>0</v>
      </c>
      <c r="CD55" s="61">
        <f t="shared" si="49"/>
        <v>0</v>
      </c>
      <c r="CE55" s="43">
        <f t="shared" si="9"/>
        <v>0</v>
      </c>
      <c r="CF55" s="35">
        <f t="shared" si="50"/>
        <v>0</v>
      </c>
      <c r="CG55" s="36">
        <f t="shared" si="51"/>
        <v>0</v>
      </c>
      <c r="CH55" s="35">
        <f t="shared" si="52"/>
        <v>0</v>
      </c>
      <c r="CI55" s="62">
        <f t="shared" si="70"/>
        <v>0</v>
      </c>
      <c r="CJ55" s="61">
        <f t="shared" si="53"/>
        <v>0</v>
      </c>
      <c r="CK55" s="43">
        <f t="shared" si="54"/>
        <v>0</v>
      </c>
      <c r="CL55" s="35">
        <f t="shared" si="55"/>
        <v>0</v>
      </c>
      <c r="CM55" s="36">
        <f t="shared" si="56"/>
        <v>0</v>
      </c>
      <c r="CN55" s="35">
        <f t="shared" si="57"/>
        <v>0</v>
      </c>
      <c r="CO55" s="62">
        <f t="shared" si="58"/>
        <v>0</v>
      </c>
      <c r="CP55" s="61">
        <f t="shared" si="59"/>
        <v>0</v>
      </c>
      <c r="CQ55" s="43">
        <f t="shared" si="60"/>
        <v>0</v>
      </c>
      <c r="CR55" s="35">
        <f t="shared" si="61"/>
        <v>0</v>
      </c>
      <c r="CS55" s="43">
        <f t="shared" si="62"/>
        <v>0</v>
      </c>
      <c r="CT55" s="43">
        <f t="shared" si="10"/>
        <v>0</v>
      </c>
      <c r="CU55" s="62">
        <f t="shared" si="63"/>
        <v>0</v>
      </c>
      <c r="CV55" s="61">
        <f t="shared" si="64"/>
        <v>0</v>
      </c>
      <c r="CW55" s="43" t="str">
        <f t="shared" si="65"/>
        <v>min</v>
      </c>
      <c r="CX55" s="35">
        <f t="shared" si="66"/>
        <v>0.89274200000000004</v>
      </c>
      <c r="CY55" s="36">
        <f t="shared" si="67"/>
        <v>-12.78</v>
      </c>
      <c r="CZ55" s="35">
        <f t="shared" si="68"/>
        <v>0</v>
      </c>
      <c r="DA55" s="62">
        <f t="shared" si="69"/>
        <v>0</v>
      </c>
    </row>
    <row r="56" spans="2:105" x14ac:dyDescent="0.3">
      <c r="B56" s="1">
        <v>0.77691299999999996</v>
      </c>
      <c r="C56" s="1">
        <v>-25.81</v>
      </c>
      <c r="D56">
        <f t="shared" si="11"/>
        <v>459.13</v>
      </c>
      <c r="F56" s="1">
        <v>0.765343</v>
      </c>
      <c r="G56" s="8">
        <v>13.32</v>
      </c>
      <c r="H56">
        <f t="shared" si="12"/>
        <v>496.14</v>
      </c>
      <c r="J56" s="1">
        <v>0.760965</v>
      </c>
      <c r="K56" s="8">
        <v>13.22</v>
      </c>
      <c r="L56">
        <f t="shared" si="13"/>
        <v>509.31</v>
      </c>
      <c r="N56" s="1">
        <v>0.75731199999999999</v>
      </c>
      <c r="O56" s="8">
        <v>1.85</v>
      </c>
      <c r="P56">
        <f t="shared" si="14"/>
        <v>497.94</v>
      </c>
      <c r="R56" s="1">
        <v>0.76184099999999999</v>
      </c>
      <c r="S56" s="1">
        <v>-8.4499999999999993</v>
      </c>
      <c r="T56">
        <f t="shared" si="15"/>
        <v>510.04</v>
      </c>
      <c r="V56" s="1">
        <v>0.78609499999999999</v>
      </c>
      <c r="W56" s="8">
        <v>-11.68</v>
      </c>
      <c r="X56">
        <f t="shared" si="16"/>
        <v>510.18</v>
      </c>
      <c r="Y56" s="9"/>
      <c r="Z56" s="8">
        <v>0.81447899999999995</v>
      </c>
      <c r="AA56" s="8">
        <v>-15.68</v>
      </c>
      <c r="AB56">
        <f t="shared" si="17"/>
        <v>510.10999999999996</v>
      </c>
      <c r="AC56" s="9"/>
      <c r="AD56" s="8">
        <v>0.841557</v>
      </c>
      <c r="AE56" s="8">
        <v>-19.62</v>
      </c>
      <c r="AF56">
        <f t="shared" si="18"/>
        <v>509.89</v>
      </c>
      <c r="AH56" s="1">
        <v>0.86952099999999999</v>
      </c>
      <c r="AI56" s="1">
        <v>-17.7</v>
      </c>
      <c r="AJ56">
        <f t="shared" si="19"/>
        <v>515.54</v>
      </c>
      <c r="AL56" s="1">
        <v>0.90926099999999999</v>
      </c>
      <c r="AM56" s="1">
        <v>-10.92</v>
      </c>
      <c r="AN56">
        <f t="shared" si="20"/>
        <v>527.41000000000008</v>
      </c>
      <c r="AP56" s="15"/>
      <c r="AQ56" s="15"/>
      <c r="AT56" s="61">
        <f t="shared" si="72"/>
        <v>0</v>
      </c>
      <c r="AU56" s="43">
        <f t="shared" si="2"/>
        <v>0</v>
      </c>
      <c r="AV56" s="35">
        <f t="shared" si="73"/>
        <v>0</v>
      </c>
      <c r="AW56" s="36">
        <f t="shared" si="21"/>
        <v>0</v>
      </c>
      <c r="AX56" s="35">
        <f t="shared" si="74"/>
        <v>0</v>
      </c>
      <c r="AY56" s="62">
        <f t="shared" si="75"/>
        <v>0</v>
      </c>
      <c r="AZ56" s="61">
        <f t="shared" si="76"/>
        <v>0</v>
      </c>
      <c r="BA56" s="43">
        <f t="shared" si="7"/>
        <v>0</v>
      </c>
      <c r="BB56" s="35">
        <f t="shared" si="71"/>
        <v>0</v>
      </c>
      <c r="BC56" s="36">
        <f t="shared" si="23"/>
        <v>0</v>
      </c>
      <c r="BD56" s="35">
        <f t="shared" si="24"/>
        <v>0</v>
      </c>
      <c r="BE56" s="62">
        <f t="shared" si="25"/>
        <v>0</v>
      </c>
      <c r="BF56" s="61">
        <f t="shared" si="26"/>
        <v>0</v>
      </c>
      <c r="BG56" s="43">
        <f t="shared" si="8"/>
        <v>0</v>
      </c>
      <c r="BH56" s="35">
        <f t="shared" si="27"/>
        <v>0</v>
      </c>
      <c r="BI56" s="36">
        <f t="shared" si="28"/>
        <v>0</v>
      </c>
      <c r="BJ56" s="35">
        <f t="shared" si="29"/>
        <v>0</v>
      </c>
      <c r="BK56" s="62">
        <f t="shared" si="30"/>
        <v>0</v>
      </c>
      <c r="BL56" s="61">
        <f t="shared" si="31"/>
        <v>0</v>
      </c>
      <c r="BM56" s="43">
        <f t="shared" si="32"/>
        <v>0</v>
      </c>
      <c r="BN56" s="35">
        <f t="shared" si="33"/>
        <v>0</v>
      </c>
      <c r="BO56" s="36">
        <f t="shared" si="34"/>
        <v>0</v>
      </c>
      <c r="BP56" s="35">
        <f t="shared" si="35"/>
        <v>0</v>
      </c>
      <c r="BQ56" s="62">
        <f t="shared" si="36"/>
        <v>0</v>
      </c>
      <c r="BR56" s="61">
        <f t="shared" si="37"/>
        <v>0</v>
      </c>
      <c r="BS56" s="43">
        <f t="shared" si="38"/>
        <v>0</v>
      </c>
      <c r="BT56" s="35">
        <f t="shared" si="39"/>
        <v>0</v>
      </c>
      <c r="BU56" s="36">
        <f t="shared" si="40"/>
        <v>0</v>
      </c>
      <c r="BV56" s="35">
        <f t="shared" si="41"/>
        <v>0</v>
      </c>
      <c r="BW56" s="62">
        <f t="shared" si="42"/>
        <v>0</v>
      </c>
      <c r="BX56" s="61">
        <f t="shared" si="43"/>
        <v>0</v>
      </c>
      <c r="BY56" s="43">
        <f t="shared" si="44"/>
        <v>0</v>
      </c>
      <c r="BZ56" s="35">
        <f t="shared" si="45"/>
        <v>0</v>
      </c>
      <c r="CA56" s="36">
        <f t="shared" si="46"/>
        <v>0</v>
      </c>
      <c r="CB56" s="35">
        <f t="shared" si="47"/>
        <v>0</v>
      </c>
      <c r="CC56" s="62">
        <f t="shared" si="48"/>
        <v>0</v>
      </c>
      <c r="CD56" s="61">
        <f t="shared" si="49"/>
        <v>0</v>
      </c>
      <c r="CE56" s="43">
        <f t="shared" si="9"/>
        <v>0</v>
      </c>
      <c r="CF56" s="35">
        <f t="shared" si="50"/>
        <v>0</v>
      </c>
      <c r="CG56" s="36">
        <f t="shared" si="51"/>
        <v>0</v>
      </c>
      <c r="CH56" s="35">
        <f t="shared" si="52"/>
        <v>0</v>
      </c>
      <c r="CI56" s="62">
        <f t="shared" si="70"/>
        <v>0</v>
      </c>
      <c r="CJ56" s="61">
        <f t="shared" si="53"/>
        <v>0</v>
      </c>
      <c r="CK56" s="43">
        <f t="shared" si="54"/>
        <v>0</v>
      </c>
      <c r="CL56" s="35">
        <f t="shared" si="55"/>
        <v>0</v>
      </c>
      <c r="CM56" s="36">
        <f t="shared" si="56"/>
        <v>0</v>
      </c>
      <c r="CN56" s="35">
        <f t="shared" si="57"/>
        <v>0</v>
      </c>
      <c r="CO56" s="62">
        <f t="shared" si="58"/>
        <v>0</v>
      </c>
      <c r="CP56" s="61">
        <f t="shared" si="59"/>
        <v>0</v>
      </c>
      <c r="CQ56" s="43">
        <f t="shared" si="60"/>
        <v>0</v>
      </c>
      <c r="CR56" s="35">
        <f t="shared" si="61"/>
        <v>0</v>
      </c>
      <c r="CS56" s="43">
        <f t="shared" si="62"/>
        <v>0</v>
      </c>
      <c r="CT56" s="43">
        <f t="shared" si="10"/>
        <v>0</v>
      </c>
      <c r="CU56" s="62">
        <f t="shared" si="63"/>
        <v>0</v>
      </c>
      <c r="CV56" s="61">
        <f t="shared" si="64"/>
        <v>1</v>
      </c>
      <c r="CW56" s="43" t="str">
        <f t="shared" si="65"/>
        <v>min</v>
      </c>
      <c r="CX56" s="35">
        <f t="shared" si="66"/>
        <v>0</v>
      </c>
      <c r="CY56" s="36">
        <f t="shared" si="67"/>
        <v>0</v>
      </c>
      <c r="CZ56" s="35">
        <f t="shared" si="68"/>
        <v>0.90926099999999999</v>
      </c>
      <c r="DA56" s="62">
        <f t="shared" si="69"/>
        <v>-10.92</v>
      </c>
    </row>
    <row r="57" spans="2:105" x14ac:dyDescent="0.3">
      <c r="B57" s="1">
        <v>0.79102700000000004</v>
      </c>
      <c r="C57" s="8">
        <v>0.61</v>
      </c>
      <c r="D57">
        <f t="shared" si="11"/>
        <v>485.55</v>
      </c>
      <c r="F57" s="1">
        <v>0.77924800000000005</v>
      </c>
      <c r="G57" s="8">
        <v>15.93</v>
      </c>
      <c r="H57">
        <f t="shared" si="12"/>
        <v>498.75</v>
      </c>
      <c r="J57" s="1">
        <v>0.77478999999999998</v>
      </c>
      <c r="K57" s="8">
        <v>13.96</v>
      </c>
      <c r="L57">
        <f t="shared" si="13"/>
        <v>510.04999999999995</v>
      </c>
      <c r="N57" s="1">
        <v>0.77107099999999995</v>
      </c>
      <c r="O57" s="8">
        <v>-0.05</v>
      </c>
      <c r="P57">
        <f t="shared" si="14"/>
        <v>496.03999999999996</v>
      </c>
      <c r="R57" s="1">
        <v>0.77568199999999998</v>
      </c>
      <c r="S57" s="1">
        <v>-10.23</v>
      </c>
      <c r="T57">
        <f t="shared" si="15"/>
        <v>508.26</v>
      </c>
      <c r="V57" s="1">
        <v>0.80037700000000001</v>
      </c>
      <c r="W57" s="8">
        <v>-13.52</v>
      </c>
      <c r="X57">
        <f t="shared" si="16"/>
        <v>508.34000000000003</v>
      </c>
      <c r="Y57" s="9"/>
      <c r="Z57" s="8">
        <v>0.82927600000000001</v>
      </c>
      <c r="AA57" s="8">
        <v>-17.649999999999999</v>
      </c>
      <c r="AB57">
        <f t="shared" si="17"/>
        <v>508.14</v>
      </c>
      <c r="AC57" s="9"/>
      <c r="AD57" s="8">
        <v>0.856846</v>
      </c>
      <c r="AE57" s="8">
        <v>-21.72</v>
      </c>
      <c r="AF57">
        <f t="shared" si="18"/>
        <v>507.78999999999996</v>
      </c>
      <c r="AH57" s="1">
        <v>0.88531800000000005</v>
      </c>
      <c r="AI57" s="1">
        <v>-15.96</v>
      </c>
      <c r="AJ57">
        <f t="shared" si="19"/>
        <v>517.28</v>
      </c>
      <c r="AL57" s="1">
        <v>0.92578099999999997</v>
      </c>
      <c r="AM57" s="1">
        <v>-9.07</v>
      </c>
      <c r="AN57">
        <f t="shared" si="20"/>
        <v>529.26</v>
      </c>
      <c r="AP57" s="15"/>
      <c r="AQ57" s="15"/>
      <c r="AT57" s="61">
        <f t="shared" si="72"/>
        <v>0</v>
      </c>
      <c r="AU57" s="43">
        <f t="shared" si="2"/>
        <v>0</v>
      </c>
      <c r="AV57" s="35">
        <f t="shared" si="73"/>
        <v>0</v>
      </c>
      <c r="AW57" s="36">
        <f t="shared" si="21"/>
        <v>0</v>
      </c>
      <c r="AX57" s="35">
        <f t="shared" si="74"/>
        <v>0</v>
      </c>
      <c r="AY57" s="62">
        <f t="shared" si="75"/>
        <v>0</v>
      </c>
      <c r="AZ57" s="61">
        <f t="shared" si="76"/>
        <v>0</v>
      </c>
      <c r="BA57" s="43">
        <f t="shared" si="7"/>
        <v>0</v>
      </c>
      <c r="BB57" s="35">
        <f t="shared" si="71"/>
        <v>0</v>
      </c>
      <c r="BC57" s="36">
        <f t="shared" si="23"/>
        <v>0</v>
      </c>
      <c r="BD57" s="35">
        <f t="shared" si="24"/>
        <v>0</v>
      </c>
      <c r="BE57" s="62">
        <f t="shared" si="25"/>
        <v>0</v>
      </c>
      <c r="BF57" s="61">
        <f t="shared" si="26"/>
        <v>0</v>
      </c>
      <c r="BG57" s="43">
        <f t="shared" si="8"/>
        <v>0</v>
      </c>
      <c r="BH57" s="35">
        <f t="shared" si="27"/>
        <v>0</v>
      </c>
      <c r="BI57" s="36">
        <f t="shared" si="28"/>
        <v>0</v>
      </c>
      <c r="BJ57" s="35">
        <f t="shared" si="29"/>
        <v>0</v>
      </c>
      <c r="BK57" s="62">
        <f t="shared" si="30"/>
        <v>0</v>
      </c>
      <c r="BL57" s="61">
        <f t="shared" si="31"/>
        <v>0</v>
      </c>
      <c r="BM57" s="43">
        <f t="shared" si="32"/>
        <v>0</v>
      </c>
      <c r="BN57" s="35">
        <f t="shared" si="33"/>
        <v>0</v>
      </c>
      <c r="BO57" s="36">
        <f t="shared" si="34"/>
        <v>0</v>
      </c>
      <c r="BP57" s="35">
        <f t="shared" si="35"/>
        <v>0</v>
      </c>
      <c r="BQ57" s="62">
        <f t="shared" si="36"/>
        <v>0</v>
      </c>
      <c r="BR57" s="61">
        <f t="shared" si="37"/>
        <v>0</v>
      </c>
      <c r="BS57" s="43">
        <f t="shared" si="38"/>
        <v>0</v>
      </c>
      <c r="BT57" s="35">
        <f t="shared" si="39"/>
        <v>0</v>
      </c>
      <c r="BU57" s="36">
        <f t="shared" si="40"/>
        <v>0</v>
      </c>
      <c r="BV57" s="35">
        <f t="shared" si="41"/>
        <v>0</v>
      </c>
      <c r="BW57" s="62">
        <f t="shared" si="42"/>
        <v>0</v>
      </c>
      <c r="BX57" s="61">
        <f t="shared" si="43"/>
        <v>0</v>
      </c>
      <c r="BY57" s="43">
        <f t="shared" si="44"/>
        <v>0</v>
      </c>
      <c r="BZ57" s="35">
        <f t="shared" si="45"/>
        <v>0</v>
      </c>
      <c r="CA57" s="36">
        <f t="shared" si="46"/>
        <v>0</v>
      </c>
      <c r="CB57" s="35">
        <f t="shared" si="47"/>
        <v>0</v>
      </c>
      <c r="CC57" s="62">
        <f t="shared" si="48"/>
        <v>0</v>
      </c>
      <c r="CD57" s="61">
        <f t="shared" si="49"/>
        <v>0</v>
      </c>
      <c r="CE57" s="43">
        <f t="shared" si="9"/>
        <v>0</v>
      </c>
      <c r="CF57" s="35">
        <f t="shared" si="50"/>
        <v>0</v>
      </c>
      <c r="CG57" s="36">
        <f t="shared" si="51"/>
        <v>0</v>
      </c>
      <c r="CH57" s="35">
        <f t="shared" si="52"/>
        <v>0</v>
      </c>
      <c r="CI57" s="62">
        <f t="shared" si="70"/>
        <v>0</v>
      </c>
      <c r="CJ57" s="61">
        <f t="shared" si="53"/>
        <v>0</v>
      </c>
      <c r="CK57" s="43">
        <f t="shared" si="54"/>
        <v>0</v>
      </c>
      <c r="CL57" s="35">
        <f t="shared" si="55"/>
        <v>0</v>
      </c>
      <c r="CM57" s="36">
        <f t="shared" si="56"/>
        <v>0</v>
      </c>
      <c r="CN57" s="35">
        <f t="shared" si="57"/>
        <v>0</v>
      </c>
      <c r="CO57" s="62">
        <f t="shared" si="58"/>
        <v>0</v>
      </c>
      <c r="CP57" s="61">
        <f t="shared" si="59"/>
        <v>0</v>
      </c>
      <c r="CQ57" s="43" t="str">
        <f t="shared" si="60"/>
        <v>min</v>
      </c>
      <c r="CR57" s="35">
        <f t="shared" si="61"/>
        <v>0.88531800000000005</v>
      </c>
      <c r="CS57" s="43">
        <f t="shared" si="62"/>
        <v>-15.96</v>
      </c>
      <c r="CT57" s="43">
        <f t="shared" si="10"/>
        <v>0</v>
      </c>
      <c r="CU57" s="62">
        <f t="shared" si="63"/>
        <v>0</v>
      </c>
      <c r="CV57" s="61">
        <f t="shared" si="64"/>
        <v>1</v>
      </c>
      <c r="CW57" s="43" t="str">
        <f t="shared" si="65"/>
        <v>min</v>
      </c>
      <c r="CX57" s="35">
        <f t="shared" si="66"/>
        <v>0</v>
      </c>
      <c r="CY57" s="36">
        <f t="shared" si="67"/>
        <v>0</v>
      </c>
      <c r="CZ57" s="35">
        <f t="shared" si="68"/>
        <v>0</v>
      </c>
      <c r="DA57" s="62">
        <f t="shared" si="69"/>
        <v>0</v>
      </c>
    </row>
    <row r="58" spans="2:105" x14ac:dyDescent="0.3">
      <c r="B58" s="1">
        <v>0.80511299999999997</v>
      </c>
      <c r="C58" s="8">
        <v>3.22</v>
      </c>
      <c r="D58">
        <f t="shared" si="11"/>
        <v>488.16</v>
      </c>
      <c r="F58" s="1">
        <v>0.79312400000000005</v>
      </c>
      <c r="G58" s="8">
        <v>18.559999999999999</v>
      </c>
      <c r="H58">
        <f t="shared" si="12"/>
        <v>501.38</v>
      </c>
      <c r="J58" s="1">
        <v>0.78858700000000004</v>
      </c>
      <c r="K58" s="8">
        <v>12.21</v>
      </c>
      <c r="L58">
        <f t="shared" si="13"/>
        <v>508.29999999999995</v>
      </c>
      <c r="N58" s="1">
        <v>0.78480099999999997</v>
      </c>
      <c r="O58" s="8">
        <v>-1.92</v>
      </c>
      <c r="P58">
        <f t="shared" si="14"/>
        <v>494.16999999999996</v>
      </c>
      <c r="R58" s="1">
        <v>0.78949400000000003</v>
      </c>
      <c r="S58" s="1">
        <v>-11.93</v>
      </c>
      <c r="T58">
        <f t="shared" si="15"/>
        <v>506.56</v>
      </c>
      <c r="V58" s="1">
        <v>0.81462900000000005</v>
      </c>
      <c r="W58" s="8">
        <v>-15.37</v>
      </c>
      <c r="X58">
        <f t="shared" si="16"/>
        <v>506.49</v>
      </c>
      <c r="Y58" s="9"/>
      <c r="Z58" s="8">
        <v>0.84404400000000002</v>
      </c>
      <c r="AA58" s="8">
        <v>-19.63</v>
      </c>
      <c r="AB58">
        <f t="shared" si="17"/>
        <v>506.15999999999997</v>
      </c>
      <c r="AC58" s="9"/>
      <c r="AD58" s="8">
        <v>0.87210399999999999</v>
      </c>
      <c r="AE58" s="8">
        <v>-22.25</v>
      </c>
      <c r="AF58">
        <f t="shared" si="18"/>
        <v>507.26</v>
      </c>
      <c r="AH58" s="1">
        <v>0.90108299999999997</v>
      </c>
      <c r="AI58" s="1">
        <v>-13.99</v>
      </c>
      <c r="AJ58">
        <f t="shared" si="19"/>
        <v>519.25</v>
      </c>
      <c r="AL58" s="1">
        <v>0.94226600000000005</v>
      </c>
      <c r="AM58" s="1">
        <v>-7.07</v>
      </c>
      <c r="AN58">
        <f t="shared" si="20"/>
        <v>531.26</v>
      </c>
      <c r="AP58" s="15"/>
      <c r="AQ58" s="15"/>
      <c r="AT58" s="61">
        <f t="shared" si="72"/>
        <v>0</v>
      </c>
      <c r="AU58" s="43">
        <f t="shared" si="2"/>
        <v>0</v>
      </c>
      <c r="AV58" s="35">
        <f t="shared" si="73"/>
        <v>0</v>
      </c>
      <c r="AW58" s="36">
        <f t="shared" si="21"/>
        <v>0</v>
      </c>
      <c r="AX58" s="35">
        <f t="shared" si="74"/>
        <v>0</v>
      </c>
      <c r="AY58" s="62">
        <f t="shared" si="75"/>
        <v>0</v>
      </c>
      <c r="AZ58" s="61">
        <f t="shared" si="76"/>
        <v>0</v>
      </c>
      <c r="BA58" s="43">
        <f t="shared" si="7"/>
        <v>0</v>
      </c>
      <c r="BB58" s="35">
        <f t="shared" si="71"/>
        <v>0</v>
      </c>
      <c r="BC58" s="36">
        <f t="shared" si="23"/>
        <v>0</v>
      </c>
      <c r="BD58" s="35">
        <f t="shared" si="24"/>
        <v>0</v>
      </c>
      <c r="BE58" s="62">
        <f t="shared" si="25"/>
        <v>0</v>
      </c>
      <c r="BF58" s="61">
        <f t="shared" si="26"/>
        <v>0</v>
      </c>
      <c r="BG58" s="43">
        <f t="shared" si="8"/>
        <v>0</v>
      </c>
      <c r="BH58" s="35">
        <f t="shared" si="27"/>
        <v>0</v>
      </c>
      <c r="BI58" s="36">
        <f t="shared" si="28"/>
        <v>0</v>
      </c>
      <c r="BJ58" s="35">
        <f t="shared" si="29"/>
        <v>0</v>
      </c>
      <c r="BK58" s="62">
        <f t="shared" si="30"/>
        <v>0</v>
      </c>
      <c r="BL58" s="61">
        <f t="shared" si="31"/>
        <v>0</v>
      </c>
      <c r="BM58" s="43">
        <f t="shared" si="32"/>
        <v>0</v>
      </c>
      <c r="BN58" s="35">
        <f t="shared" si="33"/>
        <v>0</v>
      </c>
      <c r="BO58" s="36">
        <f t="shared" si="34"/>
        <v>0</v>
      </c>
      <c r="BP58" s="35">
        <f t="shared" si="35"/>
        <v>0</v>
      </c>
      <c r="BQ58" s="62">
        <f t="shared" si="36"/>
        <v>0</v>
      </c>
      <c r="BR58" s="61">
        <f t="shared" si="37"/>
        <v>0</v>
      </c>
      <c r="BS58" s="43">
        <f t="shared" si="38"/>
        <v>0</v>
      </c>
      <c r="BT58" s="35">
        <f t="shared" si="39"/>
        <v>0</v>
      </c>
      <c r="BU58" s="36">
        <f t="shared" si="40"/>
        <v>0</v>
      </c>
      <c r="BV58" s="35">
        <f t="shared" si="41"/>
        <v>0</v>
      </c>
      <c r="BW58" s="62">
        <f t="shared" si="42"/>
        <v>0</v>
      </c>
      <c r="BX58" s="61">
        <f t="shared" si="43"/>
        <v>0</v>
      </c>
      <c r="BY58" s="43">
        <f t="shared" si="44"/>
        <v>0</v>
      </c>
      <c r="BZ58" s="35">
        <f t="shared" si="45"/>
        <v>0</v>
      </c>
      <c r="CA58" s="36">
        <f t="shared" si="46"/>
        <v>0</v>
      </c>
      <c r="CB58" s="35">
        <f t="shared" si="47"/>
        <v>0</v>
      </c>
      <c r="CC58" s="62">
        <f t="shared" si="48"/>
        <v>0</v>
      </c>
      <c r="CD58" s="61">
        <f t="shared" si="49"/>
        <v>0</v>
      </c>
      <c r="CE58" s="43">
        <f t="shared" si="9"/>
        <v>0</v>
      </c>
      <c r="CF58" s="35">
        <f t="shared" si="50"/>
        <v>0</v>
      </c>
      <c r="CG58" s="36">
        <f t="shared" si="51"/>
        <v>0</v>
      </c>
      <c r="CH58" s="35">
        <f t="shared" si="52"/>
        <v>0</v>
      </c>
      <c r="CI58" s="62">
        <f t="shared" si="70"/>
        <v>0</v>
      </c>
      <c r="CJ58" s="61">
        <f t="shared" si="53"/>
        <v>0</v>
      </c>
      <c r="CK58" s="43">
        <f t="shared" si="54"/>
        <v>0</v>
      </c>
      <c r="CL58" s="35">
        <f t="shared" si="55"/>
        <v>0</v>
      </c>
      <c r="CM58" s="36">
        <f t="shared" si="56"/>
        <v>0</v>
      </c>
      <c r="CN58" s="35">
        <f t="shared" si="57"/>
        <v>0</v>
      </c>
      <c r="CO58" s="62">
        <f t="shared" si="58"/>
        <v>0</v>
      </c>
      <c r="CP58" s="61">
        <f t="shared" si="59"/>
        <v>1</v>
      </c>
      <c r="CQ58" s="43" t="str">
        <f t="shared" si="60"/>
        <v>min</v>
      </c>
      <c r="CR58" s="35">
        <f t="shared" si="61"/>
        <v>0</v>
      </c>
      <c r="CS58" s="43">
        <f t="shared" si="62"/>
        <v>0</v>
      </c>
      <c r="CT58" s="43">
        <f>IF(CR57=0,0,AH58)</f>
        <v>0.90108299999999997</v>
      </c>
      <c r="CU58" s="62">
        <f t="shared" si="63"/>
        <v>-13.99</v>
      </c>
      <c r="CV58" s="61">
        <f t="shared" si="64"/>
        <v>1</v>
      </c>
      <c r="CW58" s="43" t="str">
        <f t="shared" si="65"/>
        <v>min</v>
      </c>
      <c r="CX58" s="35">
        <f t="shared" si="66"/>
        <v>0</v>
      </c>
      <c r="CY58" s="36">
        <f t="shared" si="67"/>
        <v>0</v>
      </c>
      <c r="CZ58" s="35">
        <f t="shared" si="68"/>
        <v>0</v>
      </c>
      <c r="DA58" s="62">
        <f t="shared" si="69"/>
        <v>0</v>
      </c>
    </row>
    <row r="59" spans="2:105" x14ac:dyDescent="0.3">
      <c r="B59" s="1">
        <v>0.81922799999999996</v>
      </c>
      <c r="C59" s="8">
        <v>6</v>
      </c>
      <c r="D59">
        <f t="shared" si="11"/>
        <v>490.94</v>
      </c>
      <c r="F59" s="1">
        <v>0.80702799999999997</v>
      </c>
      <c r="G59" s="8">
        <v>21.18</v>
      </c>
      <c r="H59">
        <f t="shared" si="12"/>
        <v>504</v>
      </c>
      <c r="J59" s="1">
        <v>0.80241200000000001</v>
      </c>
      <c r="K59" s="8">
        <v>10.47</v>
      </c>
      <c r="L59">
        <f t="shared" si="13"/>
        <v>506.56</v>
      </c>
      <c r="N59" s="1">
        <v>0.79856000000000005</v>
      </c>
      <c r="O59" s="8">
        <v>-3.82</v>
      </c>
      <c r="P59">
        <f t="shared" si="14"/>
        <v>492.27</v>
      </c>
      <c r="R59" s="1">
        <v>0.80333500000000002</v>
      </c>
      <c r="S59" s="1">
        <v>-13.59</v>
      </c>
      <c r="T59">
        <f t="shared" si="15"/>
        <v>504.90000000000003</v>
      </c>
      <c r="V59" s="1">
        <v>0.82891099999999995</v>
      </c>
      <c r="W59" s="1">
        <v>-17.18</v>
      </c>
      <c r="X59">
        <f t="shared" si="16"/>
        <v>504.68</v>
      </c>
      <c r="Z59" s="1">
        <v>0.85884099999999997</v>
      </c>
      <c r="AA59" s="1">
        <v>-21.56</v>
      </c>
      <c r="AB59">
        <f t="shared" si="17"/>
        <v>504.22999999999996</v>
      </c>
      <c r="AD59" s="1">
        <v>0.88739299999999999</v>
      </c>
      <c r="AE59" s="1">
        <v>-20.29</v>
      </c>
      <c r="AF59">
        <f t="shared" si="18"/>
        <v>509.21999999999997</v>
      </c>
      <c r="AH59" s="1">
        <v>0.91688000000000003</v>
      </c>
      <c r="AI59" s="1">
        <v>-12.05</v>
      </c>
      <c r="AJ59">
        <f t="shared" si="19"/>
        <v>521.19000000000005</v>
      </c>
      <c r="AL59" s="1">
        <v>0.95878600000000003</v>
      </c>
      <c r="AM59" s="1">
        <v>-5.14</v>
      </c>
      <c r="AN59">
        <f t="shared" si="20"/>
        <v>533.19000000000005</v>
      </c>
      <c r="AP59" s="15"/>
      <c r="AQ59" s="15"/>
      <c r="AT59" s="61">
        <f t="shared" si="72"/>
        <v>0</v>
      </c>
      <c r="AU59" s="43">
        <f t="shared" si="2"/>
        <v>0</v>
      </c>
      <c r="AV59" s="35">
        <f t="shared" si="73"/>
        <v>0</v>
      </c>
      <c r="AW59" s="36">
        <f t="shared" si="21"/>
        <v>0</v>
      </c>
      <c r="AX59" s="35">
        <f t="shared" si="74"/>
        <v>0</v>
      </c>
      <c r="AY59" s="62">
        <f t="shared" si="75"/>
        <v>0</v>
      </c>
      <c r="AZ59" s="61">
        <f t="shared" si="76"/>
        <v>0</v>
      </c>
      <c r="BA59" s="43">
        <f t="shared" si="7"/>
        <v>0</v>
      </c>
      <c r="BB59" s="35">
        <f t="shared" si="71"/>
        <v>0</v>
      </c>
      <c r="BC59" s="36">
        <f t="shared" si="23"/>
        <v>0</v>
      </c>
      <c r="BD59" s="35">
        <f t="shared" si="24"/>
        <v>0</v>
      </c>
      <c r="BE59" s="62">
        <f t="shared" si="25"/>
        <v>0</v>
      </c>
      <c r="BF59" s="61">
        <f t="shared" si="26"/>
        <v>0</v>
      </c>
      <c r="BG59" s="43">
        <f t="shared" si="8"/>
        <v>0</v>
      </c>
      <c r="BH59" s="35">
        <f t="shared" si="27"/>
        <v>0</v>
      </c>
      <c r="BI59" s="36">
        <f t="shared" si="28"/>
        <v>0</v>
      </c>
      <c r="BJ59" s="35">
        <f t="shared" si="29"/>
        <v>0</v>
      </c>
      <c r="BK59" s="62">
        <f t="shared" si="30"/>
        <v>0</v>
      </c>
      <c r="BL59" s="61">
        <f t="shared" si="31"/>
        <v>0</v>
      </c>
      <c r="BM59" s="43">
        <f t="shared" si="32"/>
        <v>0</v>
      </c>
      <c r="BN59" s="35">
        <f t="shared" si="33"/>
        <v>0</v>
      </c>
      <c r="BO59" s="36">
        <f t="shared" si="34"/>
        <v>0</v>
      </c>
      <c r="BP59" s="35">
        <f t="shared" si="35"/>
        <v>0</v>
      </c>
      <c r="BQ59" s="62">
        <f t="shared" si="36"/>
        <v>0</v>
      </c>
      <c r="BR59" s="61">
        <f t="shared" si="37"/>
        <v>0</v>
      </c>
      <c r="BS59" s="43">
        <f t="shared" si="38"/>
        <v>0</v>
      </c>
      <c r="BT59" s="35">
        <f t="shared" si="39"/>
        <v>0</v>
      </c>
      <c r="BU59" s="36">
        <f t="shared" si="40"/>
        <v>0</v>
      </c>
      <c r="BV59" s="35">
        <f t="shared" si="41"/>
        <v>0</v>
      </c>
      <c r="BW59" s="62">
        <f t="shared" si="42"/>
        <v>0</v>
      </c>
      <c r="BX59" s="61">
        <f t="shared" si="43"/>
        <v>0</v>
      </c>
      <c r="BY59" s="43">
        <f t="shared" si="44"/>
        <v>0</v>
      </c>
      <c r="BZ59" s="35">
        <f t="shared" si="45"/>
        <v>0</v>
      </c>
      <c r="CA59" s="36">
        <f t="shared" si="46"/>
        <v>0</v>
      </c>
      <c r="CB59" s="35">
        <f t="shared" si="47"/>
        <v>0</v>
      </c>
      <c r="CC59" s="62">
        <f t="shared" si="48"/>
        <v>0</v>
      </c>
      <c r="CD59" s="61">
        <f t="shared" si="49"/>
        <v>0</v>
      </c>
      <c r="CE59" s="43">
        <f t="shared" si="9"/>
        <v>0</v>
      </c>
      <c r="CF59" s="35">
        <f t="shared" si="50"/>
        <v>0</v>
      </c>
      <c r="CG59" s="36">
        <f t="shared" si="51"/>
        <v>0</v>
      </c>
      <c r="CH59" s="35">
        <f t="shared" si="52"/>
        <v>0</v>
      </c>
      <c r="CI59" s="62">
        <f t="shared" si="70"/>
        <v>0</v>
      </c>
      <c r="CJ59" s="61">
        <f t="shared" si="53"/>
        <v>0</v>
      </c>
      <c r="CK59" s="43" t="str">
        <f t="shared" si="54"/>
        <v>min</v>
      </c>
      <c r="CL59" s="35">
        <f t="shared" si="55"/>
        <v>0.88739299999999999</v>
      </c>
      <c r="CM59" s="36">
        <f t="shared" si="56"/>
        <v>-20.29</v>
      </c>
      <c r="CN59" s="35">
        <f t="shared" si="57"/>
        <v>0</v>
      </c>
      <c r="CO59" s="62">
        <f t="shared" si="58"/>
        <v>0</v>
      </c>
      <c r="CP59" s="61">
        <f t="shared" si="59"/>
        <v>1</v>
      </c>
      <c r="CQ59" s="43" t="str">
        <f t="shared" si="60"/>
        <v>min</v>
      </c>
      <c r="CR59" s="35">
        <f t="shared" si="61"/>
        <v>0</v>
      </c>
      <c r="CS59" s="43">
        <f t="shared" si="62"/>
        <v>0</v>
      </c>
      <c r="CT59" s="43">
        <f t="shared" ref="CT59:CT74" si="77">IF(CR58=0,0,AH59)</f>
        <v>0</v>
      </c>
      <c r="CU59" s="62">
        <f t="shared" si="63"/>
        <v>0</v>
      </c>
      <c r="CV59" s="61">
        <f t="shared" si="64"/>
        <v>1</v>
      </c>
      <c r="CW59" s="43" t="str">
        <f t="shared" si="65"/>
        <v>min</v>
      </c>
      <c r="CX59" s="35">
        <f t="shared" si="66"/>
        <v>0</v>
      </c>
      <c r="CY59" s="36">
        <f t="shared" si="67"/>
        <v>0</v>
      </c>
      <c r="CZ59" s="35">
        <f t="shared" si="68"/>
        <v>0</v>
      </c>
      <c r="DA59" s="62">
        <f t="shared" si="69"/>
        <v>0</v>
      </c>
    </row>
    <row r="60" spans="2:105" x14ac:dyDescent="0.3">
      <c r="B60" s="1">
        <v>0.833314</v>
      </c>
      <c r="C60" s="8">
        <v>10.06</v>
      </c>
      <c r="D60">
        <f t="shared" si="11"/>
        <v>495</v>
      </c>
      <c r="F60" s="1">
        <v>0.820905</v>
      </c>
      <c r="G60" s="8">
        <v>22.94</v>
      </c>
      <c r="H60">
        <f t="shared" si="12"/>
        <v>505.76</v>
      </c>
      <c r="J60" s="1">
        <v>0.81620899999999996</v>
      </c>
      <c r="K60" s="8">
        <v>8.7200000000000006</v>
      </c>
      <c r="L60">
        <f t="shared" si="13"/>
        <v>504.81</v>
      </c>
      <c r="N60" s="1">
        <v>0.81229099999999999</v>
      </c>
      <c r="O60" s="1">
        <v>-5.7</v>
      </c>
      <c r="P60">
        <f t="shared" si="14"/>
        <v>490.39</v>
      </c>
      <c r="R60" s="1">
        <v>0.81714799999999999</v>
      </c>
      <c r="S60" s="1">
        <v>-15.28</v>
      </c>
      <c r="T60">
        <f t="shared" si="15"/>
        <v>503.21000000000004</v>
      </c>
      <c r="V60" s="1">
        <v>0.843163</v>
      </c>
      <c r="W60" s="1">
        <v>-19.02</v>
      </c>
      <c r="X60">
        <f t="shared" si="16"/>
        <v>502.84000000000003</v>
      </c>
      <c r="Z60" s="1">
        <v>0.87360800000000005</v>
      </c>
      <c r="AA60" s="1">
        <v>-23.49</v>
      </c>
      <c r="AB60">
        <f t="shared" si="17"/>
        <v>502.29999999999995</v>
      </c>
      <c r="AD60" s="1">
        <v>0.90265200000000001</v>
      </c>
      <c r="AE60" s="1">
        <v>-18.39</v>
      </c>
      <c r="AF60">
        <f t="shared" si="18"/>
        <v>511.12</v>
      </c>
      <c r="AH60" s="1">
        <v>0.93264499999999995</v>
      </c>
      <c r="AI60" s="1">
        <v>-10.11</v>
      </c>
      <c r="AJ60">
        <f t="shared" si="19"/>
        <v>523.13</v>
      </c>
      <c r="AL60" s="1">
        <v>0.975271</v>
      </c>
      <c r="AM60" s="1">
        <v>-3.18</v>
      </c>
      <c r="AN60">
        <f t="shared" si="20"/>
        <v>535.15000000000009</v>
      </c>
      <c r="AP60" s="15"/>
      <c r="AQ60" s="15"/>
      <c r="AT60" s="61">
        <f t="shared" si="72"/>
        <v>0</v>
      </c>
      <c r="AU60" s="43">
        <f t="shared" si="2"/>
        <v>0</v>
      </c>
      <c r="AV60" s="35">
        <f t="shared" si="73"/>
        <v>0</v>
      </c>
      <c r="AW60" s="36">
        <f t="shared" si="21"/>
        <v>0</v>
      </c>
      <c r="AX60" s="35">
        <f t="shared" si="74"/>
        <v>0</v>
      </c>
      <c r="AY60" s="62">
        <f t="shared" si="75"/>
        <v>0</v>
      </c>
      <c r="AZ60" s="61">
        <f t="shared" si="76"/>
        <v>0</v>
      </c>
      <c r="BA60" s="43">
        <f t="shared" si="7"/>
        <v>0</v>
      </c>
      <c r="BB60" s="35">
        <f t="shared" si="71"/>
        <v>0</v>
      </c>
      <c r="BC60" s="36">
        <f t="shared" si="23"/>
        <v>0</v>
      </c>
      <c r="BD60" s="35">
        <f t="shared" si="24"/>
        <v>0</v>
      </c>
      <c r="BE60" s="62">
        <f t="shared" si="25"/>
        <v>0</v>
      </c>
      <c r="BF60" s="61">
        <f t="shared" si="26"/>
        <v>0</v>
      </c>
      <c r="BG60" s="43">
        <f t="shared" si="8"/>
        <v>0</v>
      </c>
      <c r="BH60" s="35">
        <f t="shared" si="27"/>
        <v>0</v>
      </c>
      <c r="BI60" s="36">
        <f t="shared" si="28"/>
        <v>0</v>
      </c>
      <c r="BJ60" s="35">
        <f t="shared" si="29"/>
        <v>0</v>
      </c>
      <c r="BK60" s="62">
        <f t="shared" si="30"/>
        <v>0</v>
      </c>
      <c r="BL60" s="61">
        <f t="shared" si="31"/>
        <v>0</v>
      </c>
      <c r="BM60" s="43">
        <f t="shared" si="32"/>
        <v>0</v>
      </c>
      <c r="BN60" s="35">
        <f t="shared" si="33"/>
        <v>0</v>
      </c>
      <c r="BO60" s="36">
        <f t="shared" si="34"/>
        <v>0</v>
      </c>
      <c r="BP60" s="35">
        <f t="shared" si="35"/>
        <v>0</v>
      </c>
      <c r="BQ60" s="62">
        <f t="shared" si="36"/>
        <v>0</v>
      </c>
      <c r="BR60" s="61">
        <f t="shared" si="37"/>
        <v>0</v>
      </c>
      <c r="BS60" s="43">
        <f t="shared" si="38"/>
        <v>0</v>
      </c>
      <c r="BT60" s="35">
        <f t="shared" si="39"/>
        <v>0</v>
      </c>
      <c r="BU60" s="36">
        <f t="shared" si="40"/>
        <v>0</v>
      </c>
      <c r="BV60" s="35">
        <f t="shared" si="41"/>
        <v>0</v>
      </c>
      <c r="BW60" s="62">
        <f t="shared" si="42"/>
        <v>0</v>
      </c>
      <c r="BX60" s="61">
        <f t="shared" si="43"/>
        <v>0</v>
      </c>
      <c r="BY60" s="43">
        <f t="shared" si="44"/>
        <v>0</v>
      </c>
      <c r="BZ60" s="35">
        <f t="shared" si="45"/>
        <v>0</v>
      </c>
      <c r="CA60" s="36">
        <f t="shared" si="46"/>
        <v>0</v>
      </c>
      <c r="CB60" s="35">
        <f t="shared" si="47"/>
        <v>0</v>
      </c>
      <c r="CC60" s="62">
        <f t="shared" si="48"/>
        <v>0</v>
      </c>
      <c r="CD60" s="61">
        <f t="shared" si="49"/>
        <v>0</v>
      </c>
      <c r="CE60" s="43">
        <f t="shared" si="9"/>
        <v>0</v>
      </c>
      <c r="CF60" s="35">
        <f t="shared" si="50"/>
        <v>0</v>
      </c>
      <c r="CG60" s="36">
        <f t="shared" si="51"/>
        <v>0</v>
      </c>
      <c r="CH60" s="35">
        <f t="shared" si="52"/>
        <v>0</v>
      </c>
      <c r="CI60" s="62">
        <f t="shared" si="70"/>
        <v>0</v>
      </c>
      <c r="CJ60" s="61">
        <f t="shared" si="53"/>
        <v>1</v>
      </c>
      <c r="CK60" s="43" t="str">
        <f t="shared" si="54"/>
        <v>min</v>
      </c>
      <c r="CL60" s="35">
        <f t="shared" si="55"/>
        <v>0</v>
      </c>
      <c r="CM60" s="36">
        <f t="shared" si="56"/>
        <v>0</v>
      </c>
      <c r="CN60" s="35">
        <f t="shared" si="57"/>
        <v>0.90265200000000001</v>
      </c>
      <c r="CO60" s="62">
        <f t="shared" si="58"/>
        <v>-18.39</v>
      </c>
      <c r="CP60" s="61">
        <f t="shared" si="59"/>
        <v>1</v>
      </c>
      <c r="CQ60" s="43" t="str">
        <f t="shared" si="60"/>
        <v>min</v>
      </c>
      <c r="CR60" s="35">
        <f t="shared" si="61"/>
        <v>0</v>
      </c>
      <c r="CS60" s="43">
        <f t="shared" si="62"/>
        <v>0</v>
      </c>
      <c r="CT60" s="43">
        <f t="shared" si="77"/>
        <v>0</v>
      </c>
      <c r="CU60" s="62">
        <f t="shared" si="63"/>
        <v>0</v>
      </c>
      <c r="CV60" s="61">
        <f t="shared" si="64"/>
        <v>1</v>
      </c>
      <c r="CW60" s="43" t="str">
        <f t="shared" si="65"/>
        <v>min</v>
      </c>
      <c r="CX60" s="35">
        <f t="shared" si="66"/>
        <v>0</v>
      </c>
      <c r="CY60" s="36">
        <f t="shared" si="67"/>
        <v>0</v>
      </c>
      <c r="CZ60" s="35">
        <f t="shared" si="68"/>
        <v>0</v>
      </c>
      <c r="DA60" s="62">
        <f t="shared" si="69"/>
        <v>0</v>
      </c>
    </row>
    <row r="61" spans="2:105" x14ac:dyDescent="0.3">
      <c r="B61" s="1">
        <v>0.84742899999999999</v>
      </c>
      <c r="C61" s="8">
        <v>14.05</v>
      </c>
      <c r="D61">
        <f t="shared" si="11"/>
        <v>498.99</v>
      </c>
      <c r="F61" s="1">
        <v>0.83480900000000002</v>
      </c>
      <c r="G61" s="8">
        <v>21.3</v>
      </c>
      <c r="H61">
        <f t="shared" si="12"/>
        <v>504.12</v>
      </c>
      <c r="J61" s="1">
        <v>0.83003400000000005</v>
      </c>
      <c r="K61" s="8">
        <v>6.94</v>
      </c>
      <c r="L61">
        <f t="shared" si="13"/>
        <v>503.03</v>
      </c>
      <c r="N61" s="1">
        <v>0.82604900000000003</v>
      </c>
      <c r="O61" s="1">
        <v>-7.5</v>
      </c>
      <c r="P61">
        <f t="shared" si="14"/>
        <v>488.59</v>
      </c>
      <c r="R61" s="1">
        <v>0.83098899999999998</v>
      </c>
      <c r="S61" s="1">
        <v>-16.989999999999998</v>
      </c>
      <c r="T61">
        <f t="shared" si="15"/>
        <v>501.5</v>
      </c>
      <c r="V61" s="1">
        <v>0.85744500000000001</v>
      </c>
      <c r="W61" s="1">
        <v>-20.86</v>
      </c>
      <c r="X61">
        <f t="shared" si="16"/>
        <v>501</v>
      </c>
      <c r="Z61" s="1">
        <v>0.888405</v>
      </c>
      <c r="AA61" s="1">
        <v>-24.19</v>
      </c>
      <c r="AB61">
        <f t="shared" si="17"/>
        <v>501.59999999999997</v>
      </c>
      <c r="AD61" s="1">
        <v>0.91794100000000001</v>
      </c>
      <c r="AE61" s="1">
        <v>-15.99</v>
      </c>
      <c r="AF61">
        <f t="shared" si="18"/>
        <v>513.52</v>
      </c>
      <c r="AH61" s="1">
        <v>0.94844300000000004</v>
      </c>
      <c r="AI61" s="1">
        <v>-7.92</v>
      </c>
      <c r="AJ61">
        <f t="shared" si="19"/>
        <v>525.32000000000005</v>
      </c>
      <c r="AL61" s="1">
        <v>0.99179099999999998</v>
      </c>
      <c r="AM61" s="1">
        <v>-1.1499999999999999</v>
      </c>
      <c r="AN61">
        <f t="shared" si="20"/>
        <v>537.18000000000006</v>
      </c>
      <c r="AP61" s="15"/>
      <c r="AQ61" s="15"/>
      <c r="AT61" s="61">
        <f t="shared" si="72"/>
        <v>0</v>
      </c>
      <c r="AU61" s="43">
        <f t="shared" si="2"/>
        <v>0</v>
      </c>
      <c r="AV61" s="35">
        <f t="shared" si="73"/>
        <v>0</v>
      </c>
      <c r="AW61" s="36">
        <f t="shared" si="21"/>
        <v>0</v>
      </c>
      <c r="AX61" s="35">
        <f t="shared" si="74"/>
        <v>0</v>
      </c>
      <c r="AY61" s="62">
        <f t="shared" si="75"/>
        <v>0</v>
      </c>
      <c r="AZ61" s="61">
        <f t="shared" si="76"/>
        <v>0</v>
      </c>
      <c r="BA61" s="43">
        <f t="shared" si="7"/>
        <v>0</v>
      </c>
      <c r="BB61" s="35">
        <f t="shared" si="71"/>
        <v>0</v>
      </c>
      <c r="BC61" s="36">
        <f t="shared" si="23"/>
        <v>0</v>
      </c>
      <c r="BD61" s="35">
        <f t="shared" si="24"/>
        <v>0</v>
      </c>
      <c r="BE61" s="62">
        <f t="shared" si="25"/>
        <v>0</v>
      </c>
      <c r="BF61" s="61">
        <f t="shared" si="26"/>
        <v>0</v>
      </c>
      <c r="BG61" s="43">
        <f t="shared" si="8"/>
        <v>0</v>
      </c>
      <c r="BH61" s="35">
        <f t="shared" si="27"/>
        <v>0</v>
      </c>
      <c r="BI61" s="36">
        <f t="shared" si="28"/>
        <v>0</v>
      </c>
      <c r="BJ61" s="35">
        <f t="shared" si="29"/>
        <v>0</v>
      </c>
      <c r="BK61" s="62">
        <f t="shared" si="30"/>
        <v>0</v>
      </c>
      <c r="BL61" s="61">
        <f t="shared" si="31"/>
        <v>0</v>
      </c>
      <c r="BM61" s="43">
        <f t="shared" si="32"/>
        <v>0</v>
      </c>
      <c r="BN61" s="35">
        <f t="shared" si="33"/>
        <v>0</v>
      </c>
      <c r="BO61" s="36">
        <f t="shared" si="34"/>
        <v>0</v>
      </c>
      <c r="BP61" s="35">
        <f t="shared" si="35"/>
        <v>0</v>
      </c>
      <c r="BQ61" s="62">
        <f t="shared" si="36"/>
        <v>0</v>
      </c>
      <c r="BR61" s="61">
        <f t="shared" si="37"/>
        <v>0</v>
      </c>
      <c r="BS61" s="43">
        <f t="shared" si="38"/>
        <v>0</v>
      </c>
      <c r="BT61" s="35">
        <f t="shared" si="39"/>
        <v>0</v>
      </c>
      <c r="BU61" s="36">
        <f t="shared" si="40"/>
        <v>0</v>
      </c>
      <c r="BV61" s="35">
        <f t="shared" si="41"/>
        <v>0</v>
      </c>
      <c r="BW61" s="62">
        <f t="shared" si="42"/>
        <v>0</v>
      </c>
      <c r="BX61" s="61">
        <f t="shared" si="43"/>
        <v>0</v>
      </c>
      <c r="BY61" s="43">
        <f t="shared" si="44"/>
        <v>0</v>
      </c>
      <c r="BZ61" s="35">
        <f t="shared" si="45"/>
        <v>0</v>
      </c>
      <c r="CA61" s="36">
        <f t="shared" si="46"/>
        <v>0</v>
      </c>
      <c r="CB61" s="35">
        <f t="shared" si="47"/>
        <v>0</v>
      </c>
      <c r="CC61" s="62">
        <f t="shared" si="48"/>
        <v>0</v>
      </c>
      <c r="CD61" s="61">
        <f t="shared" si="49"/>
        <v>0</v>
      </c>
      <c r="CE61" s="43" t="str">
        <f t="shared" si="9"/>
        <v>min</v>
      </c>
      <c r="CF61" s="35">
        <f t="shared" si="50"/>
        <v>0.888405</v>
      </c>
      <c r="CG61" s="36">
        <f t="shared" si="51"/>
        <v>-24.19</v>
      </c>
      <c r="CH61" s="35">
        <f t="shared" si="52"/>
        <v>0</v>
      </c>
      <c r="CI61" s="62">
        <f t="shared" si="70"/>
        <v>0</v>
      </c>
      <c r="CJ61" s="61">
        <f t="shared" si="53"/>
        <v>1</v>
      </c>
      <c r="CK61" s="43" t="str">
        <f t="shared" si="54"/>
        <v>min</v>
      </c>
      <c r="CL61" s="35">
        <f t="shared" si="55"/>
        <v>0</v>
      </c>
      <c r="CM61" s="36">
        <f t="shared" si="56"/>
        <v>0</v>
      </c>
      <c r="CN61" s="35">
        <f t="shared" si="57"/>
        <v>0</v>
      </c>
      <c r="CO61" s="62">
        <f t="shared" si="58"/>
        <v>0</v>
      </c>
      <c r="CP61" s="61">
        <f t="shared" si="59"/>
        <v>1</v>
      </c>
      <c r="CQ61" s="43" t="str">
        <f t="shared" si="60"/>
        <v>min</v>
      </c>
      <c r="CR61" s="35">
        <f t="shared" si="61"/>
        <v>0</v>
      </c>
      <c r="CS61" s="43">
        <f t="shared" si="62"/>
        <v>0</v>
      </c>
      <c r="CT61" s="43">
        <f t="shared" si="77"/>
        <v>0</v>
      </c>
      <c r="CU61" s="62">
        <f t="shared" si="63"/>
        <v>0</v>
      </c>
      <c r="CV61" s="61">
        <f t="shared" si="64"/>
        <v>1</v>
      </c>
      <c r="CW61" s="43" t="str">
        <f t="shared" si="65"/>
        <v>min</v>
      </c>
      <c r="CX61" s="35">
        <f t="shared" si="66"/>
        <v>0</v>
      </c>
      <c r="CY61" s="36">
        <f t="shared" si="67"/>
        <v>0</v>
      </c>
      <c r="CZ61" s="35">
        <f t="shared" si="68"/>
        <v>0</v>
      </c>
      <c r="DA61" s="62">
        <f t="shared" si="69"/>
        <v>0</v>
      </c>
    </row>
    <row r="62" spans="2:105" x14ac:dyDescent="0.3">
      <c r="B62" s="1">
        <v>0.86151500000000003</v>
      </c>
      <c r="C62" s="8">
        <v>18.059999999999999</v>
      </c>
      <c r="D62">
        <f t="shared" si="11"/>
        <v>503</v>
      </c>
      <c r="F62" s="1">
        <v>0.84868600000000005</v>
      </c>
      <c r="G62" s="8">
        <v>19.64</v>
      </c>
      <c r="H62">
        <f t="shared" si="12"/>
        <v>502.46</v>
      </c>
      <c r="J62" s="1">
        <v>0.843831</v>
      </c>
      <c r="K62" s="8">
        <v>5.0999999999999996</v>
      </c>
      <c r="L62">
        <f t="shared" si="13"/>
        <v>501.19</v>
      </c>
      <c r="N62" s="1">
        <v>0.83977999999999997</v>
      </c>
      <c r="O62" s="1">
        <v>-9.08</v>
      </c>
      <c r="P62">
        <f t="shared" si="14"/>
        <v>487.01</v>
      </c>
      <c r="R62" s="1">
        <v>0.84480200000000005</v>
      </c>
      <c r="S62" s="1">
        <v>-18.7</v>
      </c>
      <c r="T62">
        <f t="shared" si="15"/>
        <v>499.79</v>
      </c>
      <c r="V62" s="1">
        <v>0.87169799999999997</v>
      </c>
      <c r="W62" s="1">
        <v>-22.68</v>
      </c>
      <c r="X62">
        <f t="shared" si="16"/>
        <v>499.18</v>
      </c>
      <c r="Z62" s="1">
        <v>0.903173</v>
      </c>
      <c r="AA62" s="1">
        <v>-21.88</v>
      </c>
      <c r="AB62">
        <f t="shared" si="17"/>
        <v>503.90999999999997</v>
      </c>
      <c r="AD62" s="1">
        <v>0.933199</v>
      </c>
      <c r="AE62" s="1">
        <v>-13.66</v>
      </c>
      <c r="AF62">
        <f t="shared" si="18"/>
        <v>515.85</v>
      </c>
      <c r="AH62" s="1">
        <v>0.96420799999999995</v>
      </c>
      <c r="AI62" s="1">
        <v>-5.49</v>
      </c>
      <c r="AJ62">
        <f t="shared" si="19"/>
        <v>527.75</v>
      </c>
      <c r="AL62" s="1">
        <v>1</v>
      </c>
      <c r="AM62" s="1">
        <v>0</v>
      </c>
      <c r="AN62">
        <f t="shared" si="20"/>
        <v>538.33000000000004</v>
      </c>
      <c r="AP62" s="15"/>
      <c r="AQ62" s="15"/>
      <c r="AT62" s="61">
        <f t="shared" si="72"/>
        <v>0</v>
      </c>
      <c r="AU62" s="43">
        <f t="shared" si="2"/>
        <v>0</v>
      </c>
      <c r="AV62" s="35">
        <f t="shared" si="73"/>
        <v>0</v>
      </c>
      <c r="AW62" s="36">
        <f t="shared" si="21"/>
        <v>0</v>
      </c>
      <c r="AX62" s="35">
        <f t="shared" si="74"/>
        <v>0</v>
      </c>
      <c r="AY62" s="62">
        <f t="shared" si="75"/>
        <v>0</v>
      </c>
      <c r="AZ62" s="61">
        <f t="shared" si="76"/>
        <v>0</v>
      </c>
      <c r="BA62" s="43">
        <f t="shared" si="7"/>
        <v>0</v>
      </c>
      <c r="BB62" s="35">
        <f t="shared" si="71"/>
        <v>0</v>
      </c>
      <c r="BC62" s="36">
        <f t="shared" si="23"/>
        <v>0</v>
      </c>
      <c r="BD62" s="35">
        <f t="shared" si="24"/>
        <v>0</v>
      </c>
      <c r="BE62" s="62">
        <f t="shared" si="25"/>
        <v>0</v>
      </c>
      <c r="BF62" s="61">
        <f t="shared" si="26"/>
        <v>0</v>
      </c>
      <c r="BG62" s="43">
        <f t="shared" si="8"/>
        <v>0</v>
      </c>
      <c r="BH62" s="35">
        <f t="shared" si="27"/>
        <v>0</v>
      </c>
      <c r="BI62" s="36">
        <f t="shared" si="28"/>
        <v>0</v>
      </c>
      <c r="BJ62" s="35">
        <f t="shared" si="29"/>
        <v>0</v>
      </c>
      <c r="BK62" s="62">
        <f t="shared" si="30"/>
        <v>0</v>
      </c>
      <c r="BL62" s="61">
        <f t="shared" si="31"/>
        <v>0</v>
      </c>
      <c r="BM62" s="43">
        <f t="shared" si="32"/>
        <v>0</v>
      </c>
      <c r="BN62" s="35">
        <f t="shared" si="33"/>
        <v>0</v>
      </c>
      <c r="BO62" s="36">
        <f t="shared" si="34"/>
        <v>0</v>
      </c>
      <c r="BP62" s="35">
        <f t="shared" si="35"/>
        <v>0</v>
      </c>
      <c r="BQ62" s="62">
        <f t="shared" si="36"/>
        <v>0</v>
      </c>
      <c r="BR62" s="61">
        <f t="shared" si="37"/>
        <v>0</v>
      </c>
      <c r="BS62" s="43">
        <f t="shared" si="38"/>
        <v>0</v>
      </c>
      <c r="BT62" s="35">
        <f t="shared" si="39"/>
        <v>0</v>
      </c>
      <c r="BU62" s="36">
        <f t="shared" si="40"/>
        <v>0</v>
      </c>
      <c r="BV62" s="35">
        <f t="shared" si="41"/>
        <v>0</v>
      </c>
      <c r="BW62" s="62">
        <f t="shared" si="42"/>
        <v>0</v>
      </c>
      <c r="BX62" s="61">
        <f t="shared" si="43"/>
        <v>0</v>
      </c>
      <c r="BY62" s="43">
        <f t="shared" si="44"/>
        <v>0</v>
      </c>
      <c r="BZ62" s="35">
        <f t="shared" si="45"/>
        <v>0</v>
      </c>
      <c r="CA62" s="36">
        <f t="shared" si="46"/>
        <v>0</v>
      </c>
      <c r="CB62" s="35">
        <f t="shared" si="47"/>
        <v>0</v>
      </c>
      <c r="CC62" s="62">
        <f t="shared" si="48"/>
        <v>0</v>
      </c>
      <c r="CD62" s="61">
        <f t="shared" si="49"/>
        <v>1</v>
      </c>
      <c r="CE62" s="43" t="str">
        <f t="shared" si="9"/>
        <v>min</v>
      </c>
      <c r="CF62" s="35">
        <f t="shared" si="50"/>
        <v>0</v>
      </c>
      <c r="CG62" s="36">
        <f t="shared" si="51"/>
        <v>0</v>
      </c>
      <c r="CH62" s="35">
        <f t="shared" si="52"/>
        <v>0.903173</v>
      </c>
      <c r="CI62" s="62">
        <f t="shared" si="70"/>
        <v>-21.88</v>
      </c>
      <c r="CJ62" s="61">
        <f t="shared" si="53"/>
        <v>1</v>
      </c>
      <c r="CK62" s="43" t="str">
        <f t="shared" si="54"/>
        <v>min</v>
      </c>
      <c r="CL62" s="35">
        <f t="shared" si="55"/>
        <v>0</v>
      </c>
      <c r="CM62" s="36">
        <f t="shared" si="56"/>
        <v>0</v>
      </c>
      <c r="CN62" s="35">
        <f t="shared" si="57"/>
        <v>0</v>
      </c>
      <c r="CO62" s="62">
        <f t="shared" si="58"/>
        <v>0</v>
      </c>
      <c r="CP62" s="61">
        <f t="shared" si="59"/>
        <v>1</v>
      </c>
      <c r="CQ62" s="43" t="str">
        <f t="shared" si="60"/>
        <v>min</v>
      </c>
      <c r="CR62" s="35">
        <f t="shared" si="61"/>
        <v>0</v>
      </c>
      <c r="CS62" s="43">
        <f t="shared" si="62"/>
        <v>0</v>
      </c>
      <c r="CT62" s="43">
        <f t="shared" si="77"/>
        <v>0</v>
      </c>
      <c r="CU62" s="62">
        <f t="shared" si="63"/>
        <v>0</v>
      </c>
      <c r="CV62" s="61">
        <f t="shared" si="64"/>
        <v>1</v>
      </c>
      <c r="CW62" s="43" t="str">
        <f t="shared" si="65"/>
        <v>min</v>
      </c>
      <c r="CX62" s="35">
        <f t="shared" si="66"/>
        <v>0</v>
      </c>
      <c r="CY62" s="36">
        <f t="shared" si="67"/>
        <v>0</v>
      </c>
      <c r="CZ62" s="35">
        <f t="shared" si="68"/>
        <v>0</v>
      </c>
      <c r="DA62" s="62">
        <f t="shared" si="69"/>
        <v>0</v>
      </c>
    </row>
    <row r="63" spans="2:105" x14ac:dyDescent="0.3">
      <c r="B63" s="1">
        <v>0.87560099999999996</v>
      </c>
      <c r="C63" s="8">
        <v>16.96</v>
      </c>
      <c r="D63">
        <f t="shared" si="11"/>
        <v>501.9</v>
      </c>
      <c r="F63" s="1">
        <v>0.86256200000000005</v>
      </c>
      <c r="G63" s="8">
        <v>17.97</v>
      </c>
      <c r="H63">
        <f t="shared" si="12"/>
        <v>500.78999999999996</v>
      </c>
      <c r="J63" s="1">
        <v>0.85762799999999995</v>
      </c>
      <c r="K63" s="8">
        <v>3.26</v>
      </c>
      <c r="L63">
        <f t="shared" si="13"/>
        <v>499.34999999999997</v>
      </c>
      <c r="N63" s="1">
        <v>0.85351100000000002</v>
      </c>
      <c r="O63" s="1">
        <v>-10.67</v>
      </c>
      <c r="P63">
        <f t="shared" si="14"/>
        <v>485.41999999999996</v>
      </c>
      <c r="R63" s="1">
        <v>0.85861500000000002</v>
      </c>
      <c r="S63" s="1">
        <v>-20.45</v>
      </c>
      <c r="T63">
        <f t="shared" si="15"/>
        <v>498.04</v>
      </c>
      <c r="V63" s="1">
        <v>0.88595000000000002</v>
      </c>
      <c r="W63" s="1">
        <v>-24.52</v>
      </c>
      <c r="X63">
        <f t="shared" si="16"/>
        <v>497.34000000000003</v>
      </c>
      <c r="Z63" s="1">
        <v>0.91793999999999998</v>
      </c>
      <c r="AA63" s="1">
        <v>-19.62</v>
      </c>
      <c r="AB63">
        <f t="shared" si="17"/>
        <v>506.16999999999996</v>
      </c>
      <c r="AD63" s="1">
        <v>0.94845699999999999</v>
      </c>
      <c r="AE63" s="1">
        <v>-11.39</v>
      </c>
      <c r="AF63">
        <f t="shared" si="18"/>
        <v>518.12</v>
      </c>
      <c r="AH63" s="1">
        <v>0.97997299999999998</v>
      </c>
      <c r="AI63" s="1">
        <v>-3.19</v>
      </c>
      <c r="AJ63">
        <f t="shared" si="19"/>
        <v>530.04999999999995</v>
      </c>
      <c r="AL63" s="1">
        <v>1.0000340000000001</v>
      </c>
      <c r="AM63" s="1">
        <v>-0.01</v>
      </c>
      <c r="AN63">
        <f t="shared" si="20"/>
        <v>538.32000000000005</v>
      </c>
      <c r="AP63" s="15"/>
      <c r="AQ63" s="15"/>
      <c r="AT63" s="61">
        <f t="shared" si="72"/>
        <v>0</v>
      </c>
      <c r="AU63" s="43">
        <f t="shared" si="2"/>
        <v>0</v>
      </c>
      <c r="AV63" s="35">
        <f t="shared" si="73"/>
        <v>0</v>
      </c>
      <c r="AW63" s="36">
        <f t="shared" si="21"/>
        <v>0</v>
      </c>
      <c r="AX63" s="35">
        <f t="shared" si="74"/>
        <v>0</v>
      </c>
      <c r="AY63" s="62">
        <f t="shared" si="75"/>
        <v>0</v>
      </c>
      <c r="AZ63" s="61">
        <f t="shared" si="76"/>
        <v>0</v>
      </c>
      <c r="BA63" s="43">
        <f t="shared" si="7"/>
        <v>0</v>
      </c>
      <c r="BB63" s="35">
        <f t="shared" si="71"/>
        <v>0</v>
      </c>
      <c r="BC63" s="36">
        <f t="shared" si="23"/>
        <v>0</v>
      </c>
      <c r="BD63" s="35">
        <f t="shared" si="24"/>
        <v>0</v>
      </c>
      <c r="BE63" s="62">
        <f t="shared" si="25"/>
        <v>0</v>
      </c>
      <c r="BF63" s="61">
        <f t="shared" si="26"/>
        <v>0</v>
      </c>
      <c r="BG63" s="43">
        <f t="shared" si="8"/>
        <v>0</v>
      </c>
      <c r="BH63" s="35">
        <f t="shared" si="27"/>
        <v>0</v>
      </c>
      <c r="BI63" s="36">
        <f t="shared" si="28"/>
        <v>0</v>
      </c>
      <c r="BJ63" s="35">
        <f t="shared" si="29"/>
        <v>0</v>
      </c>
      <c r="BK63" s="62">
        <f t="shared" si="30"/>
        <v>0</v>
      </c>
      <c r="BL63" s="61">
        <f t="shared" si="31"/>
        <v>0</v>
      </c>
      <c r="BM63" s="43">
        <f t="shared" si="32"/>
        <v>0</v>
      </c>
      <c r="BN63" s="35">
        <f t="shared" si="33"/>
        <v>0</v>
      </c>
      <c r="BO63" s="36">
        <f t="shared" si="34"/>
        <v>0</v>
      </c>
      <c r="BP63" s="35">
        <f t="shared" si="35"/>
        <v>0</v>
      </c>
      <c r="BQ63" s="62">
        <f t="shared" si="36"/>
        <v>0</v>
      </c>
      <c r="BR63" s="61">
        <f t="shared" si="37"/>
        <v>0</v>
      </c>
      <c r="BS63" s="43">
        <f t="shared" si="38"/>
        <v>0</v>
      </c>
      <c r="BT63" s="35">
        <f t="shared" si="39"/>
        <v>0</v>
      </c>
      <c r="BU63" s="36">
        <f t="shared" si="40"/>
        <v>0</v>
      </c>
      <c r="BV63" s="35">
        <f t="shared" si="41"/>
        <v>0</v>
      </c>
      <c r="BW63" s="62">
        <f t="shared" si="42"/>
        <v>0</v>
      </c>
      <c r="BX63" s="61">
        <f t="shared" si="43"/>
        <v>0</v>
      </c>
      <c r="BY63" s="43" t="str">
        <f t="shared" si="44"/>
        <v>min</v>
      </c>
      <c r="BZ63" s="35">
        <f t="shared" si="45"/>
        <v>0.88595000000000002</v>
      </c>
      <c r="CA63" s="36">
        <f t="shared" si="46"/>
        <v>-24.52</v>
      </c>
      <c r="CB63" s="35">
        <f t="shared" si="47"/>
        <v>0</v>
      </c>
      <c r="CC63" s="62">
        <f t="shared" si="48"/>
        <v>0</v>
      </c>
      <c r="CD63" s="61">
        <f t="shared" si="49"/>
        <v>1</v>
      </c>
      <c r="CE63" s="43" t="str">
        <f t="shared" si="9"/>
        <v>min</v>
      </c>
      <c r="CF63" s="35">
        <f t="shared" si="50"/>
        <v>0</v>
      </c>
      <c r="CG63" s="36">
        <f t="shared" si="51"/>
        <v>0</v>
      </c>
      <c r="CH63" s="35">
        <f t="shared" si="52"/>
        <v>0</v>
      </c>
      <c r="CI63" s="62">
        <f t="shared" si="70"/>
        <v>0</v>
      </c>
      <c r="CJ63" s="61">
        <f t="shared" si="53"/>
        <v>1</v>
      </c>
      <c r="CK63" s="43" t="str">
        <f t="shared" si="54"/>
        <v>min</v>
      </c>
      <c r="CL63" s="35">
        <f t="shared" si="55"/>
        <v>0</v>
      </c>
      <c r="CM63" s="36">
        <f t="shared" si="56"/>
        <v>0</v>
      </c>
      <c r="CN63" s="35">
        <f t="shared" si="57"/>
        <v>0</v>
      </c>
      <c r="CO63" s="62">
        <f t="shared" si="58"/>
        <v>0</v>
      </c>
      <c r="CP63" s="61">
        <f t="shared" si="59"/>
        <v>1</v>
      </c>
      <c r="CQ63" s="43" t="str">
        <f t="shared" si="60"/>
        <v>min</v>
      </c>
      <c r="CR63" s="35">
        <f t="shared" si="61"/>
        <v>0</v>
      </c>
      <c r="CS63" s="43">
        <f t="shared" si="62"/>
        <v>0</v>
      </c>
      <c r="CT63" s="43">
        <f t="shared" si="77"/>
        <v>0</v>
      </c>
      <c r="CU63" s="62">
        <f t="shared" si="63"/>
        <v>0</v>
      </c>
      <c r="CV63" s="61">
        <f t="shared" si="64"/>
        <v>1</v>
      </c>
      <c r="CW63" s="43" t="str">
        <f t="shared" si="65"/>
        <v>min</v>
      </c>
      <c r="CX63" s="35">
        <f t="shared" si="66"/>
        <v>0</v>
      </c>
      <c r="CY63" s="36">
        <f t="shared" si="67"/>
        <v>0</v>
      </c>
      <c r="CZ63" s="35">
        <f t="shared" si="68"/>
        <v>0</v>
      </c>
      <c r="DA63" s="62">
        <f t="shared" si="69"/>
        <v>0</v>
      </c>
    </row>
    <row r="64" spans="2:105" x14ac:dyDescent="0.3">
      <c r="B64" s="1">
        <v>0.88968700000000001</v>
      </c>
      <c r="C64" s="8">
        <v>15.35</v>
      </c>
      <c r="D64">
        <f t="shared" si="11"/>
        <v>500.29</v>
      </c>
      <c r="F64" s="1">
        <v>0.87643800000000005</v>
      </c>
      <c r="G64" s="8">
        <v>16.170000000000002</v>
      </c>
      <c r="H64">
        <f t="shared" si="12"/>
        <v>498.99</v>
      </c>
      <c r="J64" s="1">
        <v>0.87142500000000001</v>
      </c>
      <c r="K64" s="8">
        <v>1.42</v>
      </c>
      <c r="L64">
        <f t="shared" si="13"/>
        <v>497.51</v>
      </c>
      <c r="N64" s="1">
        <v>0.86724199999999996</v>
      </c>
      <c r="O64" s="1">
        <v>-12.29</v>
      </c>
      <c r="P64">
        <f t="shared" si="14"/>
        <v>483.79999999999995</v>
      </c>
      <c r="R64" s="1">
        <v>0.87242799999999998</v>
      </c>
      <c r="S64" s="1">
        <v>-22.24</v>
      </c>
      <c r="T64">
        <f t="shared" si="15"/>
        <v>496.25</v>
      </c>
      <c r="V64" s="1">
        <v>0.90020299999999998</v>
      </c>
      <c r="W64" s="1">
        <v>-23.9</v>
      </c>
      <c r="X64">
        <f t="shared" si="16"/>
        <v>497.96000000000004</v>
      </c>
      <c r="Z64" s="1">
        <v>0.93270699999999995</v>
      </c>
      <c r="AA64" s="1">
        <v>-16.36</v>
      </c>
      <c r="AB64">
        <f t="shared" si="17"/>
        <v>509.42999999999995</v>
      </c>
      <c r="AD64" s="1">
        <v>0.96371499999999999</v>
      </c>
      <c r="AE64" s="1">
        <v>-8.64</v>
      </c>
      <c r="AF64">
        <f t="shared" si="18"/>
        <v>520.87</v>
      </c>
      <c r="AH64" s="1">
        <v>0.99573800000000001</v>
      </c>
      <c r="AI64" s="1">
        <v>-0.96</v>
      </c>
      <c r="AJ64">
        <f t="shared" si="19"/>
        <v>532.28</v>
      </c>
      <c r="AL64" s="1">
        <v>1.000067</v>
      </c>
      <c r="AM64" s="1">
        <v>-0.01</v>
      </c>
      <c r="AN64">
        <f t="shared" si="20"/>
        <v>538.32000000000005</v>
      </c>
      <c r="AP64" s="15"/>
      <c r="AQ64" s="15"/>
      <c r="AT64" s="61">
        <f t="shared" si="72"/>
        <v>0</v>
      </c>
      <c r="AU64" s="43" t="str">
        <f t="shared" si="2"/>
        <v>min</v>
      </c>
      <c r="AV64" s="35">
        <f t="shared" si="73"/>
        <v>0.88968700000000001</v>
      </c>
      <c r="AW64" s="36">
        <f t="shared" si="21"/>
        <v>15.35</v>
      </c>
      <c r="AX64" s="35">
        <f t="shared" si="74"/>
        <v>0</v>
      </c>
      <c r="AY64" s="62">
        <f t="shared" si="75"/>
        <v>0</v>
      </c>
      <c r="AZ64" s="61">
        <f t="shared" si="76"/>
        <v>0</v>
      </c>
      <c r="BA64" s="43">
        <f t="shared" si="7"/>
        <v>0</v>
      </c>
      <c r="BB64" s="35">
        <f t="shared" si="71"/>
        <v>0</v>
      </c>
      <c r="BC64" s="36">
        <f t="shared" si="23"/>
        <v>0</v>
      </c>
      <c r="BD64" s="35">
        <f t="shared" si="24"/>
        <v>0</v>
      </c>
      <c r="BE64" s="62">
        <f t="shared" si="25"/>
        <v>0</v>
      </c>
      <c r="BF64" s="61">
        <f t="shared" si="26"/>
        <v>0</v>
      </c>
      <c r="BG64" s="43">
        <f t="shared" si="8"/>
        <v>0</v>
      </c>
      <c r="BH64" s="35">
        <f t="shared" si="27"/>
        <v>0</v>
      </c>
      <c r="BI64" s="36">
        <f t="shared" si="28"/>
        <v>0</v>
      </c>
      <c r="BJ64" s="35">
        <f t="shared" si="29"/>
        <v>0</v>
      </c>
      <c r="BK64" s="62">
        <f t="shared" si="30"/>
        <v>0</v>
      </c>
      <c r="BL64" s="61">
        <f t="shared" si="31"/>
        <v>0</v>
      </c>
      <c r="BM64" s="43">
        <f t="shared" si="32"/>
        <v>0</v>
      </c>
      <c r="BN64" s="35">
        <f t="shared" si="33"/>
        <v>0</v>
      </c>
      <c r="BO64" s="36">
        <f t="shared" si="34"/>
        <v>0</v>
      </c>
      <c r="BP64" s="35">
        <f t="shared" si="35"/>
        <v>0</v>
      </c>
      <c r="BQ64" s="62">
        <f t="shared" si="36"/>
        <v>0</v>
      </c>
      <c r="BR64" s="61">
        <f t="shared" si="37"/>
        <v>0</v>
      </c>
      <c r="BS64" s="43">
        <f t="shared" si="38"/>
        <v>0</v>
      </c>
      <c r="BT64" s="35">
        <f t="shared" si="39"/>
        <v>0</v>
      </c>
      <c r="BU64" s="36">
        <f t="shared" si="40"/>
        <v>0</v>
      </c>
      <c r="BV64" s="35">
        <f t="shared" si="41"/>
        <v>0</v>
      </c>
      <c r="BW64" s="62">
        <f t="shared" si="42"/>
        <v>0</v>
      </c>
      <c r="BX64" s="61">
        <f t="shared" si="43"/>
        <v>1</v>
      </c>
      <c r="BY64" s="43" t="str">
        <f t="shared" si="44"/>
        <v>min</v>
      </c>
      <c r="BZ64" s="35">
        <f t="shared" si="45"/>
        <v>0</v>
      </c>
      <c r="CA64" s="36">
        <f t="shared" si="46"/>
        <v>0</v>
      </c>
      <c r="CB64" s="35">
        <f t="shared" si="47"/>
        <v>0.90020299999999998</v>
      </c>
      <c r="CC64" s="62">
        <f t="shared" si="48"/>
        <v>-23.9</v>
      </c>
      <c r="CD64" s="61">
        <f t="shared" si="49"/>
        <v>1</v>
      </c>
      <c r="CE64" s="43" t="str">
        <f t="shared" si="9"/>
        <v>min</v>
      </c>
      <c r="CF64" s="35">
        <f t="shared" si="50"/>
        <v>0</v>
      </c>
      <c r="CG64" s="36">
        <f t="shared" si="51"/>
        <v>0</v>
      </c>
      <c r="CH64" s="35">
        <f t="shared" si="52"/>
        <v>0</v>
      </c>
      <c r="CI64" s="62">
        <f t="shared" si="70"/>
        <v>0</v>
      </c>
      <c r="CJ64" s="61">
        <f t="shared" si="53"/>
        <v>1</v>
      </c>
      <c r="CK64" s="43" t="str">
        <f t="shared" si="54"/>
        <v>min</v>
      </c>
      <c r="CL64" s="35">
        <f t="shared" si="55"/>
        <v>0</v>
      </c>
      <c r="CM64" s="36">
        <f t="shared" si="56"/>
        <v>0</v>
      </c>
      <c r="CN64" s="35">
        <f t="shared" si="57"/>
        <v>0</v>
      </c>
      <c r="CO64" s="62">
        <f t="shared" si="58"/>
        <v>0</v>
      </c>
      <c r="CP64" s="61">
        <f t="shared" si="59"/>
        <v>1</v>
      </c>
      <c r="CQ64" s="43" t="str">
        <f t="shared" si="60"/>
        <v>min</v>
      </c>
      <c r="CR64" s="35">
        <f t="shared" si="61"/>
        <v>0</v>
      </c>
      <c r="CS64" s="43">
        <f t="shared" si="62"/>
        <v>0</v>
      </c>
      <c r="CT64" s="43">
        <f t="shared" si="77"/>
        <v>0</v>
      </c>
      <c r="CU64" s="62">
        <f t="shared" si="63"/>
        <v>0</v>
      </c>
      <c r="CV64" s="61">
        <f t="shared" si="64"/>
        <v>1</v>
      </c>
      <c r="CW64" s="43">
        <f t="shared" si="65"/>
        <v>0</v>
      </c>
      <c r="CX64" s="35">
        <f t="shared" si="66"/>
        <v>0</v>
      </c>
      <c r="CY64" s="36">
        <f t="shared" si="67"/>
        <v>0</v>
      </c>
      <c r="CZ64" s="35">
        <f t="shared" si="68"/>
        <v>0</v>
      </c>
      <c r="DA64" s="62">
        <f t="shared" si="69"/>
        <v>0</v>
      </c>
    </row>
    <row r="65" spans="2:105" x14ac:dyDescent="0.3">
      <c r="B65" s="1">
        <v>0.90377300000000005</v>
      </c>
      <c r="C65" s="8">
        <v>13.71</v>
      </c>
      <c r="D65">
        <f t="shared" si="11"/>
        <v>498.65</v>
      </c>
      <c r="F65" s="1">
        <v>0.89031499999999997</v>
      </c>
      <c r="G65" s="8">
        <v>14.44</v>
      </c>
      <c r="H65">
        <f t="shared" si="12"/>
        <v>497.26</v>
      </c>
      <c r="J65" s="1">
        <v>0.88522199999999995</v>
      </c>
      <c r="K65" s="8">
        <v>-0.28000000000000003</v>
      </c>
      <c r="L65">
        <f t="shared" si="13"/>
        <v>495.81</v>
      </c>
      <c r="N65" s="1">
        <v>0.88097199999999998</v>
      </c>
      <c r="O65" s="1">
        <v>-13.98</v>
      </c>
      <c r="P65">
        <f t="shared" si="14"/>
        <v>482.10999999999996</v>
      </c>
      <c r="R65" s="1">
        <v>0.88624000000000003</v>
      </c>
      <c r="S65" s="1">
        <v>-24.03</v>
      </c>
      <c r="T65">
        <f t="shared" si="15"/>
        <v>494.46000000000004</v>
      </c>
      <c r="V65" s="1">
        <v>0.91445500000000002</v>
      </c>
      <c r="W65" s="1">
        <v>-20.27</v>
      </c>
      <c r="X65">
        <f t="shared" si="16"/>
        <v>501.59000000000003</v>
      </c>
      <c r="Z65" s="1">
        <v>0.94747400000000004</v>
      </c>
      <c r="AA65" s="1">
        <v>-12.69</v>
      </c>
      <c r="AB65">
        <f t="shared" si="17"/>
        <v>513.09999999999991</v>
      </c>
      <c r="AD65" s="1">
        <v>0.97897299999999998</v>
      </c>
      <c r="AE65" s="1">
        <v>-4.96</v>
      </c>
      <c r="AF65">
        <f t="shared" si="18"/>
        <v>524.54999999999995</v>
      </c>
      <c r="AH65" s="1">
        <v>1</v>
      </c>
      <c r="AI65" s="1">
        <v>0</v>
      </c>
      <c r="AJ65">
        <f t="shared" si="19"/>
        <v>533.24</v>
      </c>
      <c r="AL65" s="1">
        <v>0</v>
      </c>
      <c r="AM65" s="1">
        <v>0</v>
      </c>
      <c r="AP65" s="15"/>
      <c r="AQ65" s="15"/>
      <c r="AT65" s="61">
        <f t="shared" si="72"/>
        <v>1</v>
      </c>
      <c r="AU65" s="43" t="str">
        <f t="shared" si="2"/>
        <v>min</v>
      </c>
      <c r="AV65" s="35">
        <f t="shared" si="73"/>
        <v>0</v>
      </c>
      <c r="AW65" s="36">
        <f t="shared" si="21"/>
        <v>0</v>
      </c>
      <c r="AX65" s="35">
        <f t="shared" si="74"/>
        <v>0.90377300000000005</v>
      </c>
      <c r="AY65" s="62">
        <f t="shared" si="75"/>
        <v>13.71</v>
      </c>
      <c r="AZ65" s="61">
        <f t="shared" si="76"/>
        <v>0</v>
      </c>
      <c r="BA65" s="43" t="str">
        <f t="shared" si="7"/>
        <v>min</v>
      </c>
      <c r="BB65" s="35">
        <f t="shared" si="71"/>
        <v>0.89031499999999997</v>
      </c>
      <c r="BC65" s="36">
        <f t="shared" si="23"/>
        <v>14.44</v>
      </c>
      <c r="BD65" s="35">
        <f t="shared" si="24"/>
        <v>0</v>
      </c>
      <c r="BE65" s="62">
        <f t="shared" si="25"/>
        <v>0</v>
      </c>
      <c r="BF65" s="61">
        <f t="shared" si="26"/>
        <v>0</v>
      </c>
      <c r="BG65" s="43">
        <f t="shared" si="8"/>
        <v>0</v>
      </c>
      <c r="BH65" s="35">
        <f t="shared" si="27"/>
        <v>0</v>
      </c>
      <c r="BI65" s="36">
        <f t="shared" si="28"/>
        <v>0</v>
      </c>
      <c r="BJ65" s="35">
        <f t="shared" si="29"/>
        <v>0</v>
      </c>
      <c r="BK65" s="62">
        <f t="shared" si="30"/>
        <v>0</v>
      </c>
      <c r="BL65" s="61">
        <f t="shared" si="31"/>
        <v>0</v>
      </c>
      <c r="BM65" s="43">
        <f t="shared" si="32"/>
        <v>0</v>
      </c>
      <c r="BN65" s="35">
        <f t="shared" si="33"/>
        <v>0</v>
      </c>
      <c r="BO65" s="36">
        <f t="shared" si="34"/>
        <v>0</v>
      </c>
      <c r="BP65" s="35">
        <f t="shared" si="35"/>
        <v>0</v>
      </c>
      <c r="BQ65" s="62">
        <f t="shared" si="36"/>
        <v>0</v>
      </c>
      <c r="BR65" s="61">
        <f t="shared" si="37"/>
        <v>0</v>
      </c>
      <c r="BS65" s="43" t="str">
        <f t="shared" si="38"/>
        <v>min</v>
      </c>
      <c r="BT65" s="35">
        <f t="shared" si="39"/>
        <v>0.88624000000000003</v>
      </c>
      <c r="BU65" s="36">
        <f t="shared" si="40"/>
        <v>-24.03</v>
      </c>
      <c r="BV65" s="35">
        <f t="shared" si="41"/>
        <v>0</v>
      </c>
      <c r="BW65" s="62">
        <f t="shared" si="42"/>
        <v>0</v>
      </c>
      <c r="BX65" s="61">
        <f t="shared" si="43"/>
        <v>1</v>
      </c>
      <c r="BY65" s="43" t="str">
        <f t="shared" si="44"/>
        <v>min</v>
      </c>
      <c r="BZ65" s="35">
        <f t="shared" si="45"/>
        <v>0</v>
      </c>
      <c r="CA65" s="36">
        <f t="shared" si="46"/>
        <v>0</v>
      </c>
      <c r="CB65" s="35">
        <f t="shared" si="47"/>
        <v>0</v>
      </c>
      <c r="CC65" s="62">
        <f t="shared" si="48"/>
        <v>0</v>
      </c>
      <c r="CD65" s="61">
        <f t="shared" si="49"/>
        <v>1</v>
      </c>
      <c r="CE65" s="43" t="str">
        <f t="shared" si="9"/>
        <v>min</v>
      </c>
      <c r="CF65" s="35">
        <f t="shared" si="50"/>
        <v>0</v>
      </c>
      <c r="CG65" s="36">
        <f t="shared" si="51"/>
        <v>0</v>
      </c>
      <c r="CH65" s="35">
        <f t="shared" si="52"/>
        <v>0</v>
      </c>
      <c r="CI65" s="62">
        <f t="shared" si="70"/>
        <v>0</v>
      </c>
      <c r="CJ65" s="61">
        <f t="shared" si="53"/>
        <v>1</v>
      </c>
      <c r="CK65" s="43" t="str">
        <f t="shared" si="54"/>
        <v>min</v>
      </c>
      <c r="CL65" s="35">
        <f t="shared" si="55"/>
        <v>0</v>
      </c>
      <c r="CM65" s="36">
        <f t="shared" si="56"/>
        <v>0</v>
      </c>
      <c r="CN65" s="35">
        <f t="shared" si="57"/>
        <v>0</v>
      </c>
      <c r="CO65" s="62">
        <f t="shared" si="58"/>
        <v>0</v>
      </c>
      <c r="CP65" s="61">
        <f t="shared" si="59"/>
        <v>1</v>
      </c>
      <c r="CQ65" s="43">
        <f t="shared" si="60"/>
        <v>0</v>
      </c>
      <c r="CR65" s="35">
        <f t="shared" si="61"/>
        <v>0</v>
      </c>
      <c r="CS65" s="43">
        <f t="shared" si="62"/>
        <v>0</v>
      </c>
      <c r="CT65" s="43">
        <f t="shared" si="77"/>
        <v>0</v>
      </c>
      <c r="CU65" s="62">
        <f t="shared" si="63"/>
        <v>0</v>
      </c>
      <c r="CV65" s="61">
        <f t="shared" si="64"/>
        <v>0</v>
      </c>
      <c r="CW65" s="43">
        <f t="shared" si="65"/>
        <v>0</v>
      </c>
      <c r="CX65" s="35">
        <f t="shared" si="66"/>
        <v>0</v>
      </c>
      <c r="CY65" s="36">
        <f t="shared" si="67"/>
        <v>0</v>
      </c>
      <c r="CZ65" s="35">
        <f t="shared" si="68"/>
        <v>0</v>
      </c>
      <c r="DA65" s="62">
        <f t="shared" si="69"/>
        <v>0</v>
      </c>
    </row>
    <row r="66" spans="2:105" x14ac:dyDescent="0.3">
      <c r="B66" s="1">
        <v>0.91783099999999995</v>
      </c>
      <c r="C66" s="8">
        <v>12.02</v>
      </c>
      <c r="D66">
        <f t="shared" si="11"/>
        <v>496.96</v>
      </c>
      <c r="F66" s="1">
        <v>0.90416300000000005</v>
      </c>
      <c r="G66" s="8">
        <v>12.62</v>
      </c>
      <c r="H66">
        <f t="shared" si="12"/>
        <v>495.44</v>
      </c>
      <c r="J66" s="1">
        <v>0.89898999999999996</v>
      </c>
      <c r="K66" s="8">
        <v>-1.87</v>
      </c>
      <c r="L66">
        <f t="shared" si="13"/>
        <v>494.21999999999997</v>
      </c>
      <c r="N66" s="1">
        <v>0.894675</v>
      </c>
      <c r="O66" s="1">
        <v>-15.68</v>
      </c>
      <c r="P66">
        <f t="shared" si="14"/>
        <v>480.40999999999997</v>
      </c>
      <c r="R66" s="1">
        <v>0.90002499999999996</v>
      </c>
      <c r="S66" s="1">
        <v>-24.83</v>
      </c>
      <c r="T66">
        <f t="shared" si="15"/>
        <v>493.66</v>
      </c>
      <c r="V66" s="1">
        <v>0.92867900000000003</v>
      </c>
      <c r="W66" s="1">
        <v>-16.7</v>
      </c>
      <c r="X66">
        <f t="shared" si="16"/>
        <v>505.16</v>
      </c>
      <c r="Z66" s="1">
        <v>0.96221100000000004</v>
      </c>
      <c r="AA66" s="1">
        <v>-9.1199999999999992</v>
      </c>
      <c r="AB66">
        <f t="shared" si="17"/>
        <v>516.66999999999996</v>
      </c>
      <c r="AD66" s="1">
        <v>0.994201</v>
      </c>
      <c r="AE66" s="1">
        <v>-1.35</v>
      </c>
      <c r="AF66">
        <f t="shared" si="18"/>
        <v>528.16</v>
      </c>
      <c r="AH66" s="1">
        <v>0</v>
      </c>
      <c r="AI66" s="1">
        <v>0</v>
      </c>
      <c r="AJ66">
        <f t="shared" si="19"/>
        <v>533.24</v>
      </c>
      <c r="AP66" s="15"/>
      <c r="AQ66" s="15"/>
      <c r="AT66" s="61">
        <f t="shared" si="72"/>
        <v>1</v>
      </c>
      <c r="AU66" s="43" t="str">
        <f t="shared" si="2"/>
        <v>min</v>
      </c>
      <c r="AV66" s="35">
        <f t="shared" si="73"/>
        <v>0</v>
      </c>
      <c r="AW66" s="36">
        <f t="shared" si="21"/>
        <v>0</v>
      </c>
      <c r="AX66" s="35">
        <f t="shared" si="74"/>
        <v>0</v>
      </c>
      <c r="AY66" s="62">
        <f t="shared" si="75"/>
        <v>0</v>
      </c>
      <c r="AZ66" s="61">
        <f t="shared" si="76"/>
        <v>1</v>
      </c>
      <c r="BA66" s="43" t="str">
        <f t="shared" si="7"/>
        <v>min</v>
      </c>
      <c r="BB66" s="35">
        <f t="shared" si="71"/>
        <v>0</v>
      </c>
      <c r="BC66" s="36">
        <f t="shared" si="23"/>
        <v>0</v>
      </c>
      <c r="BD66" s="35">
        <f t="shared" si="24"/>
        <v>0.90416300000000005</v>
      </c>
      <c r="BE66" s="62">
        <f t="shared" si="25"/>
        <v>12.62</v>
      </c>
      <c r="BF66" s="61">
        <f t="shared" si="26"/>
        <v>0</v>
      </c>
      <c r="BG66" s="43" t="str">
        <f t="shared" si="8"/>
        <v>min</v>
      </c>
      <c r="BH66" s="35">
        <f t="shared" si="27"/>
        <v>0.89898999999999996</v>
      </c>
      <c r="BI66" s="36">
        <f t="shared" si="28"/>
        <v>-1.87</v>
      </c>
      <c r="BJ66" s="35">
        <f t="shared" si="29"/>
        <v>0</v>
      </c>
      <c r="BK66" s="62">
        <f t="shared" si="30"/>
        <v>0</v>
      </c>
      <c r="BL66" s="61">
        <f t="shared" si="31"/>
        <v>0</v>
      </c>
      <c r="BM66" s="43" t="str">
        <f t="shared" si="32"/>
        <v>min</v>
      </c>
      <c r="BN66" s="35">
        <f t="shared" si="33"/>
        <v>0.894675</v>
      </c>
      <c r="BO66" s="36">
        <f t="shared" si="34"/>
        <v>-15.68</v>
      </c>
      <c r="BP66" s="35">
        <f t="shared" si="35"/>
        <v>0</v>
      </c>
      <c r="BQ66" s="62">
        <f t="shared" si="36"/>
        <v>0</v>
      </c>
      <c r="BR66" s="61">
        <f t="shared" si="37"/>
        <v>1</v>
      </c>
      <c r="BS66" s="43" t="str">
        <f t="shared" si="38"/>
        <v>min</v>
      </c>
      <c r="BT66" s="35">
        <f t="shared" si="39"/>
        <v>0</v>
      </c>
      <c r="BU66" s="36">
        <f t="shared" si="40"/>
        <v>0</v>
      </c>
      <c r="BV66" s="35">
        <f t="shared" si="41"/>
        <v>0.90002499999999996</v>
      </c>
      <c r="BW66" s="62">
        <f t="shared" si="42"/>
        <v>-24.83</v>
      </c>
      <c r="BX66" s="61">
        <f t="shared" si="43"/>
        <v>1</v>
      </c>
      <c r="BY66" s="43" t="str">
        <f t="shared" si="44"/>
        <v>min</v>
      </c>
      <c r="BZ66" s="35">
        <f t="shared" si="45"/>
        <v>0</v>
      </c>
      <c r="CA66" s="36">
        <f t="shared" si="46"/>
        <v>0</v>
      </c>
      <c r="CB66" s="35">
        <f t="shared" si="47"/>
        <v>0</v>
      </c>
      <c r="CC66" s="62">
        <f t="shared" si="48"/>
        <v>0</v>
      </c>
      <c r="CD66" s="61">
        <f t="shared" si="49"/>
        <v>1</v>
      </c>
      <c r="CE66" s="43" t="str">
        <f t="shared" si="9"/>
        <v>min</v>
      </c>
      <c r="CF66" s="35">
        <f t="shared" si="50"/>
        <v>0</v>
      </c>
      <c r="CG66" s="36">
        <f t="shared" si="51"/>
        <v>0</v>
      </c>
      <c r="CH66" s="35">
        <f t="shared" si="52"/>
        <v>0</v>
      </c>
      <c r="CI66" s="62">
        <f t="shared" si="70"/>
        <v>0</v>
      </c>
      <c r="CJ66" s="61">
        <f t="shared" si="53"/>
        <v>1</v>
      </c>
      <c r="CK66" s="43" t="str">
        <f t="shared" si="54"/>
        <v>min</v>
      </c>
      <c r="CL66" s="35">
        <f t="shared" si="55"/>
        <v>0</v>
      </c>
      <c r="CM66" s="36">
        <f t="shared" si="56"/>
        <v>0</v>
      </c>
      <c r="CN66" s="35">
        <f t="shared" si="57"/>
        <v>0</v>
      </c>
      <c r="CO66" s="62">
        <f t="shared" si="58"/>
        <v>0</v>
      </c>
      <c r="CP66" s="61">
        <f t="shared" si="59"/>
        <v>0</v>
      </c>
      <c r="CQ66" s="43">
        <f t="shared" si="60"/>
        <v>0</v>
      </c>
      <c r="CR66" s="35">
        <f t="shared" si="61"/>
        <v>0</v>
      </c>
      <c r="CS66" s="43">
        <f t="shared" si="62"/>
        <v>0</v>
      </c>
      <c r="CT66" s="43">
        <f t="shared" si="77"/>
        <v>0</v>
      </c>
      <c r="CU66" s="62">
        <f t="shared" si="63"/>
        <v>0</v>
      </c>
      <c r="CV66" s="61">
        <f t="shared" si="64"/>
        <v>0</v>
      </c>
      <c r="CW66" s="43">
        <f t="shared" si="65"/>
        <v>0</v>
      </c>
      <c r="CX66" s="35">
        <f t="shared" si="66"/>
        <v>0</v>
      </c>
      <c r="CY66" s="36">
        <f t="shared" si="67"/>
        <v>0</v>
      </c>
      <c r="CZ66" s="35">
        <f t="shared" si="68"/>
        <v>0</v>
      </c>
      <c r="DA66" s="62">
        <f t="shared" si="69"/>
        <v>0</v>
      </c>
    </row>
    <row r="67" spans="2:105" x14ac:dyDescent="0.3">
      <c r="B67" s="1">
        <v>0.931917</v>
      </c>
      <c r="C67" s="7">
        <v>10.32</v>
      </c>
      <c r="D67">
        <f t="shared" si="11"/>
        <v>495.26</v>
      </c>
      <c r="F67" s="1">
        <v>0.91803900000000005</v>
      </c>
      <c r="G67" s="8">
        <v>10.76</v>
      </c>
      <c r="H67">
        <f t="shared" si="12"/>
        <v>493.58</v>
      </c>
      <c r="J67" s="1">
        <v>0.91278700000000002</v>
      </c>
      <c r="K67" s="8">
        <v>-3.48</v>
      </c>
      <c r="L67">
        <f t="shared" si="13"/>
        <v>492.60999999999996</v>
      </c>
      <c r="N67" s="1">
        <v>0.90840600000000005</v>
      </c>
      <c r="O67" s="1">
        <v>-17.440000000000001</v>
      </c>
      <c r="P67">
        <f t="shared" si="14"/>
        <v>478.65</v>
      </c>
      <c r="R67" s="1">
        <v>0.91383800000000004</v>
      </c>
      <c r="S67" s="1">
        <v>-21.33</v>
      </c>
      <c r="T67">
        <f t="shared" si="15"/>
        <v>497.16</v>
      </c>
      <c r="V67" s="1">
        <v>0.94293199999999999</v>
      </c>
      <c r="W67" s="1">
        <v>-13.1</v>
      </c>
      <c r="X67">
        <f t="shared" si="16"/>
        <v>508.76</v>
      </c>
      <c r="Z67" s="1">
        <v>0.97697900000000004</v>
      </c>
      <c r="AA67" s="1">
        <v>-5.54</v>
      </c>
      <c r="AB67">
        <f t="shared" si="17"/>
        <v>520.25</v>
      </c>
      <c r="AD67" s="1">
        <v>0.99987599999999999</v>
      </c>
      <c r="AE67" s="1">
        <v>0.01</v>
      </c>
      <c r="AF67">
        <f t="shared" si="18"/>
        <v>529.52</v>
      </c>
      <c r="AP67" s="15"/>
      <c r="AQ67" s="15"/>
      <c r="AT67" s="61">
        <f t="shared" si="72"/>
        <v>1</v>
      </c>
      <c r="AU67" s="43" t="str">
        <f t="shared" si="2"/>
        <v>min</v>
      </c>
      <c r="AV67" s="35">
        <f t="shared" si="73"/>
        <v>0</v>
      </c>
      <c r="AW67" s="36">
        <f t="shared" si="21"/>
        <v>0</v>
      </c>
      <c r="AX67" s="35">
        <f t="shared" si="74"/>
        <v>0</v>
      </c>
      <c r="AY67" s="62">
        <f t="shared" si="75"/>
        <v>0</v>
      </c>
      <c r="AZ67" s="61">
        <f t="shared" si="76"/>
        <v>1</v>
      </c>
      <c r="BA67" s="43" t="str">
        <f t="shared" si="7"/>
        <v>min</v>
      </c>
      <c r="BB67" s="35">
        <f t="shared" si="71"/>
        <v>0</v>
      </c>
      <c r="BC67" s="36">
        <f t="shared" si="23"/>
        <v>0</v>
      </c>
      <c r="BD67" s="35">
        <f t="shared" si="24"/>
        <v>0</v>
      </c>
      <c r="BE67" s="62">
        <f t="shared" si="25"/>
        <v>0</v>
      </c>
      <c r="BF67" s="61">
        <f t="shared" si="26"/>
        <v>1</v>
      </c>
      <c r="BG67" s="43" t="str">
        <f t="shared" si="8"/>
        <v>min</v>
      </c>
      <c r="BH67" s="35">
        <f t="shared" si="27"/>
        <v>0</v>
      </c>
      <c r="BI67" s="36">
        <f t="shared" si="28"/>
        <v>0</v>
      </c>
      <c r="BJ67" s="35">
        <f t="shared" si="29"/>
        <v>0.91278700000000002</v>
      </c>
      <c r="BK67" s="62">
        <f t="shared" si="30"/>
        <v>-3.48</v>
      </c>
      <c r="BL67" s="61">
        <f t="shared" si="31"/>
        <v>1</v>
      </c>
      <c r="BM67" s="43" t="str">
        <f t="shared" si="32"/>
        <v>min</v>
      </c>
      <c r="BN67" s="35">
        <f t="shared" si="33"/>
        <v>0</v>
      </c>
      <c r="BO67" s="36">
        <f t="shared" si="34"/>
        <v>0</v>
      </c>
      <c r="BP67" s="35">
        <f t="shared" si="35"/>
        <v>0.90840600000000005</v>
      </c>
      <c r="BQ67" s="62">
        <f t="shared" si="36"/>
        <v>-17.440000000000001</v>
      </c>
      <c r="BR67" s="61">
        <f t="shared" si="37"/>
        <v>1</v>
      </c>
      <c r="BS67" s="43" t="str">
        <f t="shared" si="38"/>
        <v>min</v>
      </c>
      <c r="BT67" s="35">
        <f t="shared" si="39"/>
        <v>0</v>
      </c>
      <c r="BU67" s="36">
        <f t="shared" si="40"/>
        <v>0</v>
      </c>
      <c r="BV67" s="35">
        <f t="shared" si="41"/>
        <v>0</v>
      </c>
      <c r="BW67" s="62">
        <f t="shared" si="42"/>
        <v>0</v>
      </c>
      <c r="BX67" s="61">
        <f t="shared" si="43"/>
        <v>1</v>
      </c>
      <c r="BY67" s="43" t="str">
        <f t="shared" si="44"/>
        <v>min</v>
      </c>
      <c r="BZ67" s="35">
        <f t="shared" si="45"/>
        <v>0</v>
      </c>
      <c r="CA67" s="36">
        <f t="shared" si="46"/>
        <v>0</v>
      </c>
      <c r="CB67" s="35">
        <f t="shared" si="47"/>
        <v>0</v>
      </c>
      <c r="CC67" s="62">
        <f t="shared" si="48"/>
        <v>0</v>
      </c>
      <c r="CD67" s="61">
        <f t="shared" si="49"/>
        <v>1</v>
      </c>
      <c r="CE67" s="43" t="str">
        <f t="shared" si="9"/>
        <v>min</v>
      </c>
      <c r="CF67" s="35">
        <f t="shared" si="50"/>
        <v>0</v>
      </c>
      <c r="CG67" s="36">
        <f t="shared" si="51"/>
        <v>0</v>
      </c>
      <c r="CH67" s="35">
        <f t="shared" si="52"/>
        <v>0</v>
      </c>
      <c r="CI67" s="62">
        <f t="shared" si="70"/>
        <v>0</v>
      </c>
      <c r="CJ67" s="61">
        <f t="shared" si="53"/>
        <v>1</v>
      </c>
      <c r="CK67" s="43" t="str">
        <f t="shared" si="54"/>
        <v>min</v>
      </c>
      <c r="CL67" s="35">
        <f t="shared" si="55"/>
        <v>0</v>
      </c>
      <c r="CM67" s="36">
        <f t="shared" si="56"/>
        <v>0</v>
      </c>
      <c r="CN67" s="35">
        <f t="shared" si="57"/>
        <v>0</v>
      </c>
      <c r="CO67" s="62">
        <f t="shared" si="58"/>
        <v>0</v>
      </c>
      <c r="CP67" s="61">
        <f t="shared" si="59"/>
        <v>0</v>
      </c>
      <c r="CQ67" s="43">
        <f t="shared" si="60"/>
        <v>0</v>
      </c>
      <c r="CR67" s="35">
        <f t="shared" si="61"/>
        <v>0</v>
      </c>
      <c r="CS67" s="43">
        <f t="shared" si="62"/>
        <v>0</v>
      </c>
      <c r="CT67" s="43">
        <f t="shared" si="77"/>
        <v>0</v>
      </c>
      <c r="CU67" s="62">
        <f t="shared" si="63"/>
        <v>0</v>
      </c>
      <c r="CV67" s="61">
        <f t="shared" si="64"/>
        <v>0</v>
      </c>
      <c r="CW67" s="43">
        <f t="shared" si="65"/>
        <v>0</v>
      </c>
      <c r="CX67" s="35">
        <f t="shared" si="66"/>
        <v>0</v>
      </c>
      <c r="CY67" s="36">
        <f t="shared" si="67"/>
        <v>0</v>
      </c>
      <c r="CZ67" s="35">
        <f t="shared" si="68"/>
        <v>0</v>
      </c>
      <c r="DA67" s="62">
        <f t="shared" si="69"/>
        <v>0</v>
      </c>
    </row>
    <row r="68" spans="2:105" x14ac:dyDescent="0.3">
      <c r="B68" s="1">
        <v>0.94597500000000001</v>
      </c>
      <c r="C68" s="7">
        <v>8.09</v>
      </c>
      <c r="D68">
        <f t="shared" si="11"/>
        <v>493.03</v>
      </c>
      <c r="F68" s="1">
        <v>0.93188700000000002</v>
      </c>
      <c r="G68" s="8">
        <v>8.86</v>
      </c>
      <c r="H68">
        <f t="shared" si="12"/>
        <v>491.68</v>
      </c>
      <c r="J68" s="1">
        <v>0.92655600000000005</v>
      </c>
      <c r="K68" s="8">
        <v>-5.14</v>
      </c>
      <c r="L68">
        <f t="shared" si="13"/>
        <v>490.95</v>
      </c>
      <c r="N68" s="1">
        <v>0.92210899999999996</v>
      </c>
      <c r="O68" s="1">
        <v>-19.23</v>
      </c>
      <c r="P68">
        <f t="shared" si="14"/>
        <v>476.85999999999996</v>
      </c>
      <c r="R68" s="1">
        <v>0.92762299999999998</v>
      </c>
      <c r="S68" s="1">
        <v>-17.84</v>
      </c>
      <c r="T68">
        <f t="shared" si="15"/>
        <v>500.65000000000003</v>
      </c>
      <c r="V68" s="1">
        <v>0.95715499999999998</v>
      </c>
      <c r="W68" s="1">
        <v>-9.6199999999999992</v>
      </c>
      <c r="X68">
        <f t="shared" si="16"/>
        <v>512.24</v>
      </c>
      <c r="Z68" s="1">
        <v>0.99171600000000004</v>
      </c>
      <c r="AA68" s="1">
        <v>-1.98</v>
      </c>
      <c r="AB68">
        <f t="shared" si="17"/>
        <v>523.80999999999995</v>
      </c>
      <c r="AD68" s="1">
        <v>1</v>
      </c>
      <c r="AE68" s="1">
        <v>0</v>
      </c>
      <c r="AF68">
        <f>AE68+AE$2</f>
        <v>529.51</v>
      </c>
      <c r="AP68" s="15"/>
      <c r="AQ68" s="15"/>
      <c r="AT68" s="61">
        <f t="shared" si="72"/>
        <v>1</v>
      </c>
      <c r="AU68" s="43" t="str">
        <f t="shared" si="2"/>
        <v>min</v>
      </c>
      <c r="AV68" s="35">
        <f t="shared" si="73"/>
        <v>0</v>
      </c>
      <c r="AW68" s="36">
        <f t="shared" si="21"/>
        <v>0</v>
      </c>
      <c r="AX68" s="35">
        <f t="shared" si="74"/>
        <v>0</v>
      </c>
      <c r="AY68" s="62">
        <f t="shared" si="75"/>
        <v>0</v>
      </c>
      <c r="AZ68" s="61">
        <f t="shared" si="76"/>
        <v>1</v>
      </c>
      <c r="BA68" s="43" t="str">
        <f t="shared" si="7"/>
        <v>min</v>
      </c>
      <c r="BB68" s="35">
        <f t="shared" si="71"/>
        <v>0</v>
      </c>
      <c r="BC68" s="36">
        <f t="shared" si="23"/>
        <v>0</v>
      </c>
      <c r="BD68" s="35">
        <f t="shared" si="24"/>
        <v>0</v>
      </c>
      <c r="BE68" s="62">
        <f t="shared" si="25"/>
        <v>0</v>
      </c>
      <c r="BF68" s="61">
        <f t="shared" si="26"/>
        <v>1</v>
      </c>
      <c r="BG68" s="43" t="str">
        <f t="shared" si="8"/>
        <v>min</v>
      </c>
      <c r="BH68" s="35">
        <f t="shared" si="27"/>
        <v>0</v>
      </c>
      <c r="BI68" s="36">
        <f t="shared" si="28"/>
        <v>0</v>
      </c>
      <c r="BJ68" s="35">
        <f t="shared" si="29"/>
        <v>0</v>
      </c>
      <c r="BK68" s="62">
        <f t="shared" si="30"/>
        <v>0</v>
      </c>
      <c r="BL68" s="61">
        <f t="shared" si="31"/>
        <v>1</v>
      </c>
      <c r="BM68" s="43" t="str">
        <f t="shared" si="32"/>
        <v>min</v>
      </c>
      <c r="BN68" s="35">
        <f t="shared" si="33"/>
        <v>0</v>
      </c>
      <c r="BO68" s="36">
        <f t="shared" si="34"/>
        <v>0</v>
      </c>
      <c r="BP68" s="35">
        <f t="shared" si="35"/>
        <v>0</v>
      </c>
      <c r="BQ68" s="62">
        <f t="shared" si="36"/>
        <v>0</v>
      </c>
      <c r="BR68" s="61">
        <f t="shared" si="37"/>
        <v>1</v>
      </c>
      <c r="BS68" s="43" t="str">
        <f t="shared" si="38"/>
        <v>min</v>
      </c>
      <c r="BT68" s="35">
        <f t="shared" si="39"/>
        <v>0</v>
      </c>
      <c r="BU68" s="36">
        <f t="shared" si="40"/>
        <v>0</v>
      </c>
      <c r="BV68" s="35">
        <f t="shared" si="41"/>
        <v>0</v>
      </c>
      <c r="BW68" s="62">
        <f t="shared" si="42"/>
        <v>0</v>
      </c>
      <c r="BX68" s="61">
        <f t="shared" si="43"/>
        <v>1</v>
      </c>
      <c r="BY68" s="43" t="str">
        <f t="shared" si="44"/>
        <v>min</v>
      </c>
      <c r="BZ68" s="35">
        <f t="shared" si="45"/>
        <v>0</v>
      </c>
      <c r="CA68" s="36">
        <f t="shared" si="46"/>
        <v>0</v>
      </c>
      <c r="CB68" s="35">
        <f t="shared" si="47"/>
        <v>0</v>
      </c>
      <c r="CC68" s="62">
        <f t="shared" si="48"/>
        <v>0</v>
      </c>
      <c r="CD68" s="61">
        <f t="shared" si="49"/>
        <v>1</v>
      </c>
      <c r="CE68" s="43" t="str">
        <f t="shared" si="9"/>
        <v>min</v>
      </c>
      <c r="CF68" s="35">
        <f t="shared" si="50"/>
        <v>0</v>
      </c>
      <c r="CG68" s="36">
        <f t="shared" si="51"/>
        <v>0</v>
      </c>
      <c r="CH68" s="35">
        <f t="shared" si="52"/>
        <v>0</v>
      </c>
      <c r="CI68" s="62">
        <f t="shared" si="70"/>
        <v>0</v>
      </c>
      <c r="CJ68" s="61">
        <f t="shared" si="53"/>
        <v>1</v>
      </c>
      <c r="CK68" s="43">
        <f t="shared" si="54"/>
        <v>0</v>
      </c>
      <c r="CL68" s="35">
        <f t="shared" si="55"/>
        <v>0</v>
      </c>
      <c r="CM68" s="36">
        <f t="shared" si="56"/>
        <v>0</v>
      </c>
      <c r="CN68" s="35">
        <f t="shared" si="57"/>
        <v>0</v>
      </c>
      <c r="CO68" s="62">
        <f t="shared" si="58"/>
        <v>0</v>
      </c>
      <c r="CP68" s="61">
        <f t="shared" si="59"/>
        <v>0</v>
      </c>
      <c r="CQ68" s="43">
        <f t="shared" si="60"/>
        <v>0</v>
      </c>
      <c r="CR68" s="35">
        <f t="shared" si="61"/>
        <v>0</v>
      </c>
      <c r="CS68" s="43">
        <f t="shared" si="62"/>
        <v>0</v>
      </c>
      <c r="CT68" s="43">
        <f t="shared" si="77"/>
        <v>0</v>
      </c>
      <c r="CU68" s="62">
        <f t="shared" si="63"/>
        <v>0</v>
      </c>
      <c r="CV68" s="61">
        <f t="shared" si="64"/>
        <v>0</v>
      </c>
      <c r="CW68" s="43">
        <f t="shared" si="65"/>
        <v>0</v>
      </c>
      <c r="CX68" s="35">
        <f t="shared" si="66"/>
        <v>0</v>
      </c>
      <c r="CY68" s="36">
        <f t="shared" si="67"/>
        <v>0</v>
      </c>
      <c r="CZ68" s="35">
        <f t="shared" si="68"/>
        <v>0</v>
      </c>
      <c r="DA68" s="62">
        <f t="shared" si="69"/>
        <v>0</v>
      </c>
    </row>
    <row r="69" spans="2:105" x14ac:dyDescent="0.3">
      <c r="B69" s="1">
        <v>0.96006100000000005</v>
      </c>
      <c r="C69" s="7">
        <v>5.86</v>
      </c>
      <c r="D69">
        <f t="shared" si="11"/>
        <v>490.8</v>
      </c>
      <c r="F69" s="1">
        <v>0.94576400000000005</v>
      </c>
      <c r="G69" s="8">
        <v>6.83</v>
      </c>
      <c r="H69">
        <f t="shared" si="12"/>
        <v>489.65</v>
      </c>
      <c r="J69" s="1">
        <v>0.94035299999999999</v>
      </c>
      <c r="K69" s="8">
        <v>-6.85</v>
      </c>
      <c r="L69">
        <f t="shared" si="13"/>
        <v>489.23999999999995</v>
      </c>
      <c r="N69" s="1">
        <v>0.93583899999999998</v>
      </c>
      <c r="O69" s="1">
        <v>-16.809999999999999</v>
      </c>
      <c r="P69">
        <f t="shared" si="14"/>
        <v>479.28</v>
      </c>
      <c r="R69" s="1">
        <v>0.94143600000000005</v>
      </c>
      <c r="S69" s="1">
        <v>-14.43</v>
      </c>
      <c r="T69">
        <f t="shared" si="15"/>
        <v>504.06</v>
      </c>
      <c r="V69" s="1">
        <v>0.97140800000000005</v>
      </c>
      <c r="W69" s="1">
        <v>-6.15</v>
      </c>
      <c r="X69">
        <f t="shared" si="16"/>
        <v>515.71</v>
      </c>
      <c r="Z69" s="1">
        <v>1</v>
      </c>
      <c r="AA69" s="1">
        <v>0</v>
      </c>
      <c r="AB69">
        <f t="shared" si="17"/>
        <v>525.79</v>
      </c>
      <c r="AD69" s="1">
        <v>0</v>
      </c>
      <c r="AE69" s="1">
        <v>0</v>
      </c>
      <c r="AT69" s="61">
        <f t="shared" si="72"/>
        <v>1</v>
      </c>
      <c r="AU69" s="43" t="str">
        <f t="shared" si="2"/>
        <v>min</v>
      </c>
      <c r="AV69" s="35">
        <f t="shared" si="73"/>
        <v>0</v>
      </c>
      <c r="AW69" s="36">
        <f t="shared" si="21"/>
        <v>0</v>
      </c>
      <c r="AX69" s="35">
        <f t="shared" si="74"/>
        <v>0</v>
      </c>
      <c r="AY69" s="62">
        <f t="shared" si="75"/>
        <v>0</v>
      </c>
      <c r="AZ69" s="61">
        <f t="shared" si="76"/>
        <v>1</v>
      </c>
      <c r="BA69" s="43" t="str">
        <f t="shared" si="7"/>
        <v>min</v>
      </c>
      <c r="BB69" s="35">
        <f t="shared" si="71"/>
        <v>0</v>
      </c>
      <c r="BC69" s="36">
        <f t="shared" si="23"/>
        <v>0</v>
      </c>
      <c r="BD69" s="35">
        <f t="shared" si="24"/>
        <v>0</v>
      </c>
      <c r="BE69" s="62">
        <f t="shared" si="25"/>
        <v>0</v>
      </c>
      <c r="BF69" s="61">
        <f t="shared" si="26"/>
        <v>1</v>
      </c>
      <c r="BG69" s="43" t="str">
        <f t="shared" si="8"/>
        <v>min</v>
      </c>
      <c r="BH69" s="35">
        <f t="shared" si="27"/>
        <v>0</v>
      </c>
      <c r="BI69" s="36">
        <f t="shared" si="28"/>
        <v>0</v>
      </c>
      <c r="BJ69" s="35">
        <f t="shared" si="29"/>
        <v>0</v>
      </c>
      <c r="BK69" s="62">
        <f t="shared" si="30"/>
        <v>0</v>
      </c>
      <c r="BL69" s="61">
        <f t="shared" si="31"/>
        <v>1</v>
      </c>
      <c r="BM69" s="43" t="str">
        <f t="shared" si="32"/>
        <v>min</v>
      </c>
      <c r="BN69" s="35">
        <f t="shared" si="33"/>
        <v>0</v>
      </c>
      <c r="BO69" s="36">
        <f t="shared" si="34"/>
        <v>0</v>
      </c>
      <c r="BP69" s="35">
        <f t="shared" si="35"/>
        <v>0</v>
      </c>
      <c r="BQ69" s="62">
        <f t="shared" si="36"/>
        <v>0</v>
      </c>
      <c r="BR69" s="61">
        <f t="shared" si="37"/>
        <v>1</v>
      </c>
      <c r="BS69" s="43" t="str">
        <f t="shared" si="38"/>
        <v>min</v>
      </c>
      <c r="BT69" s="35">
        <f t="shared" si="39"/>
        <v>0</v>
      </c>
      <c r="BU69" s="36">
        <f t="shared" si="40"/>
        <v>0</v>
      </c>
      <c r="BV69" s="35">
        <f t="shared" si="41"/>
        <v>0</v>
      </c>
      <c r="BW69" s="62">
        <f t="shared" si="42"/>
        <v>0</v>
      </c>
      <c r="BX69" s="61">
        <f t="shared" si="43"/>
        <v>1</v>
      </c>
      <c r="BY69" s="43" t="str">
        <f t="shared" si="44"/>
        <v>min</v>
      </c>
      <c r="BZ69" s="35">
        <f t="shared" si="45"/>
        <v>0</v>
      </c>
      <c r="CA69" s="36">
        <f t="shared" si="46"/>
        <v>0</v>
      </c>
      <c r="CB69" s="35">
        <f t="shared" si="47"/>
        <v>0</v>
      </c>
      <c r="CC69" s="62">
        <f t="shared" si="48"/>
        <v>0</v>
      </c>
      <c r="CD69" s="61">
        <f t="shared" si="49"/>
        <v>1</v>
      </c>
      <c r="CE69" s="43" t="str">
        <f t="shared" si="9"/>
        <v>min</v>
      </c>
      <c r="CF69" s="35">
        <f t="shared" si="50"/>
        <v>0</v>
      </c>
      <c r="CG69" s="36">
        <f t="shared" si="51"/>
        <v>0</v>
      </c>
      <c r="CH69" s="35">
        <f t="shared" si="52"/>
        <v>0</v>
      </c>
      <c r="CI69" s="62">
        <f t="shared" si="70"/>
        <v>0</v>
      </c>
      <c r="CJ69" s="61">
        <f t="shared" si="53"/>
        <v>0</v>
      </c>
      <c r="CK69" s="43">
        <f t="shared" si="54"/>
        <v>0</v>
      </c>
      <c r="CL69" s="35">
        <f t="shared" si="55"/>
        <v>0</v>
      </c>
      <c r="CM69" s="36">
        <f t="shared" si="56"/>
        <v>0</v>
      </c>
      <c r="CN69" s="35">
        <f t="shared" si="57"/>
        <v>0</v>
      </c>
      <c r="CO69" s="62">
        <f t="shared" si="58"/>
        <v>0</v>
      </c>
      <c r="CP69" s="61">
        <f t="shared" si="59"/>
        <v>0</v>
      </c>
      <c r="CQ69" s="43">
        <f t="shared" si="60"/>
        <v>0</v>
      </c>
      <c r="CR69" s="35">
        <f t="shared" si="61"/>
        <v>0</v>
      </c>
      <c r="CS69" s="43">
        <f t="shared" si="62"/>
        <v>0</v>
      </c>
      <c r="CT69" s="43">
        <f t="shared" si="77"/>
        <v>0</v>
      </c>
      <c r="CU69" s="62">
        <f t="shared" si="63"/>
        <v>0</v>
      </c>
      <c r="CV69" s="61">
        <f t="shared" si="64"/>
        <v>0</v>
      </c>
      <c r="CW69" s="43">
        <f t="shared" si="65"/>
        <v>0</v>
      </c>
      <c r="CX69" s="35">
        <f t="shared" si="66"/>
        <v>0</v>
      </c>
      <c r="CY69" s="36">
        <f t="shared" si="67"/>
        <v>0</v>
      </c>
      <c r="CZ69" s="35">
        <f t="shared" si="68"/>
        <v>0</v>
      </c>
      <c r="DA69" s="62">
        <f t="shared" si="69"/>
        <v>0</v>
      </c>
    </row>
    <row r="70" spans="2:105" x14ac:dyDescent="0.3">
      <c r="B70" s="1">
        <v>0.97411800000000004</v>
      </c>
      <c r="C70" s="7">
        <v>3.75</v>
      </c>
      <c r="D70">
        <f t="shared" si="11"/>
        <v>488.69</v>
      </c>
      <c r="F70" s="1">
        <v>0.95961200000000002</v>
      </c>
      <c r="G70" s="8">
        <v>4.84</v>
      </c>
      <c r="H70">
        <f t="shared" si="12"/>
        <v>487.65999999999997</v>
      </c>
      <c r="J70" s="1">
        <v>0.95412200000000003</v>
      </c>
      <c r="K70" s="8">
        <v>-8.98</v>
      </c>
      <c r="L70">
        <f t="shared" si="13"/>
        <v>487.10999999999996</v>
      </c>
      <c r="N70" s="1">
        <v>0.949542</v>
      </c>
      <c r="O70" s="1">
        <v>-13.8</v>
      </c>
      <c r="P70">
        <f t="shared" si="14"/>
        <v>482.28999999999996</v>
      </c>
      <c r="R70" s="1">
        <v>0.95522099999999999</v>
      </c>
      <c r="S70" s="1">
        <v>-11.13</v>
      </c>
      <c r="T70">
        <f t="shared" si="15"/>
        <v>507.36</v>
      </c>
      <c r="V70" s="1">
        <v>0.98563199999999995</v>
      </c>
      <c r="W70" s="1">
        <v>-2.76</v>
      </c>
      <c r="X70">
        <f t="shared" si="16"/>
        <v>519.1</v>
      </c>
      <c r="Z70" s="1">
        <v>1.0000599999999999</v>
      </c>
      <c r="AA70" s="1">
        <v>0</v>
      </c>
      <c r="AB70">
        <f t="shared" si="17"/>
        <v>525.79</v>
      </c>
      <c r="AT70" s="61">
        <f t="shared" si="72"/>
        <v>1</v>
      </c>
      <c r="AU70" s="43" t="str">
        <f t="shared" si="2"/>
        <v>min</v>
      </c>
      <c r="AV70" s="35">
        <f t="shared" si="73"/>
        <v>0</v>
      </c>
      <c r="AW70" s="36">
        <f t="shared" si="21"/>
        <v>0</v>
      </c>
      <c r="AX70" s="35">
        <f t="shared" si="74"/>
        <v>0</v>
      </c>
      <c r="AY70" s="62">
        <f t="shared" si="75"/>
        <v>0</v>
      </c>
      <c r="AZ70" s="61">
        <f t="shared" si="76"/>
        <v>1</v>
      </c>
      <c r="BA70" s="43" t="str">
        <f t="shared" si="7"/>
        <v>min</v>
      </c>
      <c r="BB70" s="35">
        <f t="shared" si="71"/>
        <v>0</v>
      </c>
      <c r="BC70" s="36">
        <f t="shared" si="23"/>
        <v>0</v>
      </c>
      <c r="BD70" s="35">
        <f t="shared" si="24"/>
        <v>0</v>
      </c>
      <c r="BE70" s="62">
        <f t="shared" si="25"/>
        <v>0</v>
      </c>
      <c r="BF70" s="61">
        <f t="shared" si="26"/>
        <v>1</v>
      </c>
      <c r="BG70" s="43" t="str">
        <f t="shared" si="8"/>
        <v>min</v>
      </c>
      <c r="BH70" s="35">
        <f t="shared" si="27"/>
        <v>0</v>
      </c>
      <c r="BI70" s="36">
        <f t="shared" si="28"/>
        <v>0</v>
      </c>
      <c r="BJ70" s="35">
        <f t="shared" si="29"/>
        <v>0</v>
      </c>
      <c r="BK70" s="62">
        <f t="shared" si="30"/>
        <v>0</v>
      </c>
      <c r="BL70" s="61">
        <f t="shared" si="31"/>
        <v>1</v>
      </c>
      <c r="BM70" s="43" t="str">
        <f t="shared" si="32"/>
        <v>min</v>
      </c>
      <c r="BN70" s="35">
        <f t="shared" si="33"/>
        <v>0</v>
      </c>
      <c r="BO70" s="36">
        <f t="shared" si="34"/>
        <v>0</v>
      </c>
      <c r="BP70" s="35">
        <f t="shared" si="35"/>
        <v>0</v>
      </c>
      <c r="BQ70" s="62">
        <f t="shared" si="36"/>
        <v>0</v>
      </c>
      <c r="BR70" s="61">
        <f t="shared" si="37"/>
        <v>1</v>
      </c>
      <c r="BS70" s="43" t="str">
        <f t="shared" si="38"/>
        <v>min</v>
      </c>
      <c r="BT70" s="35">
        <f t="shared" si="39"/>
        <v>0</v>
      </c>
      <c r="BU70" s="36">
        <f t="shared" si="40"/>
        <v>0</v>
      </c>
      <c r="BV70" s="35">
        <f t="shared" si="41"/>
        <v>0</v>
      </c>
      <c r="BW70" s="62">
        <f t="shared" si="42"/>
        <v>0</v>
      </c>
      <c r="BX70" s="61">
        <f t="shared" si="43"/>
        <v>1</v>
      </c>
      <c r="BY70" s="43" t="str">
        <f t="shared" si="44"/>
        <v>min</v>
      </c>
      <c r="BZ70" s="35">
        <f t="shared" si="45"/>
        <v>0</v>
      </c>
      <c r="CA70" s="36">
        <f t="shared" si="46"/>
        <v>0</v>
      </c>
      <c r="CB70" s="35">
        <f t="shared" si="47"/>
        <v>0</v>
      </c>
      <c r="CC70" s="62">
        <f t="shared" si="48"/>
        <v>0</v>
      </c>
      <c r="CD70" s="61">
        <f t="shared" si="49"/>
        <v>1</v>
      </c>
      <c r="CE70" s="43" t="str">
        <f t="shared" si="9"/>
        <v>min</v>
      </c>
      <c r="CF70" s="35">
        <f t="shared" si="50"/>
        <v>0</v>
      </c>
      <c r="CG70" s="36">
        <f t="shared" si="51"/>
        <v>0</v>
      </c>
      <c r="CH70" s="35">
        <f t="shared" si="52"/>
        <v>0</v>
      </c>
      <c r="CI70" s="62">
        <f t="shared" si="70"/>
        <v>0</v>
      </c>
      <c r="CJ70" s="61">
        <f t="shared" si="53"/>
        <v>0</v>
      </c>
      <c r="CK70" s="43">
        <f t="shared" si="54"/>
        <v>0</v>
      </c>
      <c r="CL70" s="35">
        <f t="shared" si="55"/>
        <v>0</v>
      </c>
      <c r="CM70" s="36">
        <f t="shared" si="56"/>
        <v>0</v>
      </c>
      <c r="CN70" s="35">
        <f t="shared" si="57"/>
        <v>0</v>
      </c>
      <c r="CO70" s="62">
        <f t="shared" si="58"/>
        <v>0</v>
      </c>
      <c r="CP70" s="61">
        <f t="shared" si="59"/>
        <v>0</v>
      </c>
      <c r="CQ70" s="43">
        <f t="shared" si="60"/>
        <v>0</v>
      </c>
      <c r="CR70" s="35">
        <f t="shared" si="61"/>
        <v>0</v>
      </c>
      <c r="CS70" s="43">
        <f t="shared" si="62"/>
        <v>0</v>
      </c>
      <c r="CT70" s="43">
        <f t="shared" si="77"/>
        <v>0</v>
      </c>
      <c r="CU70" s="62">
        <f t="shared" si="63"/>
        <v>0</v>
      </c>
      <c r="CV70" s="61">
        <f t="shared" si="64"/>
        <v>0</v>
      </c>
      <c r="CW70" s="43">
        <f t="shared" si="65"/>
        <v>0</v>
      </c>
      <c r="CX70" s="35">
        <f t="shared" si="66"/>
        <v>0</v>
      </c>
      <c r="CY70" s="36">
        <f t="shared" si="67"/>
        <v>0</v>
      </c>
      <c r="CZ70" s="35">
        <f t="shared" si="68"/>
        <v>0</v>
      </c>
      <c r="DA70" s="62">
        <f t="shared" si="69"/>
        <v>0</v>
      </c>
    </row>
    <row r="71" spans="2:105" x14ac:dyDescent="0.3">
      <c r="B71" s="1">
        <v>0.98817600000000005</v>
      </c>
      <c r="C71" s="7">
        <v>1.57</v>
      </c>
      <c r="D71">
        <f t="shared" si="11"/>
        <v>486.51</v>
      </c>
      <c r="F71" s="1">
        <v>0.97345999999999999</v>
      </c>
      <c r="G71" s="8">
        <v>3.06</v>
      </c>
      <c r="H71">
        <f t="shared" si="12"/>
        <v>485.88</v>
      </c>
      <c r="J71" s="1">
        <v>0.96789099999999995</v>
      </c>
      <c r="K71" s="1">
        <v>-10.15</v>
      </c>
      <c r="L71">
        <f t="shared" si="13"/>
        <v>485.94</v>
      </c>
      <c r="N71" s="1">
        <v>0.96324500000000002</v>
      </c>
      <c r="O71" s="1">
        <v>-11.23</v>
      </c>
      <c r="P71">
        <f t="shared" si="14"/>
        <v>484.85999999999996</v>
      </c>
      <c r="R71" s="1">
        <v>0.96900500000000001</v>
      </c>
      <c r="S71" s="1">
        <v>-8.51</v>
      </c>
      <c r="T71">
        <f t="shared" si="15"/>
        <v>509.98</v>
      </c>
      <c r="V71" s="1">
        <v>0.99985500000000005</v>
      </c>
      <c r="W71" s="1">
        <v>0.01</v>
      </c>
      <c r="X71">
        <f t="shared" si="16"/>
        <v>521.87</v>
      </c>
      <c r="Z71" s="1">
        <v>1.0001199999999999</v>
      </c>
      <c r="AA71" s="1">
        <v>-0.02</v>
      </c>
      <c r="AB71">
        <f t="shared" si="17"/>
        <v>525.77</v>
      </c>
      <c r="AT71" s="61">
        <f t="shared" si="72"/>
        <v>1</v>
      </c>
      <c r="AU71" s="43" t="str">
        <f t="shared" ref="AU71:AU74" si="78">IF(AT72=1, "min",0)</f>
        <v>min</v>
      </c>
      <c r="AV71" s="35">
        <f t="shared" si="73"/>
        <v>0</v>
      </c>
      <c r="AW71" s="36">
        <f t="shared" si="21"/>
        <v>0</v>
      </c>
      <c r="AX71" s="35">
        <f t="shared" si="74"/>
        <v>0</v>
      </c>
      <c r="AY71" s="62">
        <f t="shared" ref="AY71:AY74" si="79">IF(AX71=0,0,C71)</f>
        <v>0</v>
      </c>
      <c r="AZ71" s="61">
        <f t="shared" si="76"/>
        <v>1</v>
      </c>
      <c r="BA71" s="43" t="str">
        <f t="shared" ref="BA71:BA74" si="80">IF(AZ72=1, "min",0)</f>
        <v>min</v>
      </c>
      <c r="BB71" s="35">
        <f t="shared" si="71"/>
        <v>0</v>
      </c>
      <c r="BC71" s="36">
        <f t="shared" si="23"/>
        <v>0</v>
      </c>
      <c r="BD71" s="35">
        <f t="shared" si="24"/>
        <v>0</v>
      </c>
      <c r="BE71" s="62">
        <f t="shared" si="25"/>
        <v>0</v>
      </c>
      <c r="BF71" s="61">
        <f t="shared" si="26"/>
        <v>1</v>
      </c>
      <c r="BG71" s="43" t="str">
        <f t="shared" ref="BG71:BG74" si="81">IF(BF72=1, "min",0)</f>
        <v>min</v>
      </c>
      <c r="BH71" s="35">
        <f t="shared" si="27"/>
        <v>0</v>
      </c>
      <c r="BI71" s="36">
        <f t="shared" si="28"/>
        <v>0</v>
      </c>
      <c r="BJ71" s="35">
        <f t="shared" si="29"/>
        <v>0</v>
      </c>
      <c r="BK71" s="62">
        <f t="shared" si="30"/>
        <v>0</v>
      </c>
      <c r="BL71" s="61">
        <f t="shared" si="31"/>
        <v>1</v>
      </c>
      <c r="BM71" s="43" t="str">
        <f t="shared" si="32"/>
        <v>min</v>
      </c>
      <c r="BN71" s="35">
        <f t="shared" si="33"/>
        <v>0</v>
      </c>
      <c r="BO71" s="36">
        <f t="shared" si="34"/>
        <v>0</v>
      </c>
      <c r="BP71" s="35">
        <f t="shared" si="35"/>
        <v>0</v>
      </c>
      <c r="BQ71" s="62">
        <f t="shared" si="36"/>
        <v>0</v>
      </c>
      <c r="BR71" s="61">
        <f t="shared" si="37"/>
        <v>1</v>
      </c>
      <c r="BS71" s="43" t="str">
        <f t="shared" si="38"/>
        <v>min</v>
      </c>
      <c r="BT71" s="35">
        <f t="shared" si="39"/>
        <v>0</v>
      </c>
      <c r="BU71" s="36">
        <f t="shared" si="40"/>
        <v>0</v>
      </c>
      <c r="BV71" s="35">
        <f t="shared" si="41"/>
        <v>0</v>
      </c>
      <c r="BW71" s="62">
        <f t="shared" si="42"/>
        <v>0</v>
      </c>
      <c r="BX71" s="61">
        <f t="shared" si="43"/>
        <v>1</v>
      </c>
      <c r="BY71" s="43" t="str">
        <f t="shared" si="44"/>
        <v>min</v>
      </c>
      <c r="BZ71" s="35">
        <f t="shared" si="45"/>
        <v>0</v>
      </c>
      <c r="CA71" s="36">
        <f t="shared" si="46"/>
        <v>0</v>
      </c>
      <c r="CB71" s="35">
        <f t="shared" si="47"/>
        <v>0</v>
      </c>
      <c r="CC71" s="62">
        <f t="shared" si="48"/>
        <v>0</v>
      </c>
      <c r="CD71" s="61">
        <f t="shared" si="49"/>
        <v>1</v>
      </c>
      <c r="CE71" s="43">
        <f t="shared" ref="CE71:CE74" si="82">IF(CD72=1, "min",0)</f>
        <v>0</v>
      </c>
      <c r="CF71" s="35">
        <f t="shared" si="50"/>
        <v>0</v>
      </c>
      <c r="CG71" s="36">
        <f t="shared" si="51"/>
        <v>0</v>
      </c>
      <c r="CH71" s="35">
        <f t="shared" si="52"/>
        <v>0</v>
      </c>
      <c r="CI71" s="62">
        <f t="shared" si="70"/>
        <v>0</v>
      </c>
      <c r="CJ71" s="61">
        <f t="shared" si="53"/>
        <v>0</v>
      </c>
      <c r="CK71" s="43">
        <f t="shared" si="54"/>
        <v>0</v>
      </c>
      <c r="CL71" s="35">
        <f t="shared" si="55"/>
        <v>0</v>
      </c>
      <c r="CM71" s="36">
        <f t="shared" si="56"/>
        <v>0</v>
      </c>
      <c r="CN71" s="35">
        <f t="shared" si="57"/>
        <v>0</v>
      </c>
      <c r="CO71" s="62">
        <f t="shared" si="58"/>
        <v>0</v>
      </c>
      <c r="CP71" s="61">
        <f t="shared" si="59"/>
        <v>0</v>
      </c>
      <c r="CQ71" s="43">
        <f t="shared" si="60"/>
        <v>0</v>
      </c>
      <c r="CR71" s="35">
        <f t="shared" si="61"/>
        <v>0</v>
      </c>
      <c r="CS71" s="43">
        <f t="shared" si="62"/>
        <v>0</v>
      </c>
      <c r="CT71" s="43">
        <f t="shared" si="77"/>
        <v>0</v>
      </c>
      <c r="CU71" s="62">
        <f t="shared" si="63"/>
        <v>0</v>
      </c>
      <c r="CV71" s="61">
        <f t="shared" si="64"/>
        <v>0</v>
      </c>
      <c r="CW71" s="43">
        <f t="shared" si="65"/>
        <v>0</v>
      </c>
      <c r="CX71" s="35">
        <f t="shared" si="66"/>
        <v>0</v>
      </c>
      <c r="CY71" s="36">
        <f t="shared" si="67"/>
        <v>0</v>
      </c>
      <c r="CZ71" s="35">
        <f t="shared" si="68"/>
        <v>0</v>
      </c>
      <c r="DA71" s="62">
        <f t="shared" si="69"/>
        <v>0</v>
      </c>
    </row>
    <row r="72" spans="2:105" x14ac:dyDescent="0.3">
      <c r="B72" s="1">
        <v>0.999857</v>
      </c>
      <c r="C72" s="1">
        <v>0.03</v>
      </c>
      <c r="D72">
        <f t="shared" ref="D72:D74" si="83">C72+C$2</f>
        <v>484.96999999999997</v>
      </c>
      <c r="F72" s="1">
        <v>0.98730799999999996</v>
      </c>
      <c r="G72" s="8">
        <v>1.17</v>
      </c>
      <c r="H72">
        <f t="shared" ref="H72:H74" si="84">G72+G$2</f>
        <v>483.99</v>
      </c>
      <c r="J72" s="1">
        <v>0.98165999999999998</v>
      </c>
      <c r="K72" s="1">
        <v>-5.86</v>
      </c>
      <c r="L72">
        <f t="shared" ref="L72:L74" si="85">K72+K$2</f>
        <v>490.22999999999996</v>
      </c>
      <c r="N72" s="1">
        <v>0.97694800000000004</v>
      </c>
      <c r="O72" s="1">
        <v>-7.79</v>
      </c>
      <c r="P72">
        <f t="shared" ref="P72:P75" si="86">O72+O$2</f>
        <v>488.29999999999995</v>
      </c>
      <c r="R72" s="1">
        <v>0.98279000000000005</v>
      </c>
      <c r="S72" s="1">
        <v>-5.95</v>
      </c>
      <c r="T72">
        <f t="shared" ref="T72:T74" si="87">S72+S$2</f>
        <v>512.54</v>
      </c>
      <c r="V72" s="1">
        <v>1</v>
      </c>
      <c r="W72" s="1">
        <v>0</v>
      </c>
      <c r="X72">
        <f t="shared" ref="X72:X74" si="88">W72+W$2</f>
        <v>521.86</v>
      </c>
      <c r="Z72" s="1">
        <v>0</v>
      </c>
      <c r="AA72" s="1">
        <v>0</v>
      </c>
      <c r="AB72">
        <f t="shared" ref="AB72" si="89">AA72+AA$2</f>
        <v>525.79</v>
      </c>
      <c r="AT72" s="61">
        <f t="shared" si="72"/>
        <v>1</v>
      </c>
      <c r="AU72" s="43" t="str">
        <f t="shared" si="78"/>
        <v>min</v>
      </c>
      <c r="AV72" s="35">
        <f t="shared" si="73"/>
        <v>0</v>
      </c>
      <c r="AW72" s="36">
        <f t="shared" ref="AW72:AW74" si="90">IF(AV72=0,0,$C72)</f>
        <v>0</v>
      </c>
      <c r="AX72" s="35">
        <f t="shared" si="74"/>
        <v>0</v>
      </c>
      <c r="AY72" s="62">
        <f t="shared" si="79"/>
        <v>0</v>
      </c>
      <c r="AZ72" s="61">
        <f t="shared" si="76"/>
        <v>1</v>
      </c>
      <c r="BA72" s="43" t="str">
        <f t="shared" si="80"/>
        <v>min</v>
      </c>
      <c r="BB72" s="35">
        <f t="shared" si="71"/>
        <v>0</v>
      </c>
      <c r="BC72" s="36">
        <f t="shared" ref="BC72:BC74" si="91">IF(BB72=0,0,$G72)</f>
        <v>0</v>
      </c>
      <c r="BD72" s="35">
        <f t="shared" ref="BD72:BD74" si="92">IF(BB71=0,0,F72)</f>
        <v>0</v>
      </c>
      <c r="BE72" s="62">
        <f t="shared" ref="BE72:BE74" si="93">IF(BD72=0,0,G72)</f>
        <v>0</v>
      </c>
      <c r="BF72" s="61">
        <f t="shared" ref="BF72:BF74" si="94">IF($AQ$4&gt;J72,0,1)</f>
        <v>1</v>
      </c>
      <c r="BG72" s="43" t="str">
        <f t="shared" si="81"/>
        <v>min</v>
      </c>
      <c r="BH72" s="35">
        <f t="shared" ref="BH72:BH74" si="95">IF(BF72=0,IF(BG72="min",J72,0),0)</f>
        <v>0</v>
      </c>
      <c r="BI72" s="36">
        <f t="shared" ref="BI72:BI74" si="96">IF(BH72=0,0,K72)</f>
        <v>0</v>
      </c>
      <c r="BJ72" s="35">
        <f t="shared" ref="BJ72:BJ74" si="97">IF(BH71=0,0,J72)</f>
        <v>0</v>
      </c>
      <c r="BK72" s="62">
        <f t="shared" ref="BK72:BK74" si="98">IF(BJ72=0,0,K72)</f>
        <v>0</v>
      </c>
      <c r="BL72" s="61">
        <f t="shared" ref="BL72:BL74" si="99">IF($AQ$4&gt;N72,0,1)</f>
        <v>1</v>
      </c>
      <c r="BM72" s="43" t="str">
        <f t="shared" ref="BM72:BM74" si="100">IF(BL73=1, "min",0)</f>
        <v>min</v>
      </c>
      <c r="BN72" s="35">
        <f t="shared" ref="BN72:BN74" si="101">IF(BL72=0,IF(BM72="min",N72,0),0)</f>
        <v>0</v>
      </c>
      <c r="BO72" s="36">
        <f t="shared" ref="BO72:BO74" si="102">IF(BN72=0,0,O72)</f>
        <v>0</v>
      </c>
      <c r="BP72" s="35">
        <f t="shared" ref="BP72:BP74" si="103">IF(BN71=0,0,N72)</f>
        <v>0</v>
      </c>
      <c r="BQ72" s="62">
        <f t="shared" ref="BQ72:BQ74" si="104">IF(BP72=0,0,O72)</f>
        <v>0</v>
      </c>
      <c r="BR72" s="61">
        <f t="shared" ref="BR72:BR74" si="105">IF($AQ$4&gt;R72,0,1)</f>
        <v>1</v>
      </c>
      <c r="BS72" s="43" t="str">
        <f t="shared" ref="BS72:BS74" si="106">IF(BR73=1, "min",0)</f>
        <v>min</v>
      </c>
      <c r="BT72" s="35">
        <f t="shared" ref="BT72:BT74" si="107">IF(BR72=0,IF(BS72="min",R72,0),0)</f>
        <v>0</v>
      </c>
      <c r="BU72" s="36">
        <f t="shared" ref="BU72:BU74" si="108">IF(BT72=0,0,$S72)</f>
        <v>0</v>
      </c>
      <c r="BV72" s="35">
        <f t="shared" ref="BV72:BV74" si="109">IF(BT71=0,0,R72)</f>
        <v>0</v>
      </c>
      <c r="BW72" s="62">
        <f t="shared" ref="BW72:BW74" si="110">IF(BV72=0,0,S72)</f>
        <v>0</v>
      </c>
      <c r="BX72" s="61">
        <f t="shared" ref="BX72:BX74" si="111">IF($AQ$4&gt;V72,0,1)</f>
        <v>1</v>
      </c>
      <c r="BY72" s="43" t="str">
        <f t="shared" ref="BY72:BY74" si="112">IF(BX73=1, "min",0)</f>
        <v>min</v>
      </c>
      <c r="BZ72" s="35">
        <f t="shared" ref="BZ72:BZ74" si="113">IF(BX72=0,IF(BY72="min",V72,0),0)</f>
        <v>0</v>
      </c>
      <c r="CA72" s="36">
        <f t="shared" ref="CA72:CA74" si="114">IF(BZ72=0,0,$W72)</f>
        <v>0</v>
      </c>
      <c r="CB72" s="35">
        <f t="shared" ref="CB72:CB74" si="115">IF(BZ71=0,0,V72)</f>
        <v>0</v>
      </c>
      <c r="CC72" s="62">
        <f t="shared" ref="CC72:CC73" si="116">IF(CB72=0,0,W72)</f>
        <v>0</v>
      </c>
      <c r="CD72" s="61">
        <f t="shared" ref="CD72:CD74" si="117">IF($AQ$4&gt;Z72,0,1)</f>
        <v>0</v>
      </c>
      <c r="CE72" s="43">
        <f t="shared" si="82"/>
        <v>0</v>
      </c>
      <c r="CF72" s="35">
        <f t="shared" ref="CF72:CF74" si="118">IF(CD72=0,IF(CE72="min",Z72,0),0)</f>
        <v>0</v>
      </c>
      <c r="CG72" s="36">
        <f t="shared" ref="CG72:CG74" si="119">IF(CF72=0,0,$AA72)</f>
        <v>0</v>
      </c>
      <c r="CH72" s="35">
        <f t="shared" ref="CH72:CH74" si="120">IF(CF71=0,0,Z72)</f>
        <v>0</v>
      </c>
      <c r="CI72" s="62">
        <f t="shared" si="70"/>
        <v>0</v>
      </c>
      <c r="CJ72" s="61">
        <f t="shared" ref="CJ72:CJ74" si="121">IF($AQ$4&gt;AD72,0,1)</f>
        <v>0</v>
      </c>
      <c r="CK72" s="43">
        <f t="shared" ref="CK72:CK74" si="122">IF(CJ73=1, "min",0)</f>
        <v>0</v>
      </c>
      <c r="CL72" s="35">
        <f t="shared" ref="CL72:CL74" si="123">IF($CJ72=0,IF($CK72="min",AD72,0),0)</f>
        <v>0</v>
      </c>
      <c r="CM72" s="36">
        <f t="shared" ref="CM72:CM74" si="124">IF(CL72=0,0,$AE72)</f>
        <v>0</v>
      </c>
      <c r="CN72" s="35">
        <f t="shared" ref="CN72:CN74" si="125">IF(CL71=0,0,AD72)</f>
        <v>0</v>
      </c>
      <c r="CO72" s="62">
        <f t="shared" ref="CO72:CO74" si="126">IF(CN72=0,0,AE72)</f>
        <v>0</v>
      </c>
      <c r="CP72" s="61">
        <f t="shared" ref="CP72:CP74" si="127">IF($AQ$4&gt;AH72,0,1)</f>
        <v>0</v>
      </c>
      <c r="CQ72" s="43">
        <f t="shared" ref="CQ72:CQ74" si="128">IF(CP73=1, "min",0)</f>
        <v>0</v>
      </c>
      <c r="CR72" s="35">
        <f t="shared" ref="CR72:CR74" si="129">IF(CP72=0,IF(CQ72="min",AH72,0),0)</f>
        <v>0</v>
      </c>
      <c r="CS72" s="43">
        <f t="shared" ref="CS72:CS74" si="130">IF(CR72=0,0,$AI72)</f>
        <v>0</v>
      </c>
      <c r="CT72" s="43">
        <f t="shared" si="77"/>
        <v>0</v>
      </c>
      <c r="CU72" s="62">
        <f t="shared" ref="CU72:CU74" si="131">IF(CT72=0,0,AI72)</f>
        <v>0</v>
      </c>
      <c r="CV72" s="61">
        <f t="shared" ref="CV72:CV74" si="132">IF($AQ$4&gt;AL72,0,1)</f>
        <v>0</v>
      </c>
      <c r="CW72" s="43">
        <f t="shared" ref="CW72:CW74" si="133">IF(CV73=1, "min",0)</f>
        <v>0</v>
      </c>
      <c r="CX72" s="35">
        <f t="shared" ref="CX72:CX74" si="134">IF(CV72=0,IF(CW72="min",AL72,0),0)</f>
        <v>0</v>
      </c>
      <c r="CY72" s="36">
        <f t="shared" ref="CY72:CY74" si="135">IF(CX72=0,0,$AM72)</f>
        <v>0</v>
      </c>
      <c r="CZ72" s="35">
        <f t="shared" ref="CZ72:CZ74" si="136">IF(CX71=0,0,AL72)</f>
        <v>0</v>
      </c>
      <c r="DA72" s="62">
        <f t="shared" ref="DA72:DA74" si="137">IF(CZ72=0,0,AM72)</f>
        <v>0</v>
      </c>
    </row>
    <row r="73" spans="2:105" x14ac:dyDescent="0.3">
      <c r="B73" s="1">
        <v>0.99997100000000005</v>
      </c>
      <c r="C73" s="1">
        <v>0</v>
      </c>
      <c r="D73">
        <f t="shared" si="83"/>
        <v>484.94</v>
      </c>
      <c r="F73" s="1">
        <v>0.99997199999999997</v>
      </c>
      <c r="G73" s="8">
        <v>0</v>
      </c>
      <c r="H73">
        <f t="shared" si="84"/>
        <v>482.82</v>
      </c>
      <c r="J73" s="1">
        <v>0.99542900000000001</v>
      </c>
      <c r="K73" s="1">
        <v>-1.52</v>
      </c>
      <c r="L73">
        <f t="shared" si="85"/>
        <v>494.57</v>
      </c>
      <c r="N73" s="1">
        <v>0.99065099999999995</v>
      </c>
      <c r="O73" s="1">
        <v>-3.26</v>
      </c>
      <c r="P73">
        <f t="shared" si="86"/>
        <v>492.83</v>
      </c>
      <c r="R73" s="1">
        <v>0.99657499999999999</v>
      </c>
      <c r="S73" s="1">
        <v>-1.19</v>
      </c>
      <c r="T73">
        <f t="shared" si="87"/>
        <v>517.29999999999995</v>
      </c>
      <c r="V73" s="1">
        <v>1.0000869999999999</v>
      </c>
      <c r="W73" s="1">
        <v>0.03</v>
      </c>
      <c r="X73">
        <f t="shared" si="88"/>
        <v>521.89</v>
      </c>
      <c r="AT73" s="61">
        <f t="shared" si="72"/>
        <v>1</v>
      </c>
      <c r="AU73" s="43" t="str">
        <f t="shared" si="78"/>
        <v>min</v>
      </c>
      <c r="AV73" s="35">
        <f t="shared" si="73"/>
        <v>0</v>
      </c>
      <c r="AW73" s="36">
        <f t="shared" si="90"/>
        <v>0</v>
      </c>
      <c r="AX73" s="35">
        <f t="shared" si="74"/>
        <v>0</v>
      </c>
      <c r="AY73" s="62">
        <f t="shared" si="79"/>
        <v>0</v>
      </c>
      <c r="AZ73" s="61">
        <f t="shared" si="76"/>
        <v>1</v>
      </c>
      <c r="BA73" s="43" t="str">
        <f t="shared" si="80"/>
        <v>min</v>
      </c>
      <c r="BB73" s="35">
        <f t="shared" si="71"/>
        <v>0</v>
      </c>
      <c r="BC73" s="36">
        <f t="shared" si="91"/>
        <v>0</v>
      </c>
      <c r="BD73" s="35">
        <f t="shared" si="92"/>
        <v>0</v>
      </c>
      <c r="BE73" s="62">
        <f t="shared" si="93"/>
        <v>0</v>
      </c>
      <c r="BF73" s="61">
        <f t="shared" si="94"/>
        <v>1</v>
      </c>
      <c r="BG73" s="43" t="str">
        <f t="shared" si="81"/>
        <v>min</v>
      </c>
      <c r="BH73" s="35">
        <f t="shared" si="95"/>
        <v>0</v>
      </c>
      <c r="BI73" s="36">
        <f t="shared" si="96"/>
        <v>0</v>
      </c>
      <c r="BJ73" s="35">
        <f t="shared" si="97"/>
        <v>0</v>
      </c>
      <c r="BK73" s="62">
        <f t="shared" si="98"/>
        <v>0</v>
      </c>
      <c r="BL73" s="61">
        <f t="shared" si="99"/>
        <v>1</v>
      </c>
      <c r="BM73" s="43" t="str">
        <f t="shared" si="100"/>
        <v>min</v>
      </c>
      <c r="BN73" s="35">
        <f t="shared" si="101"/>
        <v>0</v>
      </c>
      <c r="BO73" s="36">
        <f t="shared" si="102"/>
        <v>0</v>
      </c>
      <c r="BP73" s="35">
        <f t="shared" si="103"/>
        <v>0</v>
      </c>
      <c r="BQ73" s="62">
        <f t="shared" si="104"/>
        <v>0</v>
      </c>
      <c r="BR73" s="61">
        <f t="shared" si="105"/>
        <v>1</v>
      </c>
      <c r="BS73" s="43" t="str">
        <f t="shared" si="106"/>
        <v>min</v>
      </c>
      <c r="BT73" s="35">
        <f t="shared" si="107"/>
        <v>0</v>
      </c>
      <c r="BU73" s="36">
        <f t="shared" si="108"/>
        <v>0</v>
      </c>
      <c r="BV73" s="35">
        <f t="shared" si="109"/>
        <v>0</v>
      </c>
      <c r="BW73" s="62">
        <f t="shared" si="110"/>
        <v>0</v>
      </c>
      <c r="BX73" s="61">
        <f t="shared" si="111"/>
        <v>1</v>
      </c>
      <c r="BY73" s="43">
        <f t="shared" si="112"/>
        <v>0</v>
      </c>
      <c r="BZ73" s="35">
        <f t="shared" si="113"/>
        <v>0</v>
      </c>
      <c r="CA73" s="36">
        <f t="shared" si="114"/>
        <v>0</v>
      </c>
      <c r="CB73" s="35">
        <f t="shared" si="115"/>
        <v>0</v>
      </c>
      <c r="CC73" s="62">
        <f t="shared" si="116"/>
        <v>0</v>
      </c>
      <c r="CD73" s="61">
        <f t="shared" si="117"/>
        <v>0</v>
      </c>
      <c r="CE73" s="43">
        <f t="shared" si="82"/>
        <v>0</v>
      </c>
      <c r="CF73" s="35">
        <f t="shared" si="118"/>
        <v>0</v>
      </c>
      <c r="CG73" s="36">
        <f t="shared" si="119"/>
        <v>0</v>
      </c>
      <c r="CH73" s="35">
        <f t="shared" si="120"/>
        <v>0</v>
      </c>
      <c r="CI73" s="62">
        <f t="shared" ref="CI73:CI74" si="138">IF(CH73=0,0,AA73)</f>
        <v>0</v>
      </c>
      <c r="CJ73" s="61">
        <f t="shared" si="121"/>
        <v>0</v>
      </c>
      <c r="CK73" s="43">
        <f t="shared" si="122"/>
        <v>0</v>
      </c>
      <c r="CL73" s="35">
        <f t="shared" si="123"/>
        <v>0</v>
      </c>
      <c r="CM73" s="36">
        <f t="shared" si="124"/>
        <v>0</v>
      </c>
      <c r="CN73" s="35">
        <f t="shared" si="125"/>
        <v>0</v>
      </c>
      <c r="CO73" s="62">
        <f t="shared" si="126"/>
        <v>0</v>
      </c>
      <c r="CP73" s="61">
        <f t="shared" si="127"/>
        <v>0</v>
      </c>
      <c r="CQ73" s="43">
        <f t="shared" si="128"/>
        <v>0</v>
      </c>
      <c r="CR73" s="35">
        <f t="shared" si="129"/>
        <v>0</v>
      </c>
      <c r="CS73" s="43">
        <f t="shared" si="130"/>
        <v>0</v>
      </c>
      <c r="CT73" s="43">
        <f t="shared" si="77"/>
        <v>0</v>
      </c>
      <c r="CU73" s="62">
        <f t="shared" si="131"/>
        <v>0</v>
      </c>
      <c r="CV73" s="61">
        <f t="shared" si="132"/>
        <v>0</v>
      </c>
      <c r="CW73" s="43">
        <f t="shared" si="133"/>
        <v>0</v>
      </c>
      <c r="CX73" s="35">
        <f t="shared" si="134"/>
        <v>0</v>
      </c>
      <c r="CY73" s="36">
        <f t="shared" si="135"/>
        <v>0</v>
      </c>
      <c r="CZ73" s="35">
        <f t="shared" si="136"/>
        <v>0</v>
      </c>
      <c r="DA73" s="62">
        <f t="shared" si="137"/>
        <v>0</v>
      </c>
    </row>
    <row r="74" spans="2:105" ht="15" thickBot="1" x14ac:dyDescent="0.35">
      <c r="B74" s="1">
        <v>1</v>
      </c>
      <c r="C74" s="1">
        <v>0</v>
      </c>
      <c r="D74">
        <f t="shared" si="83"/>
        <v>484.94</v>
      </c>
      <c r="F74" s="1">
        <v>1</v>
      </c>
      <c r="G74" s="1">
        <v>0</v>
      </c>
      <c r="H74">
        <f t="shared" si="84"/>
        <v>482.82</v>
      </c>
      <c r="J74" s="1">
        <v>1</v>
      </c>
      <c r="K74" s="1">
        <v>0</v>
      </c>
      <c r="L74">
        <f t="shared" si="85"/>
        <v>496.09</v>
      </c>
      <c r="N74" s="1">
        <v>0.99997199999999997</v>
      </c>
      <c r="O74" s="1">
        <v>0.02</v>
      </c>
      <c r="P74">
        <f t="shared" si="86"/>
        <v>496.10999999999996</v>
      </c>
      <c r="R74" s="1">
        <v>1</v>
      </c>
      <c r="S74" s="1">
        <v>0</v>
      </c>
      <c r="T74">
        <f t="shared" si="87"/>
        <v>518.49</v>
      </c>
      <c r="V74" s="1">
        <v>0</v>
      </c>
      <c r="W74" s="1">
        <v>0</v>
      </c>
      <c r="X74">
        <f t="shared" si="88"/>
        <v>521.86</v>
      </c>
      <c r="AT74" s="63">
        <f t="shared" si="72"/>
        <v>1</v>
      </c>
      <c r="AU74" s="64">
        <f t="shared" si="78"/>
        <v>0</v>
      </c>
      <c r="AV74" s="65">
        <f t="shared" si="73"/>
        <v>0</v>
      </c>
      <c r="AW74" s="66">
        <f t="shared" si="90"/>
        <v>0</v>
      </c>
      <c r="AX74" s="65">
        <f t="shared" si="74"/>
        <v>0</v>
      </c>
      <c r="AY74" s="67">
        <f t="shared" si="79"/>
        <v>0</v>
      </c>
      <c r="AZ74" s="63">
        <f t="shared" si="76"/>
        <v>1</v>
      </c>
      <c r="BA74" s="64">
        <f t="shared" si="80"/>
        <v>0</v>
      </c>
      <c r="BB74" s="65">
        <f t="shared" si="71"/>
        <v>0</v>
      </c>
      <c r="BC74" s="66">
        <f t="shared" si="91"/>
        <v>0</v>
      </c>
      <c r="BD74" s="65">
        <f t="shared" si="92"/>
        <v>0</v>
      </c>
      <c r="BE74" s="67">
        <f t="shared" si="93"/>
        <v>0</v>
      </c>
      <c r="BF74" s="63">
        <f t="shared" si="94"/>
        <v>1</v>
      </c>
      <c r="BG74" s="64">
        <f t="shared" si="81"/>
        <v>0</v>
      </c>
      <c r="BH74" s="65">
        <f t="shared" si="95"/>
        <v>0</v>
      </c>
      <c r="BI74" s="66">
        <f t="shared" si="96"/>
        <v>0</v>
      </c>
      <c r="BJ74" s="65">
        <f t="shared" si="97"/>
        <v>0</v>
      </c>
      <c r="BK74" s="67">
        <f t="shared" si="98"/>
        <v>0</v>
      </c>
      <c r="BL74" s="63">
        <f t="shared" si="99"/>
        <v>1</v>
      </c>
      <c r="BM74" s="64">
        <f t="shared" si="100"/>
        <v>0</v>
      </c>
      <c r="BN74" s="65">
        <f t="shared" si="101"/>
        <v>0</v>
      </c>
      <c r="BO74" s="66">
        <f t="shared" si="102"/>
        <v>0</v>
      </c>
      <c r="BP74" s="65">
        <f t="shared" si="103"/>
        <v>0</v>
      </c>
      <c r="BQ74" s="67">
        <f t="shared" si="104"/>
        <v>0</v>
      </c>
      <c r="BR74" s="63">
        <f t="shared" si="105"/>
        <v>1</v>
      </c>
      <c r="BS74" s="64">
        <f t="shared" si="106"/>
        <v>0</v>
      </c>
      <c r="BT74" s="65">
        <f t="shared" si="107"/>
        <v>0</v>
      </c>
      <c r="BU74" s="66">
        <f t="shared" si="108"/>
        <v>0</v>
      </c>
      <c r="BV74" s="65">
        <f t="shared" si="109"/>
        <v>0</v>
      </c>
      <c r="BW74" s="67">
        <f t="shared" si="110"/>
        <v>0</v>
      </c>
      <c r="BX74" s="63">
        <f t="shared" si="111"/>
        <v>0</v>
      </c>
      <c r="BY74" s="64">
        <f t="shared" si="112"/>
        <v>0</v>
      </c>
      <c r="BZ74" s="65">
        <f t="shared" si="113"/>
        <v>0</v>
      </c>
      <c r="CA74" s="66">
        <f t="shared" si="114"/>
        <v>0</v>
      </c>
      <c r="CB74" s="65">
        <f t="shared" si="115"/>
        <v>0</v>
      </c>
      <c r="CC74" s="67">
        <f>IF(CB74=0,0,W74)</f>
        <v>0</v>
      </c>
      <c r="CD74" s="63">
        <f t="shared" si="117"/>
        <v>0</v>
      </c>
      <c r="CE74" s="64">
        <f t="shared" si="82"/>
        <v>0</v>
      </c>
      <c r="CF74" s="65">
        <f t="shared" si="118"/>
        <v>0</v>
      </c>
      <c r="CG74" s="66">
        <f t="shared" si="119"/>
        <v>0</v>
      </c>
      <c r="CH74" s="65">
        <f t="shared" si="120"/>
        <v>0</v>
      </c>
      <c r="CI74" s="67">
        <f t="shared" si="138"/>
        <v>0</v>
      </c>
      <c r="CJ74" s="63">
        <f t="shared" si="121"/>
        <v>0</v>
      </c>
      <c r="CK74" s="64">
        <f t="shared" si="122"/>
        <v>0</v>
      </c>
      <c r="CL74" s="65">
        <f t="shared" si="123"/>
        <v>0</v>
      </c>
      <c r="CM74" s="66">
        <f t="shared" si="124"/>
        <v>0</v>
      </c>
      <c r="CN74" s="65">
        <f t="shared" si="125"/>
        <v>0</v>
      </c>
      <c r="CO74" s="67">
        <f t="shared" si="126"/>
        <v>0</v>
      </c>
      <c r="CP74" s="63">
        <f t="shared" si="127"/>
        <v>0</v>
      </c>
      <c r="CQ74" s="64">
        <f t="shared" si="128"/>
        <v>0</v>
      </c>
      <c r="CR74" s="65">
        <f t="shared" si="129"/>
        <v>0</v>
      </c>
      <c r="CS74" s="64">
        <f t="shared" si="130"/>
        <v>0</v>
      </c>
      <c r="CT74" s="64">
        <f t="shared" si="77"/>
        <v>0</v>
      </c>
      <c r="CU74" s="67">
        <f t="shared" si="131"/>
        <v>0</v>
      </c>
      <c r="CV74" s="63">
        <f t="shared" si="132"/>
        <v>0</v>
      </c>
      <c r="CW74" s="64">
        <f t="shared" si="133"/>
        <v>0</v>
      </c>
      <c r="CX74" s="65">
        <f t="shared" si="134"/>
        <v>0</v>
      </c>
      <c r="CY74" s="66">
        <f t="shared" si="135"/>
        <v>0</v>
      </c>
      <c r="CZ74" s="65">
        <f t="shared" si="136"/>
        <v>0</v>
      </c>
      <c r="DA74" s="67">
        <f t="shared" si="137"/>
        <v>0</v>
      </c>
    </row>
    <row r="75" spans="2:105" x14ac:dyDescent="0.3">
      <c r="B75" s="1">
        <v>0</v>
      </c>
      <c r="C75" s="1">
        <v>0</v>
      </c>
      <c r="F75" s="1">
        <v>0</v>
      </c>
      <c r="G75" s="1">
        <v>0</v>
      </c>
      <c r="J75" s="1">
        <v>0</v>
      </c>
      <c r="K75" s="1">
        <v>0</v>
      </c>
      <c r="N75" s="1">
        <v>1</v>
      </c>
      <c r="O75" s="1">
        <v>0</v>
      </c>
      <c r="P75">
        <f t="shared" si="86"/>
        <v>496.09</v>
      </c>
      <c r="R75" s="1">
        <v>0</v>
      </c>
      <c r="S75" s="1">
        <v>0</v>
      </c>
      <c r="AV75" s="71">
        <f>SUM(AV6:AV74)</f>
        <v>0.88968700000000001</v>
      </c>
      <c r="AW75" s="71">
        <f t="shared" ref="AW75:DA75" si="139">SUM(AW6:AW74)</f>
        <v>15.35</v>
      </c>
      <c r="AX75" s="71">
        <f t="shared" si="139"/>
        <v>0.90377300000000005</v>
      </c>
      <c r="AY75" s="71">
        <f t="shared" si="139"/>
        <v>13.71</v>
      </c>
      <c r="AZ75" s="71"/>
      <c r="BA75" s="71"/>
      <c r="BB75" s="71">
        <f t="shared" si="139"/>
        <v>0.89031499999999997</v>
      </c>
      <c r="BC75" s="71">
        <f t="shared" si="139"/>
        <v>14.44</v>
      </c>
      <c r="BD75" s="71">
        <f t="shared" si="139"/>
        <v>0.90416300000000005</v>
      </c>
      <c r="BE75" s="71">
        <f t="shared" si="139"/>
        <v>12.62</v>
      </c>
      <c r="BF75" s="71"/>
      <c r="BG75" s="71"/>
      <c r="BH75" s="71">
        <f t="shared" si="139"/>
        <v>0.89898999999999996</v>
      </c>
      <c r="BI75" s="71">
        <f t="shared" si="139"/>
        <v>-1.87</v>
      </c>
      <c r="BJ75" s="71">
        <f t="shared" si="139"/>
        <v>0.91278700000000002</v>
      </c>
      <c r="BK75" s="71">
        <f t="shared" si="139"/>
        <v>-3.48</v>
      </c>
      <c r="BL75" s="71"/>
      <c r="BM75" s="71"/>
      <c r="BN75" s="71">
        <f t="shared" si="139"/>
        <v>0.894675</v>
      </c>
      <c r="BO75" s="71">
        <f t="shared" si="139"/>
        <v>-15.68</v>
      </c>
      <c r="BP75" s="71">
        <f t="shared" si="139"/>
        <v>0.90840600000000005</v>
      </c>
      <c r="BQ75" s="71">
        <f t="shared" si="139"/>
        <v>-17.440000000000001</v>
      </c>
      <c r="BR75" s="71"/>
      <c r="BS75" s="71"/>
      <c r="BT75" s="71">
        <f t="shared" si="139"/>
        <v>0.88624000000000003</v>
      </c>
      <c r="BU75" s="71">
        <f t="shared" si="139"/>
        <v>-24.03</v>
      </c>
      <c r="BV75" s="71">
        <f t="shared" si="139"/>
        <v>0.90002499999999996</v>
      </c>
      <c r="BW75" s="71">
        <f t="shared" si="139"/>
        <v>-24.83</v>
      </c>
      <c r="BX75" s="71"/>
      <c r="BY75" s="71"/>
      <c r="BZ75" s="71">
        <f t="shared" si="139"/>
        <v>0.88595000000000002</v>
      </c>
      <c r="CA75" s="71">
        <f t="shared" si="139"/>
        <v>-24.52</v>
      </c>
      <c r="CB75" s="71">
        <f t="shared" si="139"/>
        <v>0.90020299999999998</v>
      </c>
      <c r="CC75" s="71">
        <f t="shared" si="139"/>
        <v>-23.9</v>
      </c>
      <c r="CD75" s="71"/>
      <c r="CE75" s="71"/>
      <c r="CF75" s="71">
        <f t="shared" si="139"/>
        <v>0.888405</v>
      </c>
      <c r="CG75" s="71">
        <f t="shared" si="139"/>
        <v>-24.19</v>
      </c>
      <c r="CH75" s="71">
        <f t="shared" si="139"/>
        <v>0.903173</v>
      </c>
      <c r="CI75" s="71">
        <f t="shared" si="139"/>
        <v>-21.88</v>
      </c>
      <c r="CJ75" s="71"/>
      <c r="CK75" s="71"/>
      <c r="CL75" s="71">
        <f t="shared" si="139"/>
        <v>0.88739299999999999</v>
      </c>
      <c r="CM75" s="71">
        <f t="shared" si="139"/>
        <v>-20.29</v>
      </c>
      <c r="CN75" s="71">
        <f t="shared" si="139"/>
        <v>0.90265200000000001</v>
      </c>
      <c r="CO75" s="71">
        <f t="shared" si="139"/>
        <v>-18.39</v>
      </c>
      <c r="CP75" s="71"/>
      <c r="CQ75" s="71"/>
      <c r="CR75" s="71">
        <f t="shared" si="139"/>
        <v>0.88531800000000005</v>
      </c>
      <c r="CS75" s="71">
        <f t="shared" si="139"/>
        <v>-15.96</v>
      </c>
      <c r="CT75" s="71">
        <f t="shared" si="139"/>
        <v>0.90108299999999997</v>
      </c>
      <c r="CU75" s="71">
        <f t="shared" si="139"/>
        <v>-13.99</v>
      </c>
      <c r="CV75" s="71"/>
      <c r="CW75" s="71"/>
      <c r="CX75" s="71">
        <f t="shared" si="139"/>
        <v>0.89274200000000004</v>
      </c>
      <c r="CY75" s="71">
        <f t="shared" si="139"/>
        <v>-12.78</v>
      </c>
      <c r="CZ75" s="71">
        <f t="shared" si="139"/>
        <v>0.90926099999999999</v>
      </c>
      <c r="DA75" s="71">
        <f t="shared" si="139"/>
        <v>-10.92</v>
      </c>
    </row>
    <row r="76" spans="2:105" x14ac:dyDescent="0.3">
      <c r="N76" s="1">
        <v>0</v>
      </c>
      <c r="O76" s="1">
        <v>0</v>
      </c>
      <c r="AV76" s="71">
        <f>IF($AU$2=0,0,AV75)</f>
        <v>0</v>
      </c>
      <c r="AW76" s="71">
        <f t="shared" ref="AW76:AY76" si="140">IF($AU$2=0,0,AW75)</f>
        <v>0</v>
      </c>
      <c r="AX76" s="71">
        <f t="shared" si="140"/>
        <v>0</v>
      </c>
      <c r="AY76" s="71">
        <f t="shared" si="140"/>
        <v>0</v>
      </c>
      <c r="BB76" s="71">
        <f>IF($AU$2=0,IF($AV$2=0,0,BB75),BB75)</f>
        <v>0</v>
      </c>
      <c r="BC76" s="71">
        <f t="shared" ref="BC76:BE76" si="141">IF($AU$2=0,IF($AV$2=0,0,BC75),BC75)</f>
        <v>0</v>
      </c>
      <c r="BD76" s="71">
        <f t="shared" si="141"/>
        <v>0</v>
      </c>
      <c r="BE76" s="71">
        <f t="shared" si="141"/>
        <v>0</v>
      </c>
      <c r="BH76" s="71">
        <f>IF($AV$2=0,IF($AW$2=0,0,BH75),BH75)</f>
        <v>0</v>
      </c>
      <c r="BI76" s="71">
        <f t="shared" ref="BI76:BK76" si="142">IF($AV$2=0,IF($AW$2=0,0,BI75),BI75)</f>
        <v>0</v>
      </c>
      <c r="BJ76" s="71">
        <f t="shared" si="142"/>
        <v>0</v>
      </c>
      <c r="BK76" s="71">
        <f t="shared" si="142"/>
        <v>0</v>
      </c>
      <c r="BN76" s="71">
        <f>IF($AW$2=0,IF($AX$2=0,0,BN75),BN75)</f>
        <v>0</v>
      </c>
      <c r="BO76" s="71">
        <f t="shared" ref="BO76:BQ76" si="143">IF($AW$2=0,IF($AX$2=0,0,BO75),BO75)</f>
        <v>0</v>
      </c>
      <c r="BP76" s="71">
        <f t="shared" si="143"/>
        <v>0</v>
      </c>
      <c r="BQ76" s="71">
        <f t="shared" si="143"/>
        <v>0</v>
      </c>
      <c r="BT76" s="71">
        <f>IF($AX$2=0,IF($AY$2=0,0,BT75),BT75)</f>
        <v>0</v>
      </c>
      <c r="BU76" s="71">
        <f t="shared" ref="BU76:BW76" si="144">IF($AX$2=0,IF($AY$2=0,0,BU75),BU75)</f>
        <v>0</v>
      </c>
      <c r="BV76" s="71">
        <f t="shared" si="144"/>
        <v>0</v>
      </c>
      <c r="BW76" s="71">
        <f t="shared" si="144"/>
        <v>0</v>
      </c>
      <c r="BZ76" s="71">
        <f>IF($AY$2=0,IF($AZ$2=0,0,BZ75),BZ75)</f>
        <v>0</v>
      </c>
      <c r="CA76" s="71">
        <f t="shared" ref="CA76:CC76" si="145">IF($AY$2=0,IF($AZ$2=0,0,CA75),CA75)</f>
        <v>0</v>
      </c>
      <c r="CB76" s="71">
        <f t="shared" si="145"/>
        <v>0</v>
      </c>
      <c r="CC76" s="71">
        <f t="shared" si="145"/>
        <v>0</v>
      </c>
      <c r="CF76" s="71">
        <f>IF($AZ$2=0,IF($BA$2=0,0,CF75),CF75)</f>
        <v>0.888405</v>
      </c>
      <c r="CG76" s="71">
        <f t="shared" ref="CG76:CI76" si="146">IF($AZ$2=0,IF($BA$2=0,0,CG75),CG75)</f>
        <v>-24.19</v>
      </c>
      <c r="CH76" s="71">
        <f t="shared" si="146"/>
        <v>0.903173</v>
      </c>
      <c r="CI76" s="71">
        <f t="shared" si="146"/>
        <v>-21.88</v>
      </c>
      <c r="CL76" s="71">
        <f>IF($BA$2=0,IF($BB$2=0,0,CL75),CL75)</f>
        <v>0.88739299999999999</v>
      </c>
      <c r="CM76" s="71">
        <f t="shared" ref="CM76:CO76" si="147">IF($BA$2=0,IF($BB$2=0,0,CM75),CM75)</f>
        <v>-20.29</v>
      </c>
      <c r="CN76" s="71">
        <f t="shared" si="147"/>
        <v>0.90265200000000001</v>
      </c>
      <c r="CO76" s="71">
        <f t="shared" si="147"/>
        <v>-18.39</v>
      </c>
      <c r="CR76" s="71">
        <f>IF($BB$2=0,IF($BC$2=0,0,CR75),CR75)</f>
        <v>0</v>
      </c>
      <c r="CS76" s="71">
        <f t="shared" ref="CS76:CU76" si="148">IF($BB$2=0,IF($BC$2=0,0,CS75),CS75)</f>
        <v>0</v>
      </c>
      <c r="CT76" s="71">
        <f t="shared" si="148"/>
        <v>0</v>
      </c>
      <c r="CU76" s="71">
        <f t="shared" si="148"/>
        <v>0</v>
      </c>
      <c r="CX76" s="71">
        <f>IF($BC$2=0,0,CX75)</f>
        <v>0</v>
      </c>
      <c r="CY76" s="71">
        <f t="shared" ref="CY76:DA76" si="149">IF($BC$2=0,0,CY75)</f>
        <v>0</v>
      </c>
      <c r="CZ76" s="71">
        <f t="shared" si="149"/>
        <v>0</v>
      </c>
      <c r="DA76" s="71">
        <f t="shared" si="149"/>
        <v>0</v>
      </c>
    </row>
    <row r="77" spans="2:105" x14ac:dyDescent="0.3">
      <c r="AX77" s="74">
        <v>-20</v>
      </c>
      <c r="AY77" t="e">
        <f>(AY76-AW76)/(AX76-AV76)*($AQ$4-AV76)+AW76</f>
        <v>#DIV/0!</v>
      </c>
      <c r="BD77" s="74">
        <v>-15</v>
      </c>
      <c r="BE77" t="e">
        <f>(BE76-BC76)/(BD76-BB76)*($AQ$4-BB76)+BC76</f>
        <v>#DIV/0!</v>
      </c>
      <c r="BJ77" s="74">
        <v>-10</v>
      </c>
      <c r="BK77" t="e">
        <f>(BK76-BI76)/(BJ76-BH76)*($AQ$4-BH76)+BI76</f>
        <v>#DIV/0!</v>
      </c>
      <c r="BP77" s="74">
        <v>-5</v>
      </c>
      <c r="BQ77" t="e">
        <f>(BQ76-BO76)/(BP76-BN76)*($AQ$4-BN76)+BO76</f>
        <v>#DIV/0!</v>
      </c>
      <c r="BV77" s="74">
        <v>0</v>
      </c>
      <c r="BW77" t="e">
        <f>(BW76-BU76)/(BV76-BT76)*($AQ$4-BT76)+BU76</f>
        <v>#DIV/0!</v>
      </c>
      <c r="CB77" s="74">
        <v>5</v>
      </c>
      <c r="CC77" t="e">
        <f>(CC76-CA76)/(CB76-BZ76)*($AQ$4-BZ76)+CA76</f>
        <v>#DIV/0!</v>
      </c>
      <c r="CH77" s="74">
        <v>10</v>
      </c>
      <c r="CI77">
        <f>(CI76-CG76)/(CH76-CF76)*($AQ$4-CF76)+CG76</f>
        <v>-22.376318391115923</v>
      </c>
      <c r="CN77" s="74">
        <v>15</v>
      </c>
      <c r="CO77">
        <f>(CO76-CM76)/(CN76-CL76)*($AQ$4-CL76)+CM76</f>
        <v>-18.720218231863161</v>
      </c>
      <c r="CT77" s="74">
        <v>20</v>
      </c>
      <c r="CU77" t="e">
        <f>(CU76-CS76)/(CT76-CR76)*($AQ$4-CR76)+CS76</f>
        <v>#DIV/0!</v>
      </c>
      <c r="CZ77" s="74">
        <v>25</v>
      </c>
      <c r="DA77" t="e">
        <f>(DA76-CY76)/(CZ76-CX76)*($AQ$4-CX76)+CY76</f>
        <v>#DIV/0!</v>
      </c>
    </row>
    <row r="80" spans="2:105" x14ac:dyDescent="0.3">
      <c r="AS80" s="72" t="s">
        <v>60</v>
      </c>
      <c r="AT80">
        <f>IF(AU2="X",-20,0)</f>
        <v>0</v>
      </c>
      <c r="AU80">
        <f>IF(AU2="X",-15,0)</f>
        <v>0</v>
      </c>
      <c r="AV80" s="73">
        <f>SUM(AT80:AU80)</f>
        <v>0</v>
      </c>
      <c r="AW80">
        <f>IF($AV80=0,0,AY77)</f>
        <v>0</v>
      </c>
      <c r="AX80">
        <f>IF($AV80=0,0,BE77)</f>
        <v>0</v>
      </c>
    </row>
    <row r="81" spans="45:50" x14ac:dyDescent="0.3">
      <c r="AS81" s="72" t="s">
        <v>61</v>
      </c>
      <c r="AT81">
        <f>IF(AV2="X",-15,0)</f>
        <v>0</v>
      </c>
      <c r="AU81">
        <f>IF(AU2="X",-10,0)</f>
        <v>0</v>
      </c>
      <c r="AV81" s="73">
        <f t="shared" ref="AV81:AV88" si="150">SUM(AT81:AU81)</f>
        <v>0</v>
      </c>
      <c r="AW81">
        <f>IF($AV81=0,0,BE77)</f>
        <v>0</v>
      </c>
      <c r="AX81">
        <f>IF($AV81=0,0,BK77)</f>
        <v>0</v>
      </c>
    </row>
    <row r="82" spans="45:50" x14ac:dyDescent="0.3">
      <c r="AS82" s="72" t="s">
        <v>62</v>
      </c>
      <c r="AT82">
        <f>IF(AW2="X",-10,0)</f>
        <v>0</v>
      </c>
      <c r="AU82">
        <f>IF(AW2="X",-5,0)</f>
        <v>0</v>
      </c>
      <c r="AV82" s="73">
        <f t="shared" si="150"/>
        <v>0</v>
      </c>
      <c r="AW82">
        <f>IF($AV82=0,0,BK77)</f>
        <v>0</v>
      </c>
      <c r="AX82">
        <f>IF($AV82=0,0,BQ77)</f>
        <v>0</v>
      </c>
    </row>
    <row r="83" spans="45:50" x14ac:dyDescent="0.3">
      <c r="AS83" s="72" t="s">
        <v>63</v>
      </c>
      <c r="AT83">
        <f>IF(AX2="X",-5,0)</f>
        <v>0</v>
      </c>
      <c r="AU83">
        <f>IF(AX2="X",0,0)</f>
        <v>0</v>
      </c>
      <c r="AV83" s="73">
        <f t="shared" si="150"/>
        <v>0</v>
      </c>
      <c r="AW83">
        <f>IF($AV83=0,0,BQ77)</f>
        <v>0</v>
      </c>
      <c r="AX83">
        <f>IF($AV83=0,0,BW77)</f>
        <v>0</v>
      </c>
    </row>
    <row r="84" spans="45:50" x14ac:dyDescent="0.3">
      <c r="AS84" s="72" t="s">
        <v>64</v>
      </c>
      <c r="AT84">
        <f>IF(AY2="X",0,0)</f>
        <v>0</v>
      </c>
      <c r="AU84">
        <f>IF(AY2="X",5,0)</f>
        <v>0</v>
      </c>
      <c r="AV84" s="73">
        <f t="shared" si="150"/>
        <v>0</v>
      </c>
      <c r="AW84">
        <f>IF($AV84=0,0,BW77)</f>
        <v>0</v>
      </c>
      <c r="AX84">
        <f>IF($AV84=0,0,CC77)</f>
        <v>0</v>
      </c>
    </row>
    <row r="85" spans="45:50" x14ac:dyDescent="0.3">
      <c r="AS85" s="72" t="s">
        <v>65</v>
      </c>
      <c r="AT85">
        <f>IF(AZ2="X",5,0)</f>
        <v>0</v>
      </c>
      <c r="AU85">
        <f>IF(AZ2="X",10,0)</f>
        <v>0</v>
      </c>
      <c r="AV85" s="73">
        <f t="shared" si="150"/>
        <v>0</v>
      </c>
      <c r="AW85">
        <f>IF($AV85=0,0,CC77)</f>
        <v>0</v>
      </c>
      <c r="AX85">
        <f>IF($AV85=0,0,CI77)</f>
        <v>0</v>
      </c>
    </row>
    <row r="86" spans="45:50" x14ac:dyDescent="0.3">
      <c r="AS86" s="72" t="s">
        <v>66</v>
      </c>
      <c r="AT86">
        <f>IF(BA2="X",10,0)</f>
        <v>10</v>
      </c>
      <c r="AU86">
        <f>IF(BA2="X",15,0)</f>
        <v>15</v>
      </c>
      <c r="AV86" s="73">
        <f t="shared" si="150"/>
        <v>25</v>
      </c>
      <c r="AW86">
        <f>IF($AV86=0,0,CI77)</f>
        <v>-22.376318391115923</v>
      </c>
      <c r="AX86">
        <f>IF($AV86=0,0,CO77)</f>
        <v>-18.720218231863161</v>
      </c>
    </row>
    <row r="87" spans="45:50" x14ac:dyDescent="0.3">
      <c r="AS87" s="72" t="s">
        <v>67</v>
      </c>
      <c r="AT87">
        <f>IF(BB2="X",15,0)</f>
        <v>0</v>
      </c>
      <c r="AU87">
        <f>IF(BB2="X",20,0)</f>
        <v>0</v>
      </c>
      <c r="AV87" s="73">
        <f t="shared" si="150"/>
        <v>0</v>
      </c>
      <c r="AW87">
        <f>IF($AV87=0,0,CO77)</f>
        <v>0</v>
      </c>
      <c r="AX87">
        <f>IF($AV87=0,0,CU77)</f>
        <v>0</v>
      </c>
    </row>
    <row r="88" spans="45:50" x14ac:dyDescent="0.3">
      <c r="AS88" s="72" t="s">
        <v>68</v>
      </c>
      <c r="AT88">
        <f>IF(BC2="X",20,0)</f>
        <v>0</v>
      </c>
      <c r="AU88">
        <f>IF(BC2="X",25,0)</f>
        <v>0</v>
      </c>
      <c r="AV88" s="73">
        <f t="shared" si="150"/>
        <v>0</v>
      </c>
      <c r="AW88">
        <f>IF($AV88=0,0,CU77)</f>
        <v>0</v>
      </c>
      <c r="AX88">
        <f>IF($AV88=0,0,DA77)</f>
        <v>0</v>
      </c>
    </row>
    <row r="90" spans="45:50" x14ac:dyDescent="0.3">
      <c r="AT90">
        <f>SUM(AT80:AT88)</f>
        <v>10</v>
      </c>
      <c r="AU90">
        <f>SUM(AU80:AU88)</f>
        <v>15</v>
      </c>
      <c r="AW90">
        <f>SUM(AW80:AW88)</f>
        <v>-22.376318391115923</v>
      </c>
      <c r="AX90">
        <f>SUM(AX80:AX88)</f>
        <v>-18.720218231863161</v>
      </c>
    </row>
  </sheetData>
  <mergeCells count="2">
    <mergeCell ref="AQ6:AR6"/>
    <mergeCell ref="AP6:AP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J47"/>
  <sheetViews>
    <sheetView tabSelected="1" zoomScale="55" zoomScaleNormal="55" workbookViewId="0">
      <selection activeCell="AA1" sqref="AA1:AA1048576"/>
    </sheetView>
  </sheetViews>
  <sheetFormatPr defaultRowHeight="14.4" x14ac:dyDescent="0.3"/>
  <cols>
    <col min="1" max="1" width="12.33203125" bestFit="1" customWidth="1"/>
    <col min="2" max="2" width="4.44140625" customWidth="1"/>
    <col min="4" max="4" width="10.5546875" customWidth="1"/>
    <col min="6" max="6" width="12.21875" bestFit="1" customWidth="1"/>
    <col min="7" max="7" width="9.5546875" customWidth="1"/>
    <col min="8" max="8" width="12.109375" bestFit="1" customWidth="1"/>
    <col min="9" max="9" width="10.109375" bestFit="1" customWidth="1"/>
    <col min="11" max="11" width="13.109375" bestFit="1" customWidth="1"/>
    <col min="12" max="12" width="9.44140625" bestFit="1" customWidth="1"/>
    <col min="17" max="17" width="10.109375" customWidth="1"/>
    <col min="18" max="18" width="18.5546875" bestFit="1" customWidth="1"/>
  </cols>
  <sheetData>
    <row r="1" spans="1:36" ht="16.2" thickBot="1" x14ac:dyDescent="0.35">
      <c r="A1" s="80" t="s">
        <v>69</v>
      </c>
      <c r="D1" s="159" t="s">
        <v>87</v>
      </c>
      <c r="E1" s="160"/>
      <c r="F1" s="121"/>
      <c r="I1" t="s">
        <v>28</v>
      </c>
      <c r="J1" s="87">
        <v>32.244999999999997</v>
      </c>
      <c r="K1" s="87">
        <v>9400.2999999999993</v>
      </c>
      <c r="L1" s="87">
        <v>89.906000000000006</v>
      </c>
      <c r="M1" s="87">
        <v>529.51</v>
      </c>
      <c r="O1" s="17"/>
      <c r="R1" s="156"/>
      <c r="S1" s="157"/>
      <c r="Y1" s="3" t="s">
        <v>102</v>
      </c>
    </row>
    <row r="2" spans="1:36" x14ac:dyDescent="0.3">
      <c r="A2" s="11" t="s">
        <v>70</v>
      </c>
      <c r="J2" s="83" t="s">
        <v>12</v>
      </c>
      <c r="K2" s="83" t="s">
        <v>17</v>
      </c>
      <c r="L2" s="83" t="s">
        <v>26</v>
      </c>
      <c r="M2" s="83" t="s">
        <v>27</v>
      </c>
      <c r="O2" s="17"/>
      <c r="R2" s="105" t="s">
        <v>94</v>
      </c>
      <c r="S2" s="128">
        <f>J21</f>
        <v>29.982673864926003</v>
      </c>
      <c r="AG2" s="3" t="s">
        <v>103</v>
      </c>
    </row>
    <row r="3" spans="1:36" x14ac:dyDescent="0.3">
      <c r="A3" s="82" t="s">
        <v>72</v>
      </c>
      <c r="F3" s="41" t="s">
        <v>46</v>
      </c>
      <c r="G3" s="41" t="s">
        <v>45</v>
      </c>
      <c r="J3" s="84" t="s">
        <v>13</v>
      </c>
      <c r="K3" s="84" t="s">
        <v>2</v>
      </c>
      <c r="L3" s="84" t="s">
        <v>9</v>
      </c>
      <c r="M3" s="84" t="s">
        <v>4</v>
      </c>
      <c r="O3" s="17"/>
      <c r="S3" s="31"/>
      <c r="T3" s="31"/>
      <c r="U3" s="31"/>
      <c r="Y3" s="5" t="s">
        <v>104</v>
      </c>
      <c r="Z3" s="5" t="s">
        <v>105</v>
      </c>
      <c r="AB3" s="3" t="s">
        <v>106</v>
      </c>
      <c r="AE3" s="3" t="s">
        <v>107</v>
      </c>
      <c r="AG3" t="s">
        <v>108</v>
      </c>
      <c r="AH3" t="s">
        <v>109</v>
      </c>
      <c r="AI3" t="s">
        <v>110</v>
      </c>
      <c r="AJ3" t="s">
        <v>132</v>
      </c>
    </row>
    <row r="4" spans="1:36" x14ac:dyDescent="0.3">
      <c r="A4" s="81" t="s">
        <v>71</v>
      </c>
      <c r="D4" s="83" t="s">
        <v>15</v>
      </c>
      <c r="E4" s="84" t="s">
        <v>4</v>
      </c>
      <c r="F4" s="85">
        <v>15</v>
      </c>
      <c r="G4" s="86">
        <v>10</v>
      </c>
      <c r="J4" s="88">
        <f>'Tin_base load (1)'!T8</f>
        <v>1.033245</v>
      </c>
      <c r="K4" s="88">
        <f>'Tin_base load (1)'!T11</f>
        <v>0.99359600000000003</v>
      </c>
      <c r="L4" s="88">
        <f>'Tin_base load (1)'!T14</f>
        <v>1.022724</v>
      </c>
      <c r="M4" s="88">
        <f>'Tin_base load (1)'!T17</f>
        <v>-3.7200000000000273</v>
      </c>
      <c r="O4" s="17"/>
      <c r="R4" s="83" t="s">
        <v>96</v>
      </c>
      <c r="S4" s="131">
        <f>K23</f>
        <v>78.605978881219116</v>
      </c>
      <c r="U4" s="31"/>
      <c r="X4" t="s">
        <v>110</v>
      </c>
      <c r="Y4" s="140">
        <v>0</v>
      </c>
      <c r="Z4" s="141">
        <v>1.562E-2</v>
      </c>
      <c r="AB4" s="30">
        <v>28.013400000000001</v>
      </c>
      <c r="AC4">
        <f>IF($E$13=0,AB4*Y4,AB4*Z4)</f>
        <v>0</v>
      </c>
      <c r="AE4">
        <f>IF($E$13=0,$Y$32*Y4,$Y$32*Z4)</f>
        <v>0</v>
      </c>
      <c r="AG4">
        <v>0</v>
      </c>
      <c r="AH4">
        <v>0</v>
      </c>
      <c r="AI4">
        <f>AE4</f>
        <v>0</v>
      </c>
      <c r="AJ4">
        <v>0</v>
      </c>
    </row>
    <row r="5" spans="1:36" x14ac:dyDescent="0.3">
      <c r="D5" s="83" t="s">
        <v>21</v>
      </c>
      <c r="E5" s="84" t="s">
        <v>25</v>
      </c>
      <c r="F5" s="85">
        <v>1.01325</v>
      </c>
      <c r="G5" s="86">
        <v>1.01325</v>
      </c>
      <c r="H5" s="31"/>
      <c r="J5" s="89">
        <f>'Patm_base load (1)'!T8</f>
        <v>1</v>
      </c>
      <c r="K5" s="89">
        <f>'Patm_base load (1)'!T11</f>
        <v>1</v>
      </c>
      <c r="L5" s="89">
        <f>'Patm_base load (1)'!T14</f>
        <v>1</v>
      </c>
      <c r="M5" s="89">
        <f>'Patm_base load (1)'!T17</f>
        <v>0</v>
      </c>
      <c r="O5" s="17"/>
      <c r="R5" s="83" t="s">
        <v>97</v>
      </c>
      <c r="S5" s="128">
        <f>J21</f>
        <v>29.982673864926003</v>
      </c>
      <c r="U5" s="9"/>
      <c r="X5" t="s">
        <v>108</v>
      </c>
      <c r="Y5" s="140">
        <v>0</v>
      </c>
      <c r="Z5" s="141">
        <v>1.6651000000000001E-3</v>
      </c>
      <c r="AB5" s="30">
        <v>44.009500000000003</v>
      </c>
      <c r="AC5">
        <f>IF($E$13=0,AB5*Y5,AB5*Z5)</f>
        <v>0</v>
      </c>
      <c r="AE5">
        <f>IF($E$13=0,$Y$32*Y5,$Y$32*Z5)</f>
        <v>0</v>
      </c>
      <c r="AG5">
        <f>AE5</f>
        <v>0</v>
      </c>
      <c r="AH5">
        <v>0</v>
      </c>
      <c r="AI5">
        <v>0</v>
      </c>
      <c r="AJ5">
        <v>0</v>
      </c>
    </row>
    <row r="6" spans="1:36" x14ac:dyDescent="0.3">
      <c r="D6" s="83" t="s">
        <v>22</v>
      </c>
      <c r="E6" s="84" t="s">
        <v>25</v>
      </c>
      <c r="F6" s="85">
        <v>9.9600000000000009</v>
      </c>
      <c r="G6" s="86">
        <v>10</v>
      </c>
      <c r="J6" s="88">
        <f>'DP in_base load (1)'!T8</f>
        <v>0.99993747199999994</v>
      </c>
      <c r="K6" s="89">
        <f>'DP in_base load (1)'!T11</f>
        <v>1.00002112</v>
      </c>
      <c r="L6" s="89">
        <f>'DP in_base load (1)'!T14</f>
        <v>0.99995872000000008</v>
      </c>
      <c r="M6" s="89">
        <f>'DP in_base load (1)'!T17</f>
        <v>6.3999999999850843E-3</v>
      </c>
      <c r="O6" s="17"/>
      <c r="R6" s="83" t="s">
        <v>95</v>
      </c>
      <c r="S6" s="112">
        <f>S5/S4</f>
        <v>0.38142994072031833</v>
      </c>
      <c r="X6" t="s">
        <v>111</v>
      </c>
      <c r="Y6" s="140">
        <v>1</v>
      </c>
      <c r="Z6" s="141">
        <v>0.72889999999999999</v>
      </c>
      <c r="AB6" s="30">
        <v>16.0425</v>
      </c>
      <c r="AC6" s="30">
        <f>IF($E$13=0,AB6*Y6,AB6*Z6)</f>
        <v>16.0425</v>
      </c>
      <c r="AE6" s="142">
        <f>IF($E$13=0,$Y$32*Y6,$Y$32*Z6)</f>
        <v>9.7905137792845445E-2</v>
      </c>
      <c r="AG6">
        <f>1*AE6</f>
        <v>9.7905137792845445E-2</v>
      </c>
      <c r="AH6" s="142">
        <f>2*AE6</f>
        <v>0.19581027558569089</v>
      </c>
      <c r="AI6">
        <v>0</v>
      </c>
      <c r="AJ6">
        <f>2*AE6</f>
        <v>0.19581027558569089</v>
      </c>
    </row>
    <row r="7" spans="1:36" x14ac:dyDescent="0.3">
      <c r="D7" s="83" t="s">
        <v>23</v>
      </c>
      <c r="E7" s="84" t="s">
        <v>25</v>
      </c>
      <c r="F7" s="85">
        <v>14.95</v>
      </c>
      <c r="G7" s="139">
        <v>15</v>
      </c>
      <c r="J7" s="88">
        <f>'DP out_base load (1)'!T8</f>
        <v>0.99997250000000015</v>
      </c>
      <c r="K7" s="89">
        <f>'DP out_base load (1)'!T11</f>
        <v>1.0000253225806452</v>
      </c>
      <c r="L7" s="89">
        <v>1</v>
      </c>
      <c r="M7" s="89">
        <f>'DP out_base load (1)'!T17</f>
        <v>8.0645161290249234E-3</v>
      </c>
      <c r="O7" s="17"/>
      <c r="X7" t="s">
        <v>112</v>
      </c>
      <c r="Y7" s="140">
        <v>0</v>
      </c>
      <c r="Z7" s="141">
        <v>0.13600999999999999</v>
      </c>
      <c r="AB7" s="30">
        <v>30.069040000000001</v>
      </c>
      <c r="AC7">
        <f>IF($E$13=0,AB7*Y7,AB7*Z7)</f>
        <v>0</v>
      </c>
      <c r="AE7">
        <f>IF($E$13=0,$Y$32*Y7,$Y$32*Z7)</f>
        <v>0</v>
      </c>
      <c r="AG7">
        <f>2*AE7</f>
        <v>0</v>
      </c>
      <c r="AH7">
        <f>3*AE7</f>
        <v>0</v>
      </c>
      <c r="AI7">
        <v>0</v>
      </c>
      <c r="AJ7">
        <f>7/2*AE7</f>
        <v>0</v>
      </c>
    </row>
    <row r="8" spans="1:36" x14ac:dyDescent="0.3">
      <c r="D8" s="83" t="s">
        <v>24</v>
      </c>
      <c r="E8" s="84"/>
      <c r="F8" s="85">
        <v>0.6</v>
      </c>
      <c r="G8" s="86">
        <v>0.6</v>
      </c>
      <c r="J8" s="90">
        <v>1</v>
      </c>
      <c r="K8" s="90">
        <v>1</v>
      </c>
      <c r="L8" s="90">
        <v>1</v>
      </c>
      <c r="M8" s="90">
        <v>0</v>
      </c>
      <c r="N8" s="107" t="s">
        <v>77</v>
      </c>
      <c r="O8" s="123"/>
      <c r="X8" t="s">
        <v>113</v>
      </c>
      <c r="Y8" s="140">
        <v>0</v>
      </c>
      <c r="Z8" s="141">
        <v>8.2720000000000002E-2</v>
      </c>
      <c r="AB8" s="30">
        <v>44.095599999999997</v>
      </c>
      <c r="AC8">
        <f>IF($E$13=0,AB8*Y8,AB8*Z8)</f>
        <v>0</v>
      </c>
      <c r="AE8">
        <f>IF($E$13=0,$Y$32*Y8,$Y$32*Z8)</f>
        <v>0</v>
      </c>
      <c r="AG8">
        <f>3*AE8</f>
        <v>0</v>
      </c>
      <c r="AH8">
        <f>4*AE8</f>
        <v>0</v>
      </c>
      <c r="AI8">
        <v>0</v>
      </c>
      <c r="AJ8">
        <f>5*AE8</f>
        <v>0</v>
      </c>
    </row>
    <row r="9" spans="1:36" x14ac:dyDescent="0.3">
      <c r="J9" s="91" t="s">
        <v>73</v>
      </c>
      <c r="K9" s="91" t="s">
        <v>73</v>
      </c>
      <c r="L9" s="91" t="s">
        <v>73</v>
      </c>
      <c r="M9" s="91" t="s">
        <v>73</v>
      </c>
      <c r="O9" s="17"/>
      <c r="R9" s="132" t="s">
        <v>98</v>
      </c>
      <c r="S9" s="84">
        <v>6.7159999999999997E-2</v>
      </c>
      <c r="T9">
        <f>L18</f>
        <v>1</v>
      </c>
      <c r="X9" t="s">
        <v>114</v>
      </c>
      <c r="Y9" s="140">
        <v>0</v>
      </c>
      <c r="Z9" s="141">
        <v>2.7504000000000001E-2</v>
      </c>
      <c r="AB9" s="30">
        <v>58.122199999999999</v>
      </c>
      <c r="AC9">
        <f>IF($E$13=0,AB9*Y9,AB9*Z9)</f>
        <v>0</v>
      </c>
      <c r="AE9">
        <f>IF($E$13=0,$Y$32*Y9,$Y$32*Z9)</f>
        <v>0</v>
      </c>
      <c r="AG9">
        <f>4*AE9</f>
        <v>0</v>
      </c>
      <c r="AH9">
        <f>5*AE9</f>
        <v>0</v>
      </c>
      <c r="AI9">
        <v>0</v>
      </c>
      <c r="AJ9">
        <f>13/2*AE9</f>
        <v>0</v>
      </c>
    </row>
    <row r="10" spans="1:36" x14ac:dyDescent="0.3">
      <c r="D10" s="109" t="s">
        <v>79</v>
      </c>
      <c r="E10" s="110">
        <v>0.98499999999999999</v>
      </c>
      <c r="H10" s="161" t="s">
        <v>29</v>
      </c>
      <c r="I10" s="161"/>
      <c r="J10" s="88">
        <f>1+((J4-1)+(J5-1)+(J6-1)+(J7-1)+(J8-1))</f>
        <v>1.0331549720000002</v>
      </c>
      <c r="K10" s="88">
        <f t="shared" ref="K10" si="0">1+((K4-1)+(K5-1)+(K6-1)+(K7-1)+(K8-1))</f>
        <v>0.99364244258064527</v>
      </c>
      <c r="L10" s="88">
        <f>1+((L4-1)+(L5-1)+(L6-1)+(L7-1)+(L8-1))</f>
        <v>1.0226827200000002</v>
      </c>
      <c r="M10" s="88">
        <f>SUM(M4:M8)</f>
        <v>-3.7055354838710173</v>
      </c>
      <c r="O10" s="17"/>
      <c r="R10" s="132" t="s">
        <v>99</v>
      </c>
      <c r="S10" s="84">
        <v>1.1506000000000001E-2</v>
      </c>
      <c r="X10" t="s">
        <v>115</v>
      </c>
      <c r="Y10" s="140">
        <v>0</v>
      </c>
      <c r="Z10" s="141">
        <v>6.6699999999999997E-3</v>
      </c>
      <c r="AB10" s="30">
        <v>72.148780000000002</v>
      </c>
      <c r="AC10">
        <f>IF($E$13=0,AB10*Y10,AB10*Z10)</f>
        <v>0</v>
      </c>
      <c r="AE10">
        <f>IF($E$13=0,$Y$32*Y10,$Y$32*Z10)</f>
        <v>0</v>
      </c>
      <c r="AG10">
        <f>5*AE10</f>
        <v>0</v>
      </c>
      <c r="AH10">
        <f>6*AE10</f>
        <v>0</v>
      </c>
      <c r="AI10">
        <v>0</v>
      </c>
      <c r="AJ10">
        <f>8*AE10</f>
        <v>0</v>
      </c>
    </row>
    <row r="11" spans="1:36" x14ac:dyDescent="0.3">
      <c r="H11" s="161" t="s">
        <v>30</v>
      </c>
      <c r="I11" s="161"/>
      <c r="J11" s="92">
        <f>J10*J1</f>
        <v>33.314082072140003</v>
      </c>
      <c r="K11" s="92">
        <f>K10*K1</f>
        <v>9340.5370529908396</v>
      </c>
      <c r="L11" s="92">
        <f>L10*L1</f>
        <v>91.945312624320024</v>
      </c>
      <c r="M11" s="92">
        <f>M10+M1</f>
        <v>525.80446451612897</v>
      </c>
      <c r="O11" s="17"/>
      <c r="X11" t="s">
        <v>116</v>
      </c>
      <c r="Y11" s="140">
        <v>0</v>
      </c>
      <c r="Z11" s="141">
        <v>9.1E-4</v>
      </c>
      <c r="AB11" s="30">
        <v>86.175399999999996</v>
      </c>
      <c r="AC11">
        <f>IF($E$13=0,AB11*Y11,AB11*Z11)</f>
        <v>0</v>
      </c>
      <c r="AE11">
        <f>IF($E$13=0,$Y$32*Y11,$Y$32*Z11)</f>
        <v>0</v>
      </c>
      <c r="AG11">
        <f>6*AE11</f>
        <v>0</v>
      </c>
      <c r="AH11">
        <f>7*AE11</f>
        <v>0</v>
      </c>
      <c r="AI11">
        <v>0</v>
      </c>
      <c r="AJ11">
        <f>19/2*AE11</f>
        <v>0</v>
      </c>
    </row>
    <row r="12" spans="1:36" x14ac:dyDescent="0.3">
      <c r="D12" s="111" t="s">
        <v>85</v>
      </c>
      <c r="O12" s="17"/>
      <c r="R12" s="132" t="s">
        <v>100</v>
      </c>
      <c r="S12" s="128">
        <f>S2*(1-S10)-S9*T9</f>
        <v>29.570533219436161</v>
      </c>
      <c r="AC12" s="30">
        <f>SUM(AC4:AC11)</f>
        <v>16.0425</v>
      </c>
      <c r="AE12" s="142">
        <f>SUM(AE4:AE11)</f>
        <v>9.7905137792845445E-2</v>
      </c>
      <c r="AG12" s="142">
        <f>SUM(AG4:AG11)</f>
        <v>9.7905137792845445E-2</v>
      </c>
      <c r="AH12" s="142">
        <f t="shared" ref="AH12:AI12" si="1">SUM(AH4:AH11)</f>
        <v>0.19581027558569089</v>
      </c>
      <c r="AI12" s="142">
        <f t="shared" si="1"/>
        <v>0</v>
      </c>
      <c r="AJ12" s="142">
        <f>SUM(AJ4:AJ11)</f>
        <v>0.19581027558569089</v>
      </c>
    </row>
    <row r="13" spans="1:36" x14ac:dyDescent="0.3">
      <c r="D13" s="83" t="s">
        <v>80</v>
      </c>
      <c r="E13" s="119">
        <v>0</v>
      </c>
      <c r="F13" s="84" t="s">
        <v>91</v>
      </c>
      <c r="H13" s="83" t="s">
        <v>31</v>
      </c>
      <c r="I13" s="95">
        <v>0.9</v>
      </c>
      <c r="J13" s="83" t="s">
        <v>12</v>
      </c>
      <c r="K13" s="83" t="s">
        <v>17</v>
      </c>
      <c r="L13" s="83" t="s">
        <v>26</v>
      </c>
      <c r="M13" s="83" t="s">
        <v>27</v>
      </c>
      <c r="O13" s="17"/>
      <c r="R13" s="133"/>
      <c r="S13" s="43"/>
    </row>
    <row r="14" spans="1:36" x14ac:dyDescent="0.3">
      <c r="D14" s="83" t="s">
        <v>81</v>
      </c>
      <c r="E14" s="119">
        <f>IF(E13=0,50.047,47.3828)</f>
        <v>50.046999999999997</v>
      </c>
      <c r="F14" s="84" t="s">
        <v>82</v>
      </c>
      <c r="I14" s="91" t="s">
        <v>73</v>
      </c>
      <c r="J14" s="84" t="s">
        <v>13</v>
      </c>
      <c r="K14" s="84" t="s">
        <v>2</v>
      </c>
      <c r="L14" s="84" t="s">
        <v>9</v>
      </c>
      <c r="M14" s="84" t="s">
        <v>4</v>
      </c>
      <c r="O14" s="17"/>
      <c r="R14" s="133"/>
      <c r="S14" s="43"/>
    </row>
    <row r="15" spans="1:36" x14ac:dyDescent="0.3">
      <c r="D15" s="83" t="s">
        <v>83</v>
      </c>
      <c r="E15" s="139">
        <v>31.46</v>
      </c>
      <c r="F15" s="104" t="s">
        <v>25</v>
      </c>
      <c r="H15" s="162" t="s">
        <v>32</v>
      </c>
      <c r="I15" s="163"/>
      <c r="J15" s="92">
        <f>I13</f>
        <v>0.9</v>
      </c>
      <c r="K15" s="88">
        <f>'Part-load_HR_Tin (1)'!BB7</f>
        <v>1.0104524302546045</v>
      </c>
      <c r="L15" s="89">
        <f>'Part-load_mout_Tin (1)'!AR7</f>
        <v>0.9609717820287107</v>
      </c>
      <c r="M15" s="93">
        <f>'Part-load_Tout_Tin (1)'!AR7</f>
        <v>-22.376318391115923</v>
      </c>
      <c r="O15" s="17"/>
      <c r="Y15" s="3" t="s">
        <v>117</v>
      </c>
    </row>
    <row r="16" spans="1:36" x14ac:dyDescent="0.3">
      <c r="D16" s="83" t="s">
        <v>84</v>
      </c>
      <c r="E16" s="117">
        <v>25</v>
      </c>
      <c r="F16" s="104" t="s">
        <v>4</v>
      </c>
      <c r="H16" s="161" t="s">
        <v>33</v>
      </c>
      <c r="I16" s="161"/>
      <c r="J16" s="94">
        <f>IF(E13=0,J15*J11,J15*J11*E19)</f>
        <v>29.982673864926003</v>
      </c>
      <c r="K16" s="146">
        <f>IF(E13=0,K15*K11,K15*K11*E20)</f>
        <v>9438.1683650777759</v>
      </c>
      <c r="L16" s="147">
        <f>IF(E13=0,L15*L11,L15*L11*E22)</f>
        <v>88.356850921779724</v>
      </c>
      <c r="M16" s="147">
        <f>IF(E13=0,M11+M15,M11+M15+E23)</f>
        <v>503.42814612501303</v>
      </c>
      <c r="O16" s="17"/>
      <c r="AG16" s="3"/>
    </row>
    <row r="17" spans="4:34" x14ac:dyDescent="0.3">
      <c r="O17" s="17"/>
      <c r="AB17" s="3" t="s">
        <v>106</v>
      </c>
      <c r="AE17" s="3" t="s">
        <v>107</v>
      </c>
    </row>
    <row r="18" spans="4:34" x14ac:dyDescent="0.3">
      <c r="D18" s="158" t="s">
        <v>89</v>
      </c>
      <c r="E18" s="158"/>
      <c r="H18" s="120" t="s">
        <v>93</v>
      </c>
      <c r="I18" s="127">
        <v>0.13</v>
      </c>
      <c r="K18" s="84" t="s">
        <v>101</v>
      </c>
      <c r="L18" s="84">
        <f>IF(I13=0,0,1)</f>
        <v>1</v>
      </c>
      <c r="O18" s="17"/>
      <c r="X18" t="s">
        <v>110</v>
      </c>
      <c r="Y18" s="4">
        <v>0.77388999999999997</v>
      </c>
      <c r="AB18" s="30">
        <v>28.013400000000001</v>
      </c>
      <c r="AC18" s="30">
        <f>AB18*Y18</f>
        <v>21.679290125999998</v>
      </c>
      <c r="AE18" s="142">
        <f>$Y$33*Y18</f>
        <v>2.3265163719208148</v>
      </c>
    </row>
    <row r="19" spans="4:34" x14ac:dyDescent="0.3">
      <c r="D19" s="83" t="s">
        <v>12</v>
      </c>
      <c r="E19" s="84">
        <v>0.99112420661797351</v>
      </c>
      <c r="M19" s="44"/>
      <c r="N19" s="44"/>
      <c r="O19" s="122"/>
      <c r="X19" t="s">
        <v>118</v>
      </c>
      <c r="Y19" s="4">
        <v>0.20763999999999999</v>
      </c>
      <c r="AB19" s="30">
        <v>31.998799999999999</v>
      </c>
      <c r="AC19" s="30">
        <f>AB19*Y19</f>
        <v>6.6442308319999999</v>
      </c>
      <c r="AE19" s="142">
        <f>$Y$33*Y19</f>
        <v>0.62422031485823304</v>
      </c>
    </row>
    <row r="20" spans="4:34" x14ac:dyDescent="0.3">
      <c r="D20" s="83" t="s">
        <v>17</v>
      </c>
      <c r="E20" s="84">
        <v>1.0021854280066704</v>
      </c>
      <c r="H20" s="113" t="s">
        <v>71</v>
      </c>
      <c r="L20" s="114"/>
      <c r="M20" s="114"/>
      <c r="N20" s="114"/>
      <c r="O20" s="124"/>
      <c r="X20" t="s">
        <v>108</v>
      </c>
      <c r="Y20" s="4">
        <v>2.9999999999999997E-4</v>
      </c>
      <c r="AB20" s="30">
        <v>44.009500000000003</v>
      </c>
      <c r="AC20" s="30">
        <f>AB20*Y20</f>
        <v>1.320285E-2</v>
      </c>
      <c r="AE20" s="142">
        <f>$Y$33*Y20</f>
        <v>9.0187870572852017E-4</v>
      </c>
      <c r="AH20" s="142"/>
    </row>
    <row r="21" spans="4:34" x14ac:dyDescent="0.3">
      <c r="D21" s="83" t="s">
        <v>90</v>
      </c>
      <c r="E21" s="84">
        <v>1.0491348191506693</v>
      </c>
      <c r="H21" s="105" t="s">
        <v>75</v>
      </c>
      <c r="I21" s="104" t="s">
        <v>13</v>
      </c>
      <c r="J21" s="94">
        <f>J16</f>
        <v>29.982673864926003</v>
      </c>
      <c r="L21" s="115"/>
      <c r="M21" s="115"/>
      <c r="N21" s="115"/>
      <c r="O21" s="125"/>
      <c r="X21" t="s">
        <v>109</v>
      </c>
      <c r="Y21" s="4">
        <v>8.8500000000000002E-3</v>
      </c>
      <c r="AB21" s="30">
        <v>18.015280000000001</v>
      </c>
      <c r="AC21" s="30">
        <f>AB21*Y21</f>
        <v>0.15943522800000001</v>
      </c>
      <c r="AE21" s="142">
        <f>$Y$33*Y21</f>
        <v>2.6605421818991348E-2</v>
      </c>
    </row>
    <row r="22" spans="4:34" x14ac:dyDescent="0.3">
      <c r="D22" s="83" t="s">
        <v>26</v>
      </c>
      <c r="E22" s="84">
        <v>0.99721324937251032</v>
      </c>
      <c r="H22" s="106" t="s">
        <v>76</v>
      </c>
      <c r="I22" s="104" t="s">
        <v>74</v>
      </c>
      <c r="J22" s="112">
        <f>IF(I13=0,0,3600/K16)</f>
        <v>0.38142994072031833</v>
      </c>
      <c r="L22" s="116"/>
      <c r="M22" s="116"/>
      <c r="N22" s="116"/>
      <c r="O22" s="126"/>
      <c r="X22" t="s">
        <v>119</v>
      </c>
      <c r="Y22" s="4">
        <v>9.3200000000000002E-3</v>
      </c>
      <c r="AB22" s="30">
        <v>39.948</v>
      </c>
      <c r="AC22" s="30">
        <f>AB22*Y22</f>
        <v>0.37231535999999998</v>
      </c>
      <c r="AE22" s="142">
        <f>$Y$33*Y22</f>
        <v>2.8018365124632696E-2</v>
      </c>
    </row>
    <row r="23" spans="4:34" x14ac:dyDescent="0.3">
      <c r="D23" s="83" t="s">
        <v>27</v>
      </c>
      <c r="E23" s="84">
        <v>0.70159912109375</v>
      </c>
      <c r="H23" s="106" t="s">
        <v>86</v>
      </c>
      <c r="I23" s="104" t="s">
        <v>9</v>
      </c>
      <c r="J23" s="94">
        <f>IF(I13=0,0,J16/J22/E14)</f>
        <v>1.5706431730417232</v>
      </c>
      <c r="K23" s="129">
        <f>J23*E14</f>
        <v>78.605978881219116</v>
      </c>
      <c r="L23" s="130"/>
      <c r="M23" s="115"/>
      <c r="N23" s="115"/>
      <c r="O23" s="125"/>
      <c r="AC23" s="30">
        <f>SUM(AC18:AC22)</f>
        <v>28.868474395999996</v>
      </c>
      <c r="AE23" s="142">
        <f>SUM(AE18:AE22)</f>
        <v>3.0062623524284002</v>
      </c>
    </row>
    <row r="24" spans="4:34" x14ac:dyDescent="0.3">
      <c r="L24" s="44"/>
      <c r="M24" s="118"/>
      <c r="N24" s="44"/>
      <c r="O24" s="122"/>
    </row>
    <row r="26" spans="4:34" x14ac:dyDescent="0.3">
      <c r="H26" s="144" t="s">
        <v>131</v>
      </c>
      <c r="I26" s="145" t="s">
        <v>9</v>
      </c>
      <c r="J26" s="94">
        <f>AC43</f>
        <v>4.3484473925939913</v>
      </c>
    </row>
    <row r="27" spans="4:34" x14ac:dyDescent="0.3">
      <c r="X27" t="s">
        <v>120</v>
      </c>
      <c r="Y27" s="31">
        <f>L16</f>
        <v>88.356850921779724</v>
      </c>
      <c r="Z27" t="s">
        <v>9</v>
      </c>
    </row>
    <row r="28" spans="4:34" x14ac:dyDescent="0.3">
      <c r="X28" t="s">
        <v>121</v>
      </c>
      <c r="Y28" s="30">
        <f>J23</f>
        <v>1.5706431730417232</v>
      </c>
      <c r="Z28" t="s">
        <v>9</v>
      </c>
    </row>
    <row r="29" spans="4:34" x14ac:dyDescent="0.3">
      <c r="X29" t="s">
        <v>122</v>
      </c>
      <c r="Y29" s="31">
        <f>Y27-Y28</f>
        <v>86.786207748738008</v>
      </c>
      <c r="Z29" t="s">
        <v>9</v>
      </c>
    </row>
    <row r="31" spans="4:34" x14ac:dyDescent="0.3">
      <c r="X31" t="s">
        <v>123</v>
      </c>
      <c r="Y31" s="142">
        <f>Y33+Y32</f>
        <v>3.1041674902212462</v>
      </c>
      <c r="Z31" t="s">
        <v>124</v>
      </c>
      <c r="AG31" s="142"/>
    </row>
    <row r="32" spans="4:34" x14ac:dyDescent="0.3">
      <c r="X32" t="s">
        <v>125</v>
      </c>
      <c r="Y32" s="142">
        <f>Y28/AC12</f>
        <v>9.7905137792845445E-2</v>
      </c>
      <c r="Z32" t="s">
        <v>124</v>
      </c>
    </row>
    <row r="33" spans="24:29" x14ac:dyDescent="0.3">
      <c r="X33" t="s">
        <v>126</v>
      </c>
      <c r="Y33" s="142">
        <f>Y29/AC23</f>
        <v>3.0062623524284007</v>
      </c>
      <c r="Z33" t="s">
        <v>124</v>
      </c>
    </row>
    <row r="35" spans="24:29" x14ac:dyDescent="0.3">
      <c r="X35" t="s">
        <v>127</v>
      </c>
      <c r="Y35" s="30">
        <f>Y27/Y31</f>
        <v>28.463944423141353</v>
      </c>
    </row>
    <row r="39" spans="24:29" x14ac:dyDescent="0.3">
      <c r="Y39" s="3" t="s">
        <v>128</v>
      </c>
    </row>
    <row r="40" spans="24:29" x14ac:dyDescent="0.3">
      <c r="Y40" s="5" t="s">
        <v>107</v>
      </c>
      <c r="Z40" s="5" t="s">
        <v>129</v>
      </c>
      <c r="AB40" s="3" t="s">
        <v>106</v>
      </c>
      <c r="AC40" s="3" t="s">
        <v>130</v>
      </c>
    </row>
    <row r="41" spans="24:29" x14ac:dyDescent="0.3">
      <c r="X41" t="s">
        <v>110</v>
      </c>
      <c r="Y41" s="143">
        <f>AI12+AE18</f>
        <v>2.3265163719208148</v>
      </c>
      <c r="Z41" s="4">
        <f>Y41/$Y$46</f>
        <v>0.74948158540085585</v>
      </c>
      <c r="AB41" s="30">
        <v>28.013400000000001</v>
      </c>
      <c r="AC41" s="30">
        <f>AB41*Y41</f>
        <v>65.173633733166554</v>
      </c>
    </row>
    <row r="42" spans="24:29" x14ac:dyDescent="0.3">
      <c r="X42" t="s">
        <v>118</v>
      </c>
      <c r="Y42" s="142">
        <f>AE19-AJ12</f>
        <v>0.42841003927254218</v>
      </c>
      <c r="Z42" s="4">
        <f t="shared" ref="Z42:Z45" si="2">Y42/$Y$46</f>
        <v>0.13801125120410554</v>
      </c>
      <c r="AB42" s="30">
        <v>31.998799999999999</v>
      </c>
      <c r="AC42" s="30">
        <f>AB42*Y42</f>
        <v>13.708607164674222</v>
      </c>
    </row>
    <row r="43" spans="24:29" x14ac:dyDescent="0.3">
      <c r="X43" t="s">
        <v>108</v>
      </c>
      <c r="Y43" s="142">
        <f>AG12+AE20</f>
        <v>9.8807016498573971E-2</v>
      </c>
      <c r="Z43" s="4">
        <f t="shared" si="2"/>
        <v>3.1830439823184807E-2</v>
      </c>
      <c r="AB43" s="30">
        <v>44.009500000000003</v>
      </c>
      <c r="AC43" s="30">
        <f>AB43*Y43</f>
        <v>4.3484473925939913</v>
      </c>
    </row>
    <row r="44" spans="24:29" x14ac:dyDescent="0.3">
      <c r="X44" t="s">
        <v>109</v>
      </c>
      <c r="Y44" s="142">
        <f>AH12+AE21</f>
        <v>0.22241569740468223</v>
      </c>
      <c r="Z44" s="4">
        <f t="shared" si="2"/>
        <v>7.1650675456571389E-2</v>
      </c>
      <c r="AB44" s="30">
        <v>18.015280000000001</v>
      </c>
      <c r="AC44" s="30">
        <f>AB44*Y44</f>
        <v>4.0068810651406235</v>
      </c>
    </row>
    <row r="45" spans="24:29" x14ac:dyDescent="0.3">
      <c r="X45" t="s">
        <v>119</v>
      </c>
      <c r="Y45" s="143">
        <f>AE22</f>
        <v>2.8018365124632696E-2</v>
      </c>
      <c r="Z45" s="4">
        <f t="shared" si="2"/>
        <v>9.0260481152825041E-3</v>
      </c>
      <c r="AB45" s="30">
        <v>39.948</v>
      </c>
      <c r="AC45" s="30">
        <f>AB45*Y45</f>
        <v>1.1192776499988271</v>
      </c>
    </row>
    <row r="46" spans="24:29" x14ac:dyDescent="0.3">
      <c r="Y46" s="142">
        <f>SUM(Y41:Y45)</f>
        <v>3.1041674902212457</v>
      </c>
      <c r="Z46" s="4">
        <f>SUM(Z41:Z45)</f>
        <v>1</v>
      </c>
      <c r="AC46" s="30">
        <f>SUM(AC41:AC45)</f>
        <v>88.35684700557421</v>
      </c>
    </row>
    <row r="47" spans="24:29" x14ac:dyDescent="0.3">
      <c r="Y47" s="142">
        <f>Y31</f>
        <v>3.1041674902212462</v>
      </c>
    </row>
  </sheetData>
  <mergeCells count="7">
    <mergeCell ref="R1:S1"/>
    <mergeCell ref="D18:E18"/>
    <mergeCell ref="D1:E1"/>
    <mergeCell ref="H16:I16"/>
    <mergeCell ref="H15:I15"/>
    <mergeCell ref="H10:I10"/>
    <mergeCell ref="H11:I11"/>
  </mergeCells>
  <pageMargins left="0.7" right="0.7" top="0.75" bottom="0.75" header="0.3" footer="0.3"/>
  <pageSetup paperSize="9"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NTNU Document" ma:contentTypeID="0x010100B34B2E5B049ADE438CC980FB8FD73EA3009346C08182E3F54481BF28E434755830" ma:contentTypeVersion="1" ma:contentTypeDescription="" ma:contentTypeScope="" ma:versionID="246b48304f7949e5f280bc432a74899a">
  <xsd:schema xmlns:xsd="http://www.w3.org/2001/XMLSchema" xmlns:xs="http://www.w3.org/2001/XMLSchema" xmlns:p="http://schemas.microsoft.com/office/2006/metadata/properties" xmlns:ns2="d59fd956-a2bc-4edf-baac-53d24ae3ef9a" xmlns:ns3="02155572-362E-45BF-A4CB-6573DF3CB236" xmlns:ns4="a2282bd8-9123-47a6-b261-385c11328855" xmlns:ns5="b75e08a3-3f1a-40b6-8f7a-71f7606cf64d" targetNamespace="http://schemas.microsoft.com/office/2006/metadata/properties" ma:root="true" ma:fieldsID="f39fc5e110a7c4fe4c753dff291b48c0" ns2:_="" ns3:_="" ns4:_="" ns5:_="">
    <xsd:import namespace="d59fd956-a2bc-4edf-baac-53d24ae3ef9a"/>
    <xsd:import namespace="02155572-362E-45BF-A4CB-6573DF3CB236"/>
    <xsd:import namespace="a2282bd8-9123-47a6-b261-385c11328855"/>
    <xsd:import namespace="b75e08a3-3f1a-40b6-8f7a-71f7606cf64d"/>
    <xsd:element name="properties">
      <xsd:complexType>
        <xsd:sequence>
          <xsd:element name="documentManagement">
            <xsd:complexType>
              <xsd:all>
                <xsd:element ref="ns2:DocumentType" minOccurs="0"/>
                <xsd:element ref="ns3:AgendaItem" minOccurs="0"/>
                <xsd:element ref="ns4:DocumentCategory" minOccurs="0"/>
                <xsd:element ref="ns5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fd956-a2bc-4edf-baac-53d24ae3ef9a" elementFormDefault="qualified">
    <xsd:import namespace="http://schemas.microsoft.com/office/2006/documentManagement/types"/>
    <xsd:import namespace="http://schemas.microsoft.com/office/infopath/2007/PartnerControls"/>
    <xsd:element name="DocumentType" ma:index="8" nillable="true" ma:displayName="Document Type" ma:format="Dropdown" ma:internalName="DocumentType">
      <xsd:simpleType>
        <xsd:restriction base="dms:Choice">
          <xsd:enumeration value="Budget"/>
          <xsd:enumeration value="Contract"/>
          <xsd:enumeration value="Documentation"/>
          <xsd:enumeration value="Letter"/>
          <xsd:enumeration value="Memo"/>
          <xsd:enumeration value="Minutes of meeting"/>
          <xsd:enumeration value="Presentation"/>
          <xsd:enumeration value="Report"/>
          <xsd:enumeration value="User manu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155572-362E-45BF-A4CB-6573DF3CB236" elementFormDefault="qualified">
    <xsd:import namespace="http://schemas.microsoft.com/office/2006/documentManagement/types"/>
    <xsd:import namespace="http://schemas.microsoft.com/office/infopath/2007/PartnerControls"/>
    <xsd:element name="AgendaItem" ma:index="9" nillable="true" ma:displayName="Agenda Item" ma:list="{C0726124-B68F-4E5E-BD06-EB6FF0E7E8C3}" ma:internalName="AgendaItem" ma:showField="AgendaItem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282bd8-9123-47a6-b261-385c11328855" elementFormDefault="qualified">
    <xsd:import namespace="http://schemas.microsoft.com/office/2006/documentManagement/types"/>
    <xsd:import namespace="http://schemas.microsoft.com/office/infopath/2007/PartnerControls"/>
    <xsd:element name="DocumentCategory" ma:index="10" nillable="true" ma:displayName="Document Category" ma:list="{4BAEB9C7-7D88-4C57-996F-3D6C8180851B}" ma:internalName="DocumentCategory" ma:showField="Title" ma:web="{b75e08a3-3f1a-40b6-8f7a-71f7606cf64d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5e08a3-3f1a-40b6-8f7a-71f7606cf64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Category xmlns="a2282bd8-9123-47a6-b261-385c11328855"/>
    <DocumentType xmlns="d59fd956-a2bc-4edf-baac-53d24ae3ef9a" xsi:nil="true"/>
    <AgendaItem xmlns="02155572-362E-45BF-A4CB-6573DF3CB236" xsi:nil="true"/>
  </documentManagement>
</p:properties>
</file>

<file path=customXml/itemProps1.xml><?xml version="1.0" encoding="utf-8"?>
<ds:datastoreItem xmlns:ds="http://schemas.openxmlformats.org/officeDocument/2006/customXml" ds:itemID="{489F3597-2E45-47FC-9FBB-481B935942A2}"/>
</file>

<file path=customXml/itemProps2.xml><?xml version="1.0" encoding="utf-8"?>
<ds:datastoreItem xmlns:ds="http://schemas.openxmlformats.org/officeDocument/2006/customXml" ds:itemID="{6D6B8459-CAE2-4AC7-8E94-10E85637145D}"/>
</file>

<file path=customXml/itemProps3.xml><?xml version="1.0" encoding="utf-8"?>
<ds:datastoreItem xmlns:ds="http://schemas.openxmlformats.org/officeDocument/2006/customXml" ds:itemID="{934EF883-B3D1-4379-B97B-4D87AF70BF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Tin_base load (1)</vt:lpstr>
      <vt:lpstr>Patm_base load (1)</vt:lpstr>
      <vt:lpstr>DP in_base load (1)</vt:lpstr>
      <vt:lpstr>DP out_base load (1)</vt:lpstr>
      <vt:lpstr>Part-load_HR_Tin (1)</vt:lpstr>
      <vt:lpstr>Part-load_mout_Tin (1)</vt:lpstr>
      <vt:lpstr>Part-load_Tout_Tin (1)</vt:lpstr>
      <vt:lpstr>GT maps</vt:lpstr>
    </vt:vector>
  </TitlesOfParts>
  <Company>Fakultet for Ingeniørvitenskap og Teknologi, NTNU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Luca Riboldi</dc:creator>
  <cp:lastModifiedBy>x</cp:lastModifiedBy>
  <dcterms:created xsi:type="dcterms:W3CDTF">2016-03-30T09:25:26Z</dcterms:created>
  <dcterms:modified xsi:type="dcterms:W3CDTF">2019-05-05T15:55:05Z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0x010100B34B2E5B049ADE438CC980FB8FD73EA3009346C08182E3F54481BF28E434755830</vt:lpwstr>
  </property>
</Properties>
</file>